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hecklist" sheetId="2" state="visible" r:id="rId2"/>
    <sheet xmlns:r="http://schemas.openxmlformats.org/officeDocument/2006/relationships" name="AI crawlers" sheetId="3" state="visible" r:id="rId3"/>
    <sheet xmlns:r="http://schemas.openxmlformats.org/officeDocument/2006/relationships" name="Prompt tracker" sheetId="4" state="visible" r:id="rId4"/>
    <sheet xmlns:r="http://schemas.openxmlformats.org/officeDocument/2006/relationships" name="Progress" sheetId="5" state="visible" r:id="rId5"/>
  </sheets>
  <definedNames>
    <definedName name="_xlnm._FilterDatabase" localSheetId="1" hidden="1">'Checklist'!$A$1:$L$60</definedName>
    <definedName name="_xlnm._FilterDatabase" localSheetId="2" hidden="1">'AI crawlers'!$A$2:$I$22</definedName>
    <definedName name="_xlnm._FilterDatabase" localSheetId="3" hidden="1">'Prompt tracker'!$A$2:$K$302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251046"/>
      <sz val="18"/>
    </font>
    <font>
      <name val="Arial"/>
      <color rgb="006B6480"/>
      <sz val="11"/>
    </font>
    <font>
      <name val="Arial"/>
      <b val="1"/>
      <color rgb="008448EF"/>
      <sz val="12"/>
    </font>
    <font>
      <name val="Arial"/>
      <color rgb="001A0B32"/>
      <sz val="10"/>
    </font>
    <font>
      <name val="Arial"/>
      <b val="1"/>
      <color rgb="001A0B32"/>
      <sz val="10"/>
    </font>
    <font>
      <name val="Arial"/>
      <color rgb="006B6480"/>
    </font>
    <font>
      <name val="Arial"/>
      <b val="1"/>
      <color rgb="004B2A99"/>
    </font>
    <font>
      <name val="Arial"/>
      <b val="1"/>
      <color rgb="001D6B3A"/>
    </font>
    <font>
      <name val="Arial"/>
      <color rgb="008A8A8A"/>
    </font>
    <font>
      <name val="Arial"/>
      <b val="1"/>
      <color rgb="00251046"/>
    </font>
    <font>
      <name val="Arial"/>
      <color rgb="008448EF"/>
      <sz val="10"/>
      <u val="single"/>
    </font>
    <font>
      <name val="Arial"/>
      <i val="1"/>
      <color rgb="006B6480"/>
      <sz val="9"/>
    </font>
    <font>
      <name val="Arial"/>
      <b val="1"/>
      <color rgb="00FFFFFF"/>
      <sz val="10"/>
    </font>
    <font>
      <name val="Arial"/>
      <i val="1"/>
      <color rgb="006B6480"/>
      <sz val="10"/>
    </font>
    <font>
      <name val="Arial"/>
      <color rgb="008448EF"/>
      <sz val="11"/>
    </font>
    <font>
      <name val="Arial"/>
      <b val="1"/>
      <color rgb="00251046"/>
      <sz val="12"/>
    </font>
    <font>
      <name val="Arial"/>
      <color rgb="008448EF"/>
      <sz val="10"/>
    </font>
  </fonts>
  <fills count="7">
    <fill>
      <patternFill/>
    </fill>
    <fill>
      <patternFill patternType="gray125"/>
    </fill>
    <fill>
      <patternFill patternType="solid">
        <fgColor rgb="00E6DCFB"/>
        <bgColor rgb="00E6DCFB"/>
      </patternFill>
    </fill>
    <fill>
      <patternFill patternType="solid">
        <fgColor rgb="00DDF3E4"/>
        <bgColor rgb="00DDF3E4"/>
      </patternFill>
    </fill>
    <fill>
      <patternFill patternType="solid">
        <fgColor rgb="00EEEEEE"/>
        <bgColor rgb="00EEEEEE"/>
      </patternFill>
    </fill>
    <fill>
      <patternFill patternType="solid">
        <fgColor rgb="00FFDE59"/>
        <bgColor rgb="00FFDE59"/>
      </patternFill>
    </fill>
    <fill>
      <patternFill patternType="solid">
        <fgColor rgb="00251046"/>
        <bgColor rgb="00251046"/>
      </patternFill>
    </fill>
  </fills>
  <borders count="2">
    <border>
      <left/>
      <right/>
      <top/>
      <bottom/>
      <diagonal/>
    </border>
    <border>
      <bottom style="thin">
        <color rgb="00DCD3F0"/>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top" wrapText="1"/>
    </xf>
    <xf numFmtId="0" fontId="8" fillId="3" borderId="0" applyAlignment="1" pivotButton="0" quotePrefix="0" xfId="0">
      <alignment vertical="top" wrapText="1"/>
    </xf>
    <xf numFmtId="0" fontId="9" fillId="4" borderId="0" applyAlignment="1" pivotButton="0" quotePrefix="0" xfId="0">
      <alignment vertical="top" wrapText="1"/>
    </xf>
    <xf numFmtId="0" fontId="10" fillId="5"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6" borderId="0" applyAlignment="1" pivotButton="0" quotePrefix="0" xfId="0">
      <alignment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11" fillId="0" borderId="1" applyAlignment="1" pivotButton="0" quotePrefix="0" xfId="0">
      <alignment vertical="top" wrapText="1"/>
    </xf>
    <xf numFmtId="0" fontId="14" fillId="0" borderId="1" applyAlignment="1" pivotButton="0" quotePrefix="0" xfId="0">
      <alignment vertical="top" wrapText="1"/>
    </xf>
    <xf numFmtId="0" fontId="1" fillId="0" borderId="0" pivotButton="0" quotePrefix="0" xfId="0"/>
    <xf numFmtId="0" fontId="12" fillId="0" borderId="0" pivotButton="0" quotePrefix="0" xfId="0"/>
    <xf numFmtId="0" fontId="5" fillId="0" borderId="0" pivotButton="0" quotePrefix="0" xfId="0"/>
    <xf numFmtId="0" fontId="4" fillId="0" borderId="0" applyAlignment="1" pivotButton="0" quotePrefix="0" xfId="0">
      <alignment horizontal="right"/>
    </xf>
    <xf numFmtId="9" fontId="3" fillId="0" borderId="0" pivotButton="0" quotePrefix="0" xfId="0"/>
    <xf numFmtId="0" fontId="15" fillId="0" borderId="0" pivotButton="0" quotePrefix="0" xfId="0"/>
    <xf numFmtId="0" fontId="16" fillId="5" borderId="0" pivotButton="0" quotePrefix="0" xfId="0"/>
    <xf numFmtId="9" fontId="4" fillId="0" borderId="0" applyAlignment="1" pivotButton="0" quotePrefix="0" xfId="0">
      <alignment horizontal="right"/>
    </xf>
    <xf numFmtId="0" fontId="17" fillId="0" borderId="0" pivotButton="0" quotePrefix="0" xfId="0"/>
    <xf numFmtId="0" fontId="13" fillId="6" borderId="0" pivotButton="0" quotePrefix="0" xfId="0"/>
    <xf numFmtId="0" fontId="3" fillId="0" borderId="0" pivotButton="0" quotePrefix="0" xfId="0"/>
    <xf numFmtId="0" fontId="5" fillId="0" borderId="0" applyAlignment="1" pivotButton="0" quotePrefix="0" xfId="0">
      <alignment horizontal="right"/>
    </xf>
    <xf numFmtId="9" fontId="5" fillId="0" borderId="0" applyAlignment="1" pivotButton="0" quotePrefix="0" xfId="0">
      <alignment horizontal="right"/>
    </xf>
  </cellXfs>
  <cellStyles count="1">
    <cellStyle name="Normal" xfId="0" builtinId="0" hidden="0"/>
  </cellStyles>
  <dxfs count="9">
    <dxf>
      <font>
        <name val="Arial"/>
        <b val="1"/>
        <color rgb="001D6B3A"/>
      </font>
      <fill>
        <patternFill patternType="solid">
          <fgColor rgb="00DDF3E4"/>
          <bgColor rgb="00DDF3E4"/>
        </patternFill>
      </fill>
    </dxf>
    <dxf>
      <font>
        <name val="Arial"/>
        <b val="1"/>
        <color rgb="004B2A99"/>
      </font>
      <fill>
        <patternFill patternType="solid">
          <fgColor rgb="00E6DCFB"/>
          <bgColor rgb="00E6DCFB"/>
        </patternFill>
      </fill>
    </dxf>
    <dxf>
      <font>
        <name val="Arial"/>
        <b val="1"/>
        <color rgb="008A8A8A"/>
      </font>
      <fill>
        <patternFill patternType="solid">
          <fgColor rgb="00EEEEEE"/>
          <bgColor rgb="00EEEEEE"/>
        </patternFill>
      </fill>
    </dxf>
    <dxf>
      <font>
        <name val="Arial"/>
        <color rgb="006B6480"/>
      </font>
    </dxf>
    <dxf>
      <font>
        <name val="Arial"/>
        <b val="1"/>
        <color rgb="00251046"/>
      </font>
      <fill>
        <patternFill patternType="solid">
          <fgColor rgb="00FFDE59"/>
          <bgColor rgb="00FFDE59"/>
        </patternFill>
      </fill>
    </dxf>
    <dxf>
      <fill>
        <patternFill patternType="solid">
          <fgColor rgb="00F4F0FD"/>
          <bgColor rgb="00F4F0FD"/>
        </patternFill>
      </fill>
    </dxf>
    <dxf>
      <font>
        <name val="Arial"/>
        <b val="1"/>
        <color rgb="009B1C1C"/>
      </font>
      <fill>
        <patternFill patternType="solid">
          <fgColor rgb="00FDE2E2"/>
          <bgColor rgb="00FDE2E2"/>
        </patternFill>
      </fill>
    </dxf>
    <dxf>
      <font>
        <name val="Arial"/>
        <b val="1"/>
        <color rgb="001D6B3A"/>
      </font>
    </dxf>
    <dxf>
      <fill>
        <patternFill patternType="solid">
          <fgColor rgb="00FFDE59"/>
          <bgColor rgb="00FFDE5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448EF"/>
    <outlinePr summaryBelow="1" summaryRight="1"/>
    <pageSetUpPr fitToPage="1"/>
  </sheetPr>
  <dimension ref="B2:C50"/>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ht="30" customHeight="1">
      <c r="B2" s="1" t="inlineStr">
        <is>
          <t>Generative Engine Optimisation (GEO) Checklist</t>
        </is>
      </c>
    </row>
    <row r="3" ht="36" customHeight="1">
      <c r="B3" s="2" t="inlineStr">
        <is>
          <t>44 checks to help AI search systems find, understand, trust and cite your content. Free from MLforSEO, October 2026.</t>
        </is>
      </c>
    </row>
    <row r="5" ht="22" customHeight="1">
      <c r="B5" s="3" t="inlineStr">
        <is>
          <t>What this is</t>
        </is>
      </c>
    </row>
    <row r="6" ht="79" customHeight="1">
      <c r="B6" s="4" t="inlineStr">
        <is>
          <t>A working checklist for getting content into AI answers (Google AI Overviews and AI Mode, ChatGPT, Perplexity, Claude, Gemini, Copilot). It runs in the order AI systems process content: can they reach it, can they find and recognise it, can they lift a clean passage out of it, do they believe it, and can you see the result. Every check links to the MLforSEO article that explains it, plus the official documentation where one exists.</t>
        </is>
      </c>
    </row>
    <row r="7" ht="64" customHeight="1">
      <c r="B7" s="4" t="inlineStr">
        <is>
          <t>Generative engine optimisation (GEO) is mostly good SEO done with a different reader in mind. Google says there are no extra requirements to appear in its AI features beyond being indexed and eligible for a snippet, so the foundations come first. Each check carries an Evidence label so you can see which items platforms document, which come from research, and which are MLforSEO practice.</t>
        </is>
      </c>
    </row>
    <row r="9" ht="22" customHeight="1">
      <c r="B9" s="3" t="inlineStr">
        <is>
          <t>How to use it</t>
        </is>
      </c>
    </row>
    <row r="10" ht="34" customHeight="1">
      <c r="B10" s="5" t="inlineStr">
        <is>
          <t>Step 1</t>
        </is>
      </c>
      <c r="C10" s="4" t="inlineStr">
        <is>
          <t>Make your own copy (File &gt; Make a copy in Google Sheets). Don't request edit access to the original.</t>
        </is>
      </c>
    </row>
    <row r="11" ht="34" customHeight="1">
      <c r="B11" s="5" t="inlineStr">
        <is>
          <t>Step 2</t>
        </is>
      </c>
      <c r="C11" s="4" t="inlineStr">
        <is>
          <t>Work through the Checklist tab area by area. Set Status for each check, add an Owner and write what you found in Notes.</t>
        </is>
      </c>
    </row>
    <row r="12" ht="19" customHeight="1">
      <c r="B12" s="5" t="inlineStr">
        <is>
          <t>Step 3</t>
        </is>
      </c>
      <c r="C12" s="4" t="inlineStr">
        <is>
          <t>Mark checks that don't apply as N/A. They are left out of the % complete.</t>
        </is>
      </c>
    </row>
    <row r="13" ht="34" customHeight="1">
      <c r="B13" s="5" t="inlineStr">
        <is>
          <t>Step 4</t>
        </is>
      </c>
      <c r="C13" s="4" t="inlineStr">
        <is>
          <t>Use the filter arrows in the header row, for example Priority = High and Status = Not started, to build your first sprint.</t>
        </is>
      </c>
    </row>
    <row r="14" ht="34" customHeight="1">
      <c r="B14" s="5" t="inlineStr">
        <is>
          <t>Step 5</t>
        </is>
      </c>
      <c r="C14" s="4" t="inlineStr">
        <is>
          <t>Fill in the AI crawlers tab while you work on area 1, and start the Prompt tracker for area 8. The Progress tab calculates everything.</t>
        </is>
      </c>
    </row>
    <row r="15" ht="34" customHeight="1">
      <c r="B15" s="5" t="inlineStr">
        <is>
          <t>Step 6</t>
        </is>
      </c>
      <c r="C15" s="4" t="inlineStr">
        <is>
          <t>Rerun the Prompt tracker monthly. AI answers change between runs, so look at the trend, not one result.</t>
        </is>
      </c>
    </row>
    <row r="17" ht="22" customHeight="1">
      <c r="B17" s="3" t="inlineStr">
        <is>
          <t>Tabs</t>
        </is>
      </c>
    </row>
    <row r="18" ht="34" customHeight="1">
      <c r="B18" s="5" t="inlineStr">
        <is>
          <t>Checklist</t>
        </is>
      </c>
      <c r="C18" s="4" t="inlineStr">
        <is>
          <t>The 44 checks, with why each matters, how to check it, priority, evidence level, status, owner, notes and links. Blank rows at the bottom are for your own checks.</t>
        </is>
      </c>
    </row>
    <row r="19" ht="49" customHeight="1">
      <c r="B19" s="5" t="inlineStr">
        <is>
          <t>AI crawlers</t>
        </is>
      </c>
      <c r="C19" s="4" t="inlineStr">
        <is>
          <t>Every major AI crawler and user-agent token, what it does, what blocking it does, and a column for your decision. Checked against each provider's documentation in October 2026.</t>
        </is>
      </c>
    </row>
    <row r="20" ht="34" customHeight="1">
      <c r="B20" s="5" t="inlineStr">
        <is>
          <t>Prompt tracker</t>
        </is>
      </c>
      <c r="C20" s="4" t="inlineStr">
        <is>
          <t>Log the customer questions you test in each assistant and whether you were mentioned, cited and described accurately.</t>
        </is>
      </c>
    </row>
    <row r="21" ht="34" customHeight="1">
      <c r="B21" s="5" t="inlineStr">
        <is>
          <t>Progress</t>
        </is>
      </c>
      <c r="C21" s="4" t="inlineStr">
        <is>
          <t>Completion by area and priority, open High-priority checks, and mention, citation and accuracy rates from the Prompt tracker.</t>
        </is>
      </c>
    </row>
    <row r="23" ht="22" customHeight="1">
      <c r="B23" s="3" t="inlineStr">
        <is>
          <t>Status</t>
        </is>
      </c>
    </row>
    <row r="24" ht="19" customHeight="1">
      <c r="B24" s="6" t="inlineStr">
        <is>
          <t>Not started</t>
        </is>
      </c>
      <c r="C24" s="4" t="inlineStr">
        <is>
          <t>Default for every check.</t>
        </is>
      </c>
    </row>
    <row r="25" ht="19" customHeight="1">
      <c r="B25" s="7" t="inlineStr">
        <is>
          <t>In progress</t>
        </is>
      </c>
      <c r="C25" s="4" t="inlineStr">
        <is>
          <t>Someone is working on it.</t>
        </is>
      </c>
    </row>
    <row r="26" ht="19" customHeight="1">
      <c r="B26" s="8" t="inlineStr">
        <is>
          <t>Done</t>
        </is>
      </c>
      <c r="C26" s="4" t="inlineStr">
        <is>
          <t>Checked, and fixed if it needed fixing.</t>
        </is>
      </c>
    </row>
    <row r="27" ht="19" customHeight="1">
      <c r="B27" s="9" t="inlineStr">
        <is>
          <t>N/A</t>
        </is>
      </c>
      <c r="C27" s="4" t="inlineStr">
        <is>
          <t>Does not apply to this site. N/A rows are left out of the % complete.</t>
        </is>
      </c>
    </row>
    <row r="29" ht="22" customHeight="1">
      <c r="B29" s="3" t="inlineStr">
        <is>
          <t>Priority</t>
        </is>
      </c>
    </row>
    <row r="30" ht="19" customHeight="1">
      <c r="B30" s="10" t="inlineStr">
        <is>
          <t>High</t>
        </is>
      </c>
      <c r="C30" s="4" t="inlineStr">
        <is>
          <t>Fix first. Blocks access, eligibility or entity recognition, or misrepresents you.</t>
        </is>
      </c>
    </row>
    <row r="31" ht="19" customHeight="1">
      <c r="B31" s="5" t="inlineStr">
        <is>
          <t>Medium</t>
        </is>
      </c>
      <c r="C31" s="4" t="inlineStr">
        <is>
          <t>Do next. Improves how often and how well you are selected.</t>
        </is>
      </c>
    </row>
    <row r="32" ht="19" customHeight="1">
      <c r="B32" s="6" t="inlineStr">
        <is>
          <t>Low</t>
        </is>
      </c>
      <c r="C32" s="4" t="inlineStr">
        <is>
          <t>Nice to have, or an early-warning signal to monitor.</t>
        </is>
      </c>
    </row>
    <row r="34" ht="22" customHeight="1">
      <c r="B34" s="3" t="inlineStr">
        <is>
          <t>Evidence levels</t>
        </is>
      </c>
    </row>
    <row r="35" ht="19" customHeight="1">
      <c r="B35" s="5" t="inlineStr">
        <is>
          <t>Google-documented</t>
        </is>
      </c>
      <c r="C35" s="4" t="inlineStr">
        <is>
          <t>Stated in Google Search Central or Google Help documentation.</t>
        </is>
      </c>
    </row>
    <row r="36" ht="34" customHeight="1">
      <c r="B36" s="5" t="inlineStr">
        <is>
          <t>Platform-documented</t>
        </is>
      </c>
      <c r="C36" s="4" t="inlineStr">
        <is>
          <t>Stated in another platform's own documentation (OpenAI, Anthropic, Perplexity, Microsoft Bing, Apple, Meta, Wikidata / Wikimedia, schema.org).</t>
        </is>
      </c>
    </row>
    <row r="37" ht="34" customHeight="1">
      <c r="B37" s="5" t="inlineStr">
        <is>
          <t>Research-backed</t>
        </is>
      </c>
      <c r="C37" s="4" t="inlineStr">
        <is>
          <t>Supported by published research or a large public dataset. Results come from specific test conditions and may not carry over to every site.</t>
        </is>
      </c>
    </row>
    <row r="38" ht="34" customHeight="1">
      <c r="B38" s="5" t="inlineStr">
        <is>
          <t>MLforSEO practice</t>
        </is>
      </c>
      <c r="C38" s="4" t="inlineStr">
        <is>
          <t>What we teach in MLforSEO courses and use in audits, based on how retrieval and entity systems work. Sensible and low-risk, but not confirmed by the platforms.</t>
        </is>
      </c>
    </row>
    <row r="39" ht="19" customHeight="1">
      <c r="B39" s="5" t="inlineStr">
        <is>
          <t>Unconfirmed (optional)</t>
        </is>
      </c>
      <c r="C39" s="4" t="inlineStr">
        <is>
          <t>A cheap extra that no major platform has confirmed using. Do it last, if at all.</t>
        </is>
      </c>
    </row>
    <row r="41" ht="22" customHeight="1">
      <c r="B41" s="3" t="inlineStr">
        <is>
          <t>What this checklist can't promise</t>
        </is>
      </c>
    </row>
    <row r="42" ht="64" customHeight="1">
      <c r="B42" s="4" t="inlineStr">
        <is>
          <t>No checklist guarantees citations. AI answers vary by prompt wording, location, account and run, and providers change their systems often. Use the checks to remove the reasons you would be skipped, then measure what happens. Facts were checked in October 2026; recheck the official sources linked in each row before big decisions.</t>
        </is>
      </c>
    </row>
    <row r="44" ht="22" customHeight="1">
      <c r="B44" s="3" t="inlineStr">
        <is>
          <t>Credits</t>
        </is>
      </c>
    </row>
    <row r="45" ht="19" customHeight="1">
      <c r="B45" s="5" t="inlineStr">
        <is>
          <t>Created by</t>
        </is>
      </c>
      <c r="C45" s="11">
        <f>HYPERLINK("https://www.mlforseo.com/experts/lazarina-stoy/","Lazarina Stoy · MLforSEO")</f>
        <v/>
      </c>
    </row>
    <row r="46" ht="19" customHeight="1">
      <c r="B46" s="5" t="inlineStr">
        <is>
          <t>Built on</t>
        </is>
      </c>
      <c r="C46" s="11">
        <f>HYPERLINK("https://www.mlforseo.com/experts/beatrice-gamba/","Beatrice Gamba's AI search series on MLforSEO")</f>
        <v/>
      </c>
    </row>
    <row r="47" ht="19" customHeight="1">
      <c r="B47" s="5" t="inlineStr">
        <is>
          <t>Go deeper</t>
        </is>
      </c>
      <c r="C47" s="11">
        <f>HYPERLINK("https://www.mlforseo.com/courses/ai-search-optimisation-agentic-seo/","AI Search Optimisation &amp; Agentic SEO course")</f>
        <v/>
      </c>
    </row>
    <row r="48" ht="19" customHeight="1">
      <c r="B48" s="5" t="inlineStr">
        <is>
          <t>More free resources</t>
        </is>
      </c>
      <c r="C48" s="11">
        <f>HYPERLINK("https://www.mlforseo.com/resources-library/","MLforSEO resources library")</f>
        <v/>
      </c>
    </row>
    <row r="49" ht="19" customHeight="1">
      <c r="B49" s="5" t="inlineStr">
        <is>
          <t>Source files</t>
        </is>
      </c>
      <c r="C49" s="11">
        <f>HYPERLINK("https://github.com/lazarinastoy/mlforseo-code/tree/main/geo-checklist","GitHub: lazarinastoy/mlforseo-code")</f>
        <v/>
      </c>
    </row>
    <row r="50" ht="18" customHeight="1">
      <c r="B50" s="12" t="inlineStr">
        <is>
          <t>Version 1.0, October 2026. Free to use and adapt (MIT licence); please keep the credit.</t>
        </is>
      </c>
    </row>
  </sheetData>
  <mergeCells count="14">
    <mergeCell ref="B6:C6"/>
    <mergeCell ref="B44:C44"/>
    <mergeCell ref="B2:C2"/>
    <mergeCell ref="B29:C29"/>
    <mergeCell ref="B7:C7"/>
    <mergeCell ref="B3:C3"/>
    <mergeCell ref="B5:C5"/>
    <mergeCell ref="B34:C34"/>
    <mergeCell ref="B41:C41"/>
    <mergeCell ref="B42:C42"/>
    <mergeCell ref="B23:C23"/>
    <mergeCell ref="B50:C50"/>
    <mergeCell ref="B17:C17"/>
    <mergeCell ref="B9:C9"/>
  </mergeCells>
  <printOptions gridLines="0"/>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L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44" customWidth="1" min="3" max="3"/>
    <col width="46" customWidth="1" min="4" max="4"/>
    <col width="46" customWidth="1" min="5" max="5"/>
    <col width="10" customWidth="1" min="6" max="6"/>
    <col width="17" customWidth="1" min="7" max="7"/>
    <col width="13" customWidth="1" min="8" max="8"/>
    <col width="13" customWidth="1" min="9" max="9"/>
    <col width="28" customWidth="1" min="10" max="10"/>
    <col width="30" customWidth="1" min="11" max="11"/>
    <col width="30" customWidth="1" min="12" max="12"/>
  </cols>
  <sheetData>
    <row r="1" ht="30" customHeight="1">
      <c r="A1" s="13" t="inlineStr">
        <is>
          <t>ID</t>
        </is>
      </c>
      <c r="B1" s="13" t="inlineStr">
        <is>
          <t>Area</t>
        </is>
      </c>
      <c r="C1" s="13" t="inlineStr">
        <is>
          <t>Check</t>
        </is>
      </c>
      <c r="D1" s="13" t="inlineStr">
        <is>
          <t>Why it matters</t>
        </is>
      </c>
      <c r="E1" s="13" t="inlineStr">
        <is>
          <t>How to check (tool / where)</t>
        </is>
      </c>
      <c r="F1" s="13" t="inlineStr">
        <is>
          <t>Priority</t>
        </is>
      </c>
      <c r="G1" s="13" t="inlineStr">
        <is>
          <t>Evidence</t>
        </is>
      </c>
      <c r="H1" s="13" t="inlineStr">
        <is>
          <t>Status</t>
        </is>
      </c>
      <c r="I1" s="13" t="inlineStr">
        <is>
          <t>Owner</t>
        </is>
      </c>
      <c r="J1" s="13" t="inlineStr">
        <is>
          <t>Notes</t>
        </is>
      </c>
      <c r="K1" s="13" t="inlineStr">
        <is>
          <t>Learn more</t>
        </is>
      </c>
      <c r="L1" s="13" t="inlineStr">
        <is>
          <t>Official source</t>
        </is>
      </c>
    </row>
    <row r="2" ht="66" customHeight="1">
      <c r="A2" s="14" t="inlineStr">
        <is>
          <t>G01</t>
        </is>
      </c>
      <c r="B2" s="15" t="inlineStr">
        <is>
          <t>1. Crawl access</t>
        </is>
      </c>
      <c r="C2" s="16" t="inlineStr">
        <is>
          <t>Googlebot can crawl every page you want in Google's AI Overviews and AI Mode</t>
        </is>
      </c>
      <c r="D2" s="15" t="inlineStr">
        <is>
          <t>Google's AI features use the normal Search index and follow your robots.txt rules for Googlebot. There is no separate AI crawler to allow for them.</t>
        </is>
      </c>
      <c r="E2" s="15" t="inlineStr">
        <is>
          <t>Search Console &gt; Settings &gt; robots.txt report, then URL Inspection on your key templates. Look for Disallow rules that catch important folders.</t>
        </is>
      </c>
      <c r="F2" s="14" t="inlineStr">
        <is>
          <t>High</t>
        </is>
      </c>
      <c r="G2" s="15" t="inlineStr">
        <is>
          <t>Google-documented</t>
        </is>
      </c>
      <c r="H2" s="14" t="inlineStr">
        <is>
          <t>Not started</t>
        </is>
      </c>
      <c r="I2" s="15" t="inlineStr"/>
      <c r="J2" s="15" t="inlineStr"/>
      <c r="K2" s="17">
        <f>HYPERLINK("https://www.mlforseo.com/machine-learning-implementation-guides/ai-search-optimisation/robots-txt-silent-killer-ai-traffic/","Your robots.txt might be the silent killer of your AI traffic")</f>
        <v/>
      </c>
      <c r="L2" s="17">
        <f>HYPERLINK("https://developers.google.com/search/docs/appearance/ai-features","Google: AI features and your website")</f>
        <v/>
      </c>
    </row>
    <row r="3" ht="96" customHeight="1">
      <c r="A3" s="14" t="inlineStr">
        <is>
          <t>G02</t>
        </is>
      </c>
      <c r="B3" s="15" t="inlineStr">
        <is>
          <t>1. Crawl access</t>
        </is>
      </c>
      <c r="C3" s="16" t="inlineStr">
        <is>
          <t>AI search crawlers are allowed in robots.txt: OAI-SearchBot, Claude-SearchBot, PerplexityBot and Bingbot</t>
        </is>
      </c>
      <c r="D3" s="15" t="inlineStr">
        <is>
          <t>These bots decide whether you can be shown and linked in ChatGPT search, Claude's web search, Perplexity and Bing / Copilot answers. OpenAI says sites that block OAI-SearchBot won't be shown in ChatGPT search answers.</t>
        </is>
      </c>
      <c r="E3" s="15" t="inlineStr">
        <is>
          <t>Open yourdomain.com/robots.txt. Check for a User-agent group per bot, or a catch-all (User-agent: *) group that blocks them. The 'AI crawlers' tab lists every token with its docs.</t>
        </is>
      </c>
      <c r="F3" s="14" t="inlineStr">
        <is>
          <t>High</t>
        </is>
      </c>
      <c r="G3" s="15" t="inlineStr">
        <is>
          <t>Platform-documented</t>
        </is>
      </c>
      <c r="H3" s="14" t="inlineStr">
        <is>
          <t>Not started</t>
        </is>
      </c>
      <c r="I3" s="15" t="inlineStr"/>
      <c r="J3" s="15" t="inlineStr"/>
      <c r="K3" s="17">
        <f>HYPERLINK("https://www.mlforseo.com/machine-learning-implementation-guides/ai-search-optimisation/robots-txt-silent-killer-ai-traffic/","Your robots.txt might be the silent killer of your AI traffic")</f>
        <v/>
      </c>
      <c r="L3" s="17">
        <f>HYPERLINK("https://platform.openai.com/docs/bots","OpenAI: crawlers and user agents")</f>
        <v/>
      </c>
    </row>
    <row r="4" ht="81" customHeight="1">
      <c r="A4" s="14" t="inlineStr">
        <is>
          <t>G03</t>
        </is>
      </c>
      <c r="B4" s="15" t="inlineStr">
        <is>
          <t>1. Crawl access</t>
        </is>
      </c>
      <c r="C4" s="16" t="inlineStr">
        <is>
          <t>Training crawlers are a deliberate business decision: GPTBot, ClaudeBot, Google-Extended, Applebot-Extended, Meta-ExternalAgent, CCBot</t>
        </is>
      </c>
      <c r="D4" s="15" t="inlineStr">
        <is>
          <t>Blocking training crawlers is separate from search visibility. Google-Extended does not affect inclusion in Google Search, including AI Overviews. Make the choice on purpose, and write down why.</t>
        </is>
      </c>
      <c r="E4" s="15" t="inlineStr">
        <is>
          <t>Agree the policy with legal / leadership, record it in the 'AI crawlers' tab (Your decision column), then match robots.txt to it.</t>
        </is>
      </c>
      <c r="F4" s="14" t="inlineStr">
        <is>
          <t>Medium</t>
        </is>
      </c>
      <c r="G4" s="15" t="inlineStr">
        <is>
          <t>Platform-documented</t>
        </is>
      </c>
      <c r="H4" s="14" t="inlineStr">
        <is>
          <t>Not started</t>
        </is>
      </c>
      <c r="I4" s="15" t="inlineStr"/>
      <c r="J4" s="15" t="inlineStr"/>
      <c r="K4" s="17">
        <f>HYPERLINK("https://www.mlforseo.com/machine-learning-implementation-guides/ai-search-optimisation/robots-txt-silent-killer-ai-traffic/","Your robots.txt might be the silent killer of your AI traffic")</f>
        <v/>
      </c>
      <c r="L4" s="17">
        <f>HYPERLINK("https://developers.google.com/search/docs/crawling-indexing/google-common-crawlers","Google: common crawlers (Google-Extended)")</f>
        <v/>
      </c>
    </row>
    <row r="5" ht="96" customHeight="1">
      <c r="A5" s="14" t="inlineStr">
        <is>
          <t>G04</t>
        </is>
      </c>
      <c r="B5" s="15" t="inlineStr">
        <is>
          <t>1. Crawl access</t>
        </is>
      </c>
      <c r="C5" s="16" t="inlineStr">
        <is>
          <t>Your CDN, firewall or bot-management settings aren't blocking the crawlers you allowed</t>
        </is>
      </c>
      <c r="D5" s="15" t="inlineStr">
        <is>
          <t>A robots.txt Allow means nothing if a WAF rule, a 'block AI bots' toggle or a rate limit returns 403, 429 or a challenge page. Google lists CDN and hosting blocks among the things to check.</t>
        </is>
      </c>
      <c r="E5" s="15" t="inlineStr">
        <is>
          <t>Check your CDN / WAF dashboard (for example Cloudflare's AI crawler and bot settings). In server logs, filter for the bot user agents and look for 403, 429 and 503 responses. Verify bots against their published IP ranges.</t>
        </is>
      </c>
      <c r="F5" s="14" t="inlineStr">
        <is>
          <t>High</t>
        </is>
      </c>
      <c r="G5" s="15" t="inlineStr">
        <is>
          <t>Google-documented</t>
        </is>
      </c>
      <c r="H5" s="14" t="inlineStr">
        <is>
          <t>Not started</t>
        </is>
      </c>
      <c r="I5" s="15" t="inlineStr"/>
      <c r="J5" s="15" t="inlineStr"/>
      <c r="K5" s="17">
        <f>HYPERLINK("https://www.mlforseo.com/machine-learning-implementation-guides/ai-search-optimisation/robots-txt-silent-killer-ai-traffic/","Your robots.txt might be the silent killer of your AI traffic")</f>
        <v/>
      </c>
      <c r="L5" s="17">
        <f>HYPERLINK("https://docs.perplexity.ai/guides/bots","Perplexity: crawlers")</f>
        <v/>
      </c>
    </row>
    <row r="6" ht="81" customHeight="1">
      <c r="A6" s="14" t="inlineStr">
        <is>
          <t>G05</t>
        </is>
      </c>
      <c r="B6" s="15" t="inlineStr">
        <is>
          <t>1. Crawl access</t>
        </is>
      </c>
      <c r="C6" s="16" t="inlineStr">
        <is>
          <t>Fetching a key page with an AI user-agent string returns the real content</t>
        </is>
      </c>
      <c r="D6" s="15" t="inlineStr">
        <is>
          <t>Agents fail silently: no error, just a skipped page. A quick fetch shows whether they get your content or a block page, cookie wall or empty shell.</t>
        </is>
      </c>
      <c r="E6" s="15" t="inlineStr">
        <is>
          <t>From a terminal: curl -A "ClaudeBot" https://yourdomain.com/key-page | head (repeat with OAI-SearchBot and PerplexityBot). Some firewalls also check IP ranges, so confirm in logs too.</t>
        </is>
      </c>
      <c r="F6" s="14" t="inlineStr">
        <is>
          <t>High</t>
        </is>
      </c>
      <c r="G6" s="15" t="inlineStr">
        <is>
          <t>MLforSEO practice</t>
        </is>
      </c>
      <c r="H6" s="14" t="inlineStr">
        <is>
          <t>Not started</t>
        </is>
      </c>
      <c r="I6" s="15" t="inlineStr"/>
      <c r="J6" s="15" t="inlineStr"/>
      <c r="K6" s="17">
        <f>HYPERLINK("https://www.mlforseo.com/machine-learning-implementation-guides/ai-search-optimisation/robots-txt-silent-killer-ai-traffic/","Your robots.txt might be the silent killer of your AI traffic")</f>
        <v/>
      </c>
      <c r="L6" s="15" t="inlineStr"/>
    </row>
    <row r="7" ht="96" customHeight="1">
      <c r="A7" s="14" t="inlineStr">
        <is>
          <t>G06</t>
        </is>
      </c>
      <c r="B7" s="15" t="inlineStr">
        <is>
          <t>1. Crawl access</t>
        </is>
      </c>
      <c r="C7" s="16" t="inlineStr">
        <is>
          <t>Main content, links and JSON-LD are in the raw HTML, not only added by JavaScript</t>
        </is>
      </c>
      <c r="D7" s="15" t="inlineStr">
        <is>
          <t>Google renders JavaScript, but the major AI crawlers studied in 2024 (GPTBot, ClaudeBot, PerplexityBot and others) fetched JavaScript files without executing them. Content that only appears after rendering may be invisible to them.</t>
        </is>
      </c>
      <c r="E7" s="15" t="inlineStr">
        <is>
          <t>Compare View Source (raw HTML) with Inspect / rendered DOM on each template, or crawl with JavaScript rendering off. Anything missing from the raw HTML is at risk.</t>
        </is>
      </c>
      <c r="F7" s="14" t="inlineStr">
        <is>
          <t>High</t>
        </is>
      </c>
      <c r="G7" s="15" t="inlineStr">
        <is>
          <t>Research-backed</t>
        </is>
      </c>
      <c r="H7" s="14" t="inlineStr">
        <is>
          <t>Not started</t>
        </is>
      </c>
      <c r="I7" s="15" t="inlineStr"/>
      <c r="J7" s="15" t="inlineStr"/>
      <c r="K7" s="17">
        <f>HYPERLINK("https://www.mlforseo.com/machine-learning-implementation-guides/ai-search-optimisation/consistency-beats-completeness-structured-data/","Consistency beats completeness")</f>
        <v/>
      </c>
      <c r="L7" s="17">
        <f>HYPERLINK("https://vercel.com/blog/the-rise-of-the-ai-crawler","Vercel and MERJ: the rise of the AI crawler")</f>
        <v/>
      </c>
    </row>
    <row r="8" ht="81" customHeight="1">
      <c r="A8" s="14" t="inlineStr">
        <is>
          <t>G07</t>
        </is>
      </c>
      <c r="B8" s="15" t="inlineStr">
        <is>
          <t>1. Crawl access</t>
        </is>
      </c>
      <c r="C8" s="16" t="inlineStr">
        <is>
          <t>Key facts sit near the top of the page and priority pages aren't bloated</t>
        </is>
      </c>
      <c r="D8" s="15" t="inlineStr">
        <is>
          <t>Agents read against a token budget, so facts buried deep in long pages can be cut. Our working budget is under about 15,000 tokens for product and category pages (roughly 60,000 characters of text).</t>
        </is>
      </c>
      <c r="E8" s="15" t="inlineStr">
        <is>
          <t>Copy the page text into a text editor, divide the character count by four for an approximate token count. Check that the answer, price or policy appears in the first screen of text.</t>
        </is>
      </c>
      <c r="F8" s="14" t="inlineStr">
        <is>
          <t>Medium</t>
        </is>
      </c>
      <c r="G8" s="15" t="inlineStr">
        <is>
          <t>MLforSEO practice</t>
        </is>
      </c>
      <c r="H8" s="14" t="inlineStr">
        <is>
          <t>Not started</t>
        </is>
      </c>
      <c r="I8" s="15" t="inlineStr"/>
      <c r="J8" s="15" t="inlineStr"/>
      <c r="K8" s="17">
        <f>HYPERLINK("https://www.mlforseo.com/machine-learning-implementation-guides/ai-search-optimisation/robots-txt-silent-killer-ai-traffic/","Your robots.txt might be the silent killer of your AI traffic")</f>
        <v/>
      </c>
      <c r="L8" s="15" t="inlineStr"/>
    </row>
    <row r="9" ht="96" customHeight="1">
      <c r="A9" s="14" t="inlineStr">
        <is>
          <t>G08</t>
        </is>
      </c>
      <c r="B9" s="15" t="inlineStr">
        <is>
          <t>1. Crawl access</t>
        </is>
      </c>
      <c r="C9" s="16" t="inlineStr">
        <is>
          <t>Optional: an llms.txt file, if you want one, lists your most useful pages with short descriptions</t>
        </is>
      </c>
      <c r="D9" s="15" t="inlineStr">
        <is>
          <t>llms.txt is a proposed standard. No major AI provider has confirmed that its crawlers read it, and Google says you don't need AI text files to appear in its AI features. Treat it as a cheap extra after everything above.</t>
        </is>
      </c>
      <c r="E9" s="15" t="inlineStr">
        <is>
          <t>If you publish one, keep it short, Markdown, at yourdomain.com/llms.txt, organised by task, and keep it in sync with the site. Don't block it in robots.txt.</t>
        </is>
      </c>
      <c r="F9" s="14" t="inlineStr">
        <is>
          <t>Low</t>
        </is>
      </c>
      <c r="G9" s="15" t="inlineStr">
        <is>
          <t>Unconfirmed (optional)</t>
        </is>
      </c>
      <c r="H9" s="14" t="inlineStr">
        <is>
          <t>Not started</t>
        </is>
      </c>
      <c r="I9" s="15" t="inlineStr"/>
      <c r="J9" s="15" t="inlineStr"/>
      <c r="K9" s="17">
        <f>HYPERLINK("https://www.mlforseo.com/machine-learning-implementation-guides/ai-search-optimisation/robots-txt-silent-killer-ai-traffic/","Your robots.txt might be the silent killer of your AI traffic")</f>
        <v/>
      </c>
      <c r="L9" s="17">
        <f>HYPERLINK("https://llmstxt.org/","llmstxt.org proposal")</f>
        <v/>
      </c>
    </row>
    <row r="10" ht="81" customHeight="1">
      <c r="A10" s="14" t="inlineStr">
        <is>
          <t>G09</t>
        </is>
      </c>
      <c r="B10" s="15" t="inlineStr">
        <is>
          <t>1. Crawl access</t>
        </is>
      </c>
      <c r="C10" s="16" t="inlineStr">
        <is>
          <t>AI crawler activity is visible in your server logs</t>
        </is>
      </c>
      <c r="D10" s="15" t="inlineStr">
        <is>
          <t>Logs show which pages the AI bots fetch, how often, and whether they get errors. A page crawled heavily but never cited points to an extraction or selection problem rather than an access one.</t>
        </is>
      </c>
      <c r="E10" s="15" t="inlineStr">
        <is>
          <t>Export logs (host, CDN or log analyser such as Screaming Frog Log File Analyser) and segment by user agent. Verify genuine bots against the IP lists each provider publishes.</t>
        </is>
      </c>
      <c r="F10" s="14" t="inlineStr">
        <is>
          <t>Medium</t>
        </is>
      </c>
      <c r="G10" s="15" t="inlineStr">
        <is>
          <t>MLforSEO practice</t>
        </is>
      </c>
      <c r="H10" s="14" t="inlineStr">
        <is>
          <t>Not started</t>
        </is>
      </c>
      <c r="I10" s="15" t="inlineStr"/>
      <c r="J10" s="15" t="inlineStr"/>
      <c r="K10" s="17">
        <f>HYPERLINK("https://www.mlforseo.com/machine-learning-implementation-guides/ai-search-optimisation/rank-tracker-ai-search-measurement/","Your rank tracker is lying to you about AI search")</f>
        <v/>
      </c>
      <c r="L10" s="17">
        <f>HYPERLINK("https://platform.openai.com/docs/bots","OpenAI: crawlers and user agents")</f>
        <v/>
      </c>
    </row>
    <row r="11" ht="81" customHeight="1">
      <c r="A11" s="14" t="inlineStr">
        <is>
          <t>G10</t>
        </is>
      </c>
      <c r="B11" s="15" t="inlineStr">
        <is>
          <t>2. Indexing &amp; eligibility</t>
        </is>
      </c>
      <c r="C11" s="16" t="inlineStr">
        <is>
          <t>Priority pages are indexed in Google and eligible for a snippet</t>
        </is>
      </c>
      <c r="D11" s="15" t="inlineStr">
        <is>
          <t>To be a supporting link in AI Overviews or AI Mode, a page must be indexed and eligible to show with a snippet. nosnippet, max-snippet:0 or data-nosnippet on the main content removes that eligibility.</t>
        </is>
      </c>
      <c r="E11" s="15" t="inlineStr">
        <is>
          <t>Search Console &gt; URL Inspection for each priority URL; check the page source and HTTP headers for noindex, nosnippet, max-snippet and data-nosnippet.</t>
        </is>
      </c>
      <c r="F11" s="14" t="inlineStr">
        <is>
          <t>High</t>
        </is>
      </c>
      <c r="G11" s="15" t="inlineStr">
        <is>
          <t>Google-documented</t>
        </is>
      </c>
      <c r="H11" s="14" t="inlineStr">
        <is>
          <t>Not started</t>
        </is>
      </c>
      <c r="I11" s="15" t="inlineStr"/>
      <c r="J11" s="15" t="inlineStr"/>
      <c r="K11" s="17">
        <f>HYPERLINK("https://www.mlforseo.com/machine-learning-implementation-guides/ai-search-optimisation/indexed-is-not-selected/","Indexed is not selected (Beatrice Gamba)")</f>
        <v/>
      </c>
      <c r="L11" s="17">
        <f>HYPERLINK("https://developers.google.com/search/docs/appearance/ai-features","Google: AI features and your website")</f>
        <v/>
      </c>
    </row>
    <row r="12" ht="66" customHeight="1">
      <c r="A12" s="14" t="inlineStr">
        <is>
          <t>G11</t>
        </is>
      </c>
      <c r="B12" s="15" t="inlineStr">
        <is>
          <t>2. Indexing &amp; eligibility</t>
        </is>
      </c>
      <c r="C12" s="16" t="inlineStr">
        <is>
          <t>Priority pages are indexed in Bing, and changes are pushed with IndexNow</t>
        </is>
      </c>
      <c r="D12" s="15" t="inlineStr">
        <is>
          <t>Bing's index feeds Bing results and Microsoft Copilot answers. IndexNow tells Bing (and other participating engines) about new and updated URLs within minutes.</t>
        </is>
      </c>
      <c r="E12" s="15" t="inlineStr">
        <is>
          <t>Bing Webmaster Tools &gt; URL Inspection; set up IndexNow through your CMS, CDN or a script.</t>
        </is>
      </c>
      <c r="F12" s="14" t="inlineStr">
        <is>
          <t>Medium</t>
        </is>
      </c>
      <c r="G12" s="15" t="inlineStr">
        <is>
          <t>Platform-documented</t>
        </is>
      </c>
      <c r="H12" s="14" t="inlineStr">
        <is>
          <t>Not started</t>
        </is>
      </c>
      <c r="I12" s="15" t="inlineStr"/>
      <c r="J12" s="15" t="inlineStr"/>
      <c r="K12" s="17">
        <f>HYPERLINK("https://www.mlforseo.com/machine-learning-implementation-guides/indexnow-api-python/","The IndexNow API guide")</f>
        <v/>
      </c>
      <c r="L12" s="17">
        <f>HYPERLINK("https://www.bing.com/webmasters/","Bing Webmaster Tools")</f>
        <v/>
      </c>
    </row>
    <row r="13" ht="66" customHeight="1">
      <c r="A13" s="14" t="inlineStr">
        <is>
          <t>G12</t>
        </is>
      </c>
      <c r="B13" s="15" t="inlineStr">
        <is>
          <t>2. Indexing &amp; eligibility</t>
        </is>
      </c>
      <c r="C13" s="16" t="inlineStr">
        <is>
          <t>Priority pages are reachable through internal links (no orphans) within a few clicks</t>
        </is>
      </c>
      <c r="D13" s="15" t="inlineStr">
        <is>
          <t>Google lists internal links among the SEO basics that still matter for AI features, and crawlers of every kind discover pages through links.</t>
        </is>
      </c>
      <c r="E13" s="15" t="inlineStr">
        <is>
          <t>Crawl the site and compare crawled URLs with your sitemap and analytics landing pages. Check click depth for priority pages.</t>
        </is>
      </c>
      <c r="F13" s="14" t="inlineStr">
        <is>
          <t>Medium</t>
        </is>
      </c>
      <c r="G13" s="15" t="inlineStr">
        <is>
          <t>Google-documented</t>
        </is>
      </c>
      <c r="H13" s="14" t="inlineStr">
        <is>
          <t>Not started</t>
        </is>
      </c>
      <c r="I13" s="15" t="inlineStr"/>
      <c r="J13" s="15" t="inlineStr"/>
      <c r="K13" s="17">
        <f>HYPERLINK("https://www.mlforseo.com/machine-learning-implementation-guides/ai-search-optimisation/blog-site-architecture-ai-search/","Blog and site architecture in the AI search era")</f>
        <v/>
      </c>
      <c r="L13" s="17">
        <f>HYPERLINK("https://developers.google.com/search/docs/appearance/ai-features","Google: AI features and your website")</f>
        <v/>
      </c>
    </row>
    <row r="14" ht="96" customHeight="1">
      <c r="A14" s="14" t="inlineStr">
        <is>
          <t>G13</t>
        </is>
      </c>
      <c r="B14" s="15" t="inlineStr">
        <is>
          <t>3. Entity clarity</t>
        </is>
      </c>
      <c r="C14" s="16" t="inlineStr">
        <is>
          <t>Your organisation (or person) is described in Organization / Person markup on the home or about page</t>
        </is>
      </c>
      <c r="D14" s="15" t="inlineStr">
        <is>
          <t>This is how you state who you are in a format machines parse directly: name, URL, logo, description and the profiles that confirm you. Google recommends placing it on the home page or a single page about the organisation.</t>
        </is>
      </c>
      <c r="E14" s="15" t="inlineStr">
        <is>
          <t>View Source on the home and about pages, then run the Rich Results Test and the Schema Markup Validator. Check name, url, logo, description and sameAs are present.</t>
        </is>
      </c>
      <c r="F14" s="14" t="inlineStr">
        <is>
          <t>High</t>
        </is>
      </c>
      <c r="G14" s="15" t="inlineStr">
        <is>
          <t>Google-documented</t>
        </is>
      </c>
      <c r="H14" s="14" t="inlineStr">
        <is>
          <t>Not started</t>
        </is>
      </c>
      <c r="I14" s="15" t="inlineStr"/>
      <c r="J14" s="15" t="inlineStr"/>
      <c r="K14" s="17">
        <f>HYPERLINK("https://www.mlforseo.com/machine-learning-implementation-guides/structured-data-audit/how-structured-data-reinforces-entity-understanding-in-ai-search/","Structured data and entity understanding")</f>
        <v/>
      </c>
      <c r="L14" s="17">
        <f>HYPERLINK("https://developers.google.com/search/docs/appearance/structured-data/organization","Google: Organization structured data")</f>
        <v/>
      </c>
    </row>
    <row r="15" ht="81" customHeight="1">
      <c r="A15" s="14" t="inlineStr">
        <is>
          <t>G14</t>
        </is>
      </c>
      <c r="B15" s="15" t="inlineStr">
        <is>
          <t>3. Entity clarity</t>
        </is>
      </c>
      <c r="C15" s="16" t="inlineStr">
        <is>
          <t>One canonical brand name is used, character for character, everywhere</t>
        </is>
      </c>
      <c r="D15" s="15" t="inlineStr">
        <is>
          <t>'Acme', 'Acme Corp' and 'Acme Corporation' can be read as three different entities. Consistent naming stops your entity fragmenting across the site, profiles and knowledge bases.</t>
        </is>
      </c>
      <c r="E15" s="15" t="inlineStr">
        <is>
          <t>Write the canonical form into your style guide. Search the site (and your schema) for variants; compare with LinkedIn, Crunchbase, Wikidata and directory listings.</t>
        </is>
      </c>
      <c r="F15" s="14" t="inlineStr">
        <is>
          <t>High</t>
        </is>
      </c>
      <c r="G15" s="15" t="inlineStr">
        <is>
          <t>MLforSEO practice</t>
        </is>
      </c>
      <c r="H15" s="14" t="inlineStr">
        <is>
          <t>Not started</t>
        </is>
      </c>
      <c r="I15" s="15" t="inlineStr"/>
      <c r="J15" s="15" t="inlineStr"/>
      <c r="K15" s="17">
        <f>HYPERLINK("https://www.mlforseo.com/machine-learning-implementation-guides/ai-search-optimisation/consistency-beats-completeness-structured-data/","Consistency beats completeness")</f>
        <v/>
      </c>
      <c r="L15" s="15" t="inlineStr"/>
    </row>
    <row r="16" ht="81" customHeight="1">
      <c r="A16" s="14" t="inlineStr">
        <is>
          <t>G15</t>
        </is>
      </c>
      <c r="B16" s="15" t="inlineStr">
        <is>
          <t>3. Entity clarity</t>
        </is>
      </c>
      <c r="C16" s="16" t="inlineStr">
        <is>
          <t>Core entities have a stable @id that other markup points to</t>
        </is>
      </c>
      <c r="D16" s="15" t="inlineStr">
        <is>
          <t>A stable @id turns separate Organization, Person and Article blocks into one connected graph: the publisher of every article, the employer of every author, the brand of every product.</t>
        </is>
      </c>
      <c r="E16" s="15" t="inlineStr">
        <is>
          <t>In the JSON-LD on several page types, check that the Organization has an @id that never changes, and that publisher, author, worksFor and brand reference those @id values.</t>
        </is>
      </c>
      <c r="F16" s="14" t="inlineStr">
        <is>
          <t>Medium</t>
        </is>
      </c>
      <c r="G16" s="15" t="inlineStr">
        <is>
          <t>MLforSEO practice</t>
        </is>
      </c>
      <c r="H16" s="14" t="inlineStr">
        <is>
          <t>Not started</t>
        </is>
      </c>
      <c r="I16" s="15" t="inlineStr"/>
      <c r="J16" s="15" t="inlineStr"/>
      <c r="K16" s="17">
        <f>HYPERLINK("https://www.mlforseo.com/machine-learning-implementation-guides/structured-data-audit/what-schema-org-id-does-and-why-your-entity-graph-falls-apart-without-it/","What schema.org @id does")</f>
        <v/>
      </c>
      <c r="L16" s="17">
        <f>HYPERLINK("https://www.mlforseo.com/machine-learning-implementation-guides/structured-data-audit/structured-data-automation-python/","Structured data automation with Python")</f>
        <v/>
      </c>
    </row>
    <row r="17" ht="81" customHeight="1">
      <c r="A17" s="14" t="inlineStr">
        <is>
          <t>G16</t>
        </is>
      </c>
      <c r="B17" s="15" t="inlineStr">
        <is>
          <t>3. Entity clarity</t>
        </is>
      </c>
      <c r="C17" s="16" t="inlineStr">
        <is>
          <t>Every sameAs link works and shows the same name as your markup</t>
        </is>
      </c>
      <c r="D17" s="15" t="inlineStr">
        <is>
          <t>schema.org defines sameAs as a page that unambiguously indicates the item's identity. A broken link, or a profile showing a different name, gives systems a contradiction instead of a confirmation.</t>
        </is>
      </c>
      <c r="E17" s="15" t="inlineStr">
        <is>
          <t>Open each sameAs URL. Record the status code and the displayed name. Remove or fix anything that 404s, redirects somewhere unrelated or shows a different name.</t>
        </is>
      </c>
      <c r="F17" s="14" t="inlineStr">
        <is>
          <t>High</t>
        </is>
      </c>
      <c r="G17" s="15" t="inlineStr">
        <is>
          <t>MLforSEO practice</t>
        </is>
      </c>
      <c r="H17" s="14" t="inlineStr">
        <is>
          <t>Not started</t>
        </is>
      </c>
      <c r="I17" s="15" t="inlineStr"/>
      <c r="J17" s="15" t="inlineStr"/>
      <c r="K17" s="17">
        <f>HYPERLINK("https://www.mlforseo.com/machine-learning-implementation-guides/ai-search-optimisation/consistency-beats-completeness-structured-data/","Consistency beats completeness")</f>
        <v/>
      </c>
      <c r="L17" s="17">
        <f>HYPERLINK("https://schema.org/sameAs","schema.org: sameAs")</f>
        <v/>
      </c>
    </row>
    <row r="18" ht="96" customHeight="1">
      <c r="A18" s="14" t="inlineStr">
        <is>
          <t>G17</t>
        </is>
      </c>
      <c r="B18" s="15" t="inlineStr">
        <is>
          <t>3. Entity clarity</t>
        </is>
      </c>
      <c r="C18" s="16" t="inlineStr">
        <is>
          <t>On its own page, your main entity is the most prominent entity (navigation isn't drowning it)</t>
        </is>
      </c>
      <c r="D18" s="15" t="inlineStr">
        <is>
          <t>Entity extraction weighs the whole page. Repeated menu and footer labels can outscore your brand or topic on the very page meant to define it.</t>
        </is>
      </c>
      <c r="E18" s="15" t="inlineStr">
        <is>
          <t>Run Google's Natural Language API (or the MLforSEO no-code template) on the full page, then on the main content only. Check the brand or topic leads on salience. Wrap layout in &lt;nav&gt;, &lt;main&gt;, &lt;aside&gt; and &lt;footer&gt;.</t>
        </is>
      </c>
      <c r="F18" s="14" t="inlineStr">
        <is>
          <t>Medium</t>
        </is>
      </c>
      <c r="G18" s="15" t="inlineStr">
        <is>
          <t>MLforSEO practice</t>
        </is>
      </c>
      <c r="H18" s="14" t="inlineStr">
        <is>
          <t>Not started</t>
        </is>
      </c>
      <c r="I18" s="15" t="inlineStr"/>
      <c r="J18" s="15" t="inlineStr"/>
      <c r="K18" s="17">
        <f>HYPERLINK("https://www.mlforseo.com/machine-learning-tutorials/entity-analysis/why-navigation-elements-outrank-your-brand-in-entity-analysis/","Why navigation outranks your brand")</f>
        <v/>
      </c>
      <c r="L18" s="15" t="inlineStr"/>
    </row>
    <row r="19" ht="81" customHeight="1">
      <c r="A19" s="14" t="inlineStr">
        <is>
          <t>G18</t>
        </is>
      </c>
      <c r="B19" s="15" t="inlineStr">
        <is>
          <t>3. Entity clarity</t>
        </is>
      </c>
      <c r="C19" s="16" t="inlineStr">
        <is>
          <t>If your brand name is shared with something else, it's disambiguated</t>
        </is>
      </c>
      <c r="D19" s="15" t="inlineStr">
        <is>
          <t>When systems can't tell which entity you mean, your content gets attributed elsewhere or not at all. Full names plus category context and sameAs links resolve the collision.</t>
        </is>
      </c>
      <c r="E19" s="15" t="inlineStr">
        <is>
          <t>Query your brand in the Knowledge Graph Search API and in AI assistants. If another entity dominates, use the full name with a category descriptor in the H1, intro, meta description and schema description.</t>
        </is>
      </c>
      <c r="F19" s="14" t="inlineStr">
        <is>
          <t>Medium</t>
        </is>
      </c>
      <c r="G19" s="15" t="inlineStr">
        <is>
          <t>MLforSEO practice</t>
        </is>
      </c>
      <c r="H19" s="14" t="inlineStr">
        <is>
          <t>Not started</t>
        </is>
      </c>
      <c r="I19" s="15" t="inlineStr"/>
      <c r="J19" s="15" t="inlineStr"/>
      <c r="K19" s="17">
        <f>HYPERLINK("https://www.mlforseo.com/machine-learning-tutorials/entity-analysis/entity-disambiguation-in-practice/","Entity disambiguation in practice")</f>
        <v/>
      </c>
      <c r="L19" s="17">
        <f>HYPERLINK("https://developers.google.com/knowledge-graph","Google: Knowledge Graph Search API")</f>
        <v/>
      </c>
    </row>
    <row r="20" ht="81" customHeight="1">
      <c r="A20" s="14" t="inlineStr">
        <is>
          <t>G19</t>
        </is>
      </c>
      <c r="B20" s="15" t="inlineStr">
        <is>
          <t>3. Entity clarity</t>
        </is>
      </c>
      <c r="C20" s="16" t="inlineStr">
        <is>
          <t>Content covers the sub-questions your key topics fan out into</t>
        </is>
      </c>
      <c r="D20" s="15" t="inlineStr">
        <is>
          <t>Google says AI Overviews and AI Mode may use query fan-out: several related searches across subtopics. Pages that answer one sub-question clearly can be picked for that slice of the answer.</t>
        </is>
      </c>
      <c r="E20" s="15" t="inlineStr">
        <is>
          <t>For each priority topic, list the sub-questions a real buyer asks (People Also Ask, sales calls, support tickets, AI follow-up suggestions). Map each to a page or section; mark gaps.</t>
        </is>
      </c>
      <c r="F20" s="14" t="inlineStr">
        <is>
          <t>Medium</t>
        </is>
      </c>
      <c r="G20" s="15" t="inlineStr">
        <is>
          <t>Google-documented</t>
        </is>
      </c>
      <c r="H20" s="14" t="inlineStr">
        <is>
          <t>Not started</t>
        </is>
      </c>
      <c r="I20" s="15" t="inlineStr"/>
      <c r="J20" s="15" t="inlineStr"/>
      <c r="K20" s="17">
        <f>HYPERLINK("https://www.mlforseo.com/machine-learning-implementation-guides/ai-search-optimisation/how-entities-power-query-fan-out-in-ai-search/","How entities power query fan-out")</f>
        <v/>
      </c>
      <c r="L20" s="17">
        <f>HYPERLINK("https://developers.google.com/search/docs/appearance/ai-features","Google: AI features and your website")</f>
        <v/>
      </c>
    </row>
    <row r="21" ht="81" customHeight="1">
      <c r="A21" s="14" t="inlineStr">
        <is>
          <t>G20</t>
        </is>
      </c>
      <c r="B21" s="15" t="inlineStr">
        <is>
          <t>4. Chunk extractability</t>
        </is>
      </c>
      <c r="C21" s="16" t="inlineStr">
        <is>
          <t>Headings say what the section answers, in the words a person would search</t>
        </is>
      </c>
      <c r="D21" s="15" t="inlineStr">
        <is>
          <t>Retrieval systems cut pages into passages and judge each on its own. A heading like 'What does X cost for small teams?' is a strong signal for that passage; 'A closer look' carries none.</t>
        </is>
      </c>
      <c r="E21" s="15" t="inlineStr">
        <is>
          <t>Read every H2 and H3 out of context. Could each stand alone as a search query or a clear label? Rewrite the vague ones.</t>
        </is>
      </c>
      <c r="F21" s="14" t="inlineStr">
        <is>
          <t>High</t>
        </is>
      </c>
      <c r="G21" s="15" t="inlineStr">
        <is>
          <t>MLforSEO practice</t>
        </is>
      </c>
      <c r="H21" s="14" t="inlineStr">
        <is>
          <t>Not started</t>
        </is>
      </c>
      <c r="I21" s="15" t="inlineStr"/>
      <c r="J21" s="15" t="inlineStr"/>
      <c r="K21" s="17">
        <f>HYPERLINK("https://www.mlforseo.com/machine-learning-implementation-guides/ai-search-optimisation/chunk-not-the-page/","The chunk, not the page")</f>
        <v/>
      </c>
      <c r="L21" s="15" t="inlineStr"/>
    </row>
    <row r="22" ht="81" customHeight="1">
      <c r="A22" s="14" t="inlineStr">
        <is>
          <t>G21</t>
        </is>
      </c>
      <c r="B22" s="15" t="inlineStr">
        <is>
          <t>4. Chunk extractability</t>
        </is>
      </c>
      <c r="C22" s="16" t="inlineStr">
        <is>
          <t>Every section makes sense on its own (no 'as noted above', no orphan 'it' or 'this')</t>
        </is>
      </c>
      <c r="D22" s="15" t="inlineStr">
        <is>
          <t>An extracted passage carries no memory of the rest of the page. Back-references and pronouns without a named subject become broken references once the chunk is lifted out.</t>
        </is>
      </c>
      <c r="E22" s="15" t="inlineStr">
        <is>
          <t>Search the page for 'as mentioned', 'as noted above', 'see below', 'as we discussed' and drive them to zero. Name the subject in the first sentence of each section.</t>
        </is>
      </c>
      <c r="F22" s="14" t="inlineStr">
        <is>
          <t>High</t>
        </is>
      </c>
      <c r="G22" s="15" t="inlineStr">
        <is>
          <t>MLforSEO practice</t>
        </is>
      </c>
      <c r="H22" s="14" t="inlineStr">
        <is>
          <t>Not started</t>
        </is>
      </c>
      <c r="I22" s="15" t="inlineStr"/>
      <c r="J22" s="15" t="inlineStr"/>
      <c r="K22" s="17">
        <f>HYPERLINK("https://www.mlforseo.com/machine-learning-implementation-guides/ai-search-optimisation/chunk-not-the-page/","The chunk, not the page")</f>
        <v/>
      </c>
      <c r="L22" s="15" t="inlineStr"/>
    </row>
    <row r="23" ht="66" customHeight="1">
      <c r="A23" s="14" t="inlineStr">
        <is>
          <t>G22</t>
        </is>
      </c>
      <c r="B23" s="15" t="inlineStr">
        <is>
          <t>4. Chunk extractability</t>
        </is>
      </c>
      <c r="C23" s="16" t="inlineStr">
        <is>
          <t>One main idea per headed section</t>
        </is>
      </c>
      <c r="D23" s="15" t="inlineStr">
        <is>
          <t>A paragraph that mixes problem, cause and fix is a blend that matches no single query well. Separate sections give each idea its own sharp passage.</t>
        </is>
      </c>
      <c r="E23" s="15" t="inlineStr">
        <is>
          <t>Skim each long section: if it answers more than one question, split it under separate headings.</t>
        </is>
      </c>
      <c r="F23" s="14" t="inlineStr">
        <is>
          <t>Medium</t>
        </is>
      </c>
      <c r="G23" s="15" t="inlineStr">
        <is>
          <t>MLforSEO practice</t>
        </is>
      </c>
      <c r="H23" s="14" t="inlineStr">
        <is>
          <t>Not started</t>
        </is>
      </c>
      <c r="I23" s="15" t="inlineStr"/>
      <c r="J23" s="15" t="inlineStr"/>
      <c r="K23" s="17">
        <f>HYPERLINK("https://www.mlforseo.com/machine-learning-implementation-guides/ai-search-optimisation/chunk-not-the-page/","The chunk, not the page")</f>
        <v/>
      </c>
      <c r="L23" s="15" t="inlineStr"/>
    </row>
    <row r="24" ht="66" customHeight="1">
      <c r="A24" s="14" t="inlineStr">
        <is>
          <t>G23</t>
        </is>
      </c>
      <c r="B24" s="15" t="inlineStr">
        <is>
          <t>4. Chunk extractability</t>
        </is>
      </c>
      <c r="C24" s="16" t="inlineStr">
        <is>
          <t>Each section leads with the direct answer, then the detail</t>
        </is>
      </c>
      <c r="D24" s="15" t="inlineStr">
        <is>
          <t>Answer-first writing puts the extractable claim where both readers and machines find it first. Detail and nuance can follow.</t>
        </is>
      </c>
      <c r="E24" s="15" t="inlineStr">
        <is>
          <t>Check the first one or two sentences under each heading. Do they answer the heading directly? If the answer appears three paragraphs in, move it up.</t>
        </is>
      </c>
      <c r="F24" s="14" t="inlineStr">
        <is>
          <t>Medium</t>
        </is>
      </c>
      <c r="G24" s="15" t="inlineStr">
        <is>
          <t>MLforSEO practice</t>
        </is>
      </c>
      <c r="H24" s="14" t="inlineStr">
        <is>
          <t>Not started</t>
        </is>
      </c>
      <c r="I24" s="15" t="inlineStr"/>
      <c r="J24" s="15" t="inlineStr"/>
      <c r="K24" s="17">
        <f>HYPERLINK("https://www.mlforseo.com/machine-learning-implementation-guides/ai-search-optimisation/chunk-not-the-page/","The chunk, not the page")</f>
        <v/>
      </c>
      <c r="L24" s="15" t="inlineStr"/>
    </row>
    <row r="25" ht="66" customHeight="1">
      <c r="A25" s="14" t="inlineStr">
        <is>
          <t>G24</t>
        </is>
      </c>
      <c r="B25" s="15" t="inlineStr">
        <is>
          <t>4. Chunk extractability</t>
        </is>
      </c>
      <c r="C25" s="16" t="inlineStr">
        <is>
          <t>Comparisons, specs and prices are in HTML tables with a sentence explaining them</t>
        </is>
      </c>
      <c r="D25" s="15" t="inlineStr">
        <is>
          <t>Tables pack structured facts into far fewer tokens than prose. The explanatory sentence keeps the meaning attached if the table is extracted on its own.</t>
        </is>
      </c>
      <c r="E25" s="15" t="inlineStr">
        <is>
          <t>Find prose that lists attributes, plans, sizes or specs. Convert to a real &lt;table&gt; (not an image), with a one-sentence summary directly above it.</t>
        </is>
      </c>
      <c r="F25" s="14" t="inlineStr">
        <is>
          <t>Medium</t>
        </is>
      </c>
      <c r="G25" s="15" t="inlineStr">
        <is>
          <t>MLforSEO practice</t>
        </is>
      </c>
      <c r="H25" s="14" t="inlineStr">
        <is>
          <t>Not started</t>
        </is>
      </c>
      <c r="I25" s="15" t="inlineStr"/>
      <c r="J25" s="15" t="inlineStr"/>
      <c r="K25" s="17">
        <f>HYPERLINK("https://www.mlforseo.com/machine-learning-implementation-guides/ai-search-optimisation/robots-txt-silent-killer-ai-traffic/","Your robots.txt might be the silent killer of your AI traffic")</f>
        <v/>
      </c>
      <c r="L25" s="15" t="inlineStr"/>
    </row>
    <row r="26" ht="96" customHeight="1">
      <c r="A26" s="14" t="inlineStr">
        <is>
          <t>G25</t>
        </is>
      </c>
      <c r="B26" s="15" t="inlineStr">
        <is>
          <t>4. Chunk extractability</t>
        </is>
      </c>
      <c r="C26" s="16" t="inlineStr">
        <is>
          <t>Sources, dates and named entities sit in the same sentence as the statistic</t>
        </is>
      </c>
      <c r="D26" s="15" t="inlineStr">
        <is>
          <t>Bylines, footnotes and reference lists don't travel with an extracted chunk. In the GEO study, adding citations, quotations and statistics raised source visibility in generative answers by up to 40% on their benchmark.</t>
        </is>
      </c>
      <c r="E26" s="15" t="inlineStr">
        <is>
          <t>For every number or claim you want cited, check the sentence names the source, the scope and the date. Replace 'our research found' with the named organisation and study.</t>
        </is>
      </c>
      <c r="F26" s="14" t="inlineStr">
        <is>
          <t>High</t>
        </is>
      </c>
      <c r="G26" s="15" t="inlineStr">
        <is>
          <t>Research-backed</t>
        </is>
      </c>
      <c r="H26" s="14" t="inlineStr">
        <is>
          <t>Not started</t>
        </is>
      </c>
      <c r="I26" s="15" t="inlineStr"/>
      <c r="J26" s="15" t="inlineStr"/>
      <c r="K26" s="17">
        <f>HYPERLINK("https://www.mlforseo.com/machine-learning-implementation-guides/ai-search-optimisation/chunk-not-the-page/","The chunk, not the page")</f>
        <v/>
      </c>
      <c r="L26" s="17">
        <f>HYPERLINK("https://arxiv.org/abs/2311.09735","Aggarwal et al., GEO: Generative Engine Optimization (KDD 2024)")</f>
        <v/>
      </c>
    </row>
    <row r="27" ht="66" customHeight="1">
      <c r="A27" s="14" t="inlineStr">
        <is>
          <t>G26</t>
        </is>
      </c>
      <c r="B27" s="15" t="inlineStr">
        <is>
          <t>5. Claim quality</t>
        </is>
      </c>
      <c r="C27" s="16" t="inlineStr">
        <is>
          <t>Key claims pass the three-property test: extract-friendly, verifiable, specific</t>
        </is>
      </c>
      <c r="D27" s="15" t="inlineStr">
        <is>
          <t>A claim with no value to lift, nothing to cross-check and no exact detail gives a system nothing to select. Vague sentences are skipped, not ranked lower.</t>
        </is>
      </c>
      <c r="E27" s="15" t="inlineStr">
        <is>
          <t>List the 5 to 10 claims you most want cited (price, use case, size, founding year, key results). Score each against the three properties and rewrite failures.</t>
        </is>
      </c>
      <c r="F27" s="14" t="inlineStr">
        <is>
          <t>High</t>
        </is>
      </c>
      <c r="G27" s="15" t="inlineStr">
        <is>
          <t>MLforSEO practice</t>
        </is>
      </c>
      <c r="H27" s="14" t="inlineStr">
        <is>
          <t>Not started</t>
        </is>
      </c>
      <c r="I27" s="15" t="inlineStr"/>
      <c r="J27" s="15" t="inlineStr"/>
      <c r="K27" s="17">
        <f>HYPERLINK("https://www.mlforseo.com/machine-learning-implementation-guides/ai-search-optimisation/vagueness-is-a-disqualifier/","Vagueness is a disqualifier")</f>
        <v/>
      </c>
      <c r="L27" s="15" t="inlineStr"/>
    </row>
    <row r="28" ht="96" customHeight="1">
      <c r="A28" s="14" t="inlineStr">
        <is>
          <t>G27</t>
        </is>
      </c>
      <c r="B28" s="15" t="inlineStr">
        <is>
          <t>5. Claim quality</t>
        </is>
      </c>
      <c r="C28" s="16" t="inlineStr">
        <is>
          <t>Marketing phrases are backed by the exact fact underneath</t>
        </is>
      </c>
      <c r="D28" s="15" t="inlineStr">
        <is>
          <t>'Flexible pricing' and 'many integrations' name nothing. '£25 per user per month' and '50 integrations including Slack and Jira' can be extracted and checked. Keep the persuasive line if you like, but add the fact.</t>
        </is>
      </c>
      <c r="E28" s="15" t="inlineStr">
        <is>
          <t>Search priority pages for 'leading', 'world-class', 'many', 'flexible', 'affordable', 'best-in-class'. Add the number, name or date behind each.</t>
        </is>
      </c>
      <c r="F28" s="14" t="inlineStr">
        <is>
          <t>High</t>
        </is>
      </c>
      <c r="G28" s="15" t="inlineStr">
        <is>
          <t>MLforSEO practice</t>
        </is>
      </c>
      <c r="H28" s="14" t="inlineStr">
        <is>
          <t>Not started</t>
        </is>
      </c>
      <c r="I28" s="15" t="inlineStr"/>
      <c r="J28" s="15" t="inlineStr"/>
      <c r="K28" s="17">
        <f>HYPERLINK("https://www.mlforseo.com/machine-learning-implementation-guides/ai-search-optimisation/vagueness-is-a-disqualifier/","Vagueness is a disqualifier")</f>
        <v/>
      </c>
      <c r="L28" s="17">
        <f>HYPERLINK("https://arxiv.org/abs/2311.09735","Aggarwal et al., GEO: Generative Engine Optimization (KDD 2024)")</f>
        <v/>
      </c>
    </row>
    <row r="29" ht="66" customHeight="1">
      <c r="A29" s="14" t="inlineStr">
        <is>
          <t>G28</t>
        </is>
      </c>
      <c r="B29" s="15" t="inlineStr">
        <is>
          <t>5. Claim quality</t>
        </is>
      </c>
      <c r="C29" s="16" t="inlineStr">
        <is>
          <t>Time-sensitive facts carry a date ('as of October 2026') and the page shows when it was updated</t>
        </is>
      </c>
      <c r="D29" s="15" t="inlineStr">
        <is>
          <t>Words like 'current' and 'latest' decay and give no fixed point. A date lets systems and readers judge freshness.</t>
        </is>
      </c>
      <c r="E29" s="15" t="inlineStr">
        <is>
          <t>Check prices, stats, product details and policies for an 'as of' date. Make sure the visible updated date is real (changed content, not a cosmetic bump).</t>
        </is>
      </c>
      <c r="F29" s="14" t="inlineStr">
        <is>
          <t>Medium</t>
        </is>
      </c>
      <c r="G29" s="15" t="inlineStr">
        <is>
          <t>MLforSEO practice</t>
        </is>
      </c>
      <c r="H29" s="14" t="inlineStr">
        <is>
          <t>Not started</t>
        </is>
      </c>
      <c r="I29" s="15" t="inlineStr"/>
      <c r="J29" s="15" t="inlineStr"/>
      <c r="K29" s="17">
        <f>HYPERLINK("https://www.mlforseo.com/machine-learning-implementation-guides/ai-search-optimisation/vagueness-is-a-disqualifier/","Vagueness is a disqualifier")</f>
        <v/>
      </c>
      <c r="L29" s="15" t="inlineStr"/>
    </row>
    <row r="30" ht="66" customHeight="1">
      <c r="A30" s="14" t="inlineStr">
        <is>
          <t>G29</t>
        </is>
      </c>
      <c r="B30" s="15" t="inlineStr">
        <is>
          <t>5. Claim quality</t>
        </is>
      </c>
      <c r="C30" s="16" t="inlineStr">
        <is>
          <t>Each priority page offers something others don't: original data, first-hand experience or a clear point of view</t>
        </is>
      </c>
      <c r="D30" s="15" t="inlineStr">
        <is>
          <t>If ten sources say the same thing, any one of them will do. Google's helpful content guidance asks whether content provides original information, reporting or analysis.</t>
        </is>
      </c>
      <c r="E30" s="15" t="inlineStr">
        <is>
          <t>Compare your page with the top results and AI answers for its main query. Note what only you can say (data, examples, tests, expert input) and make it prominent.</t>
        </is>
      </c>
      <c r="F30" s="14" t="inlineStr">
        <is>
          <t>Medium</t>
        </is>
      </c>
      <c r="G30" s="15" t="inlineStr">
        <is>
          <t>Google-documented</t>
        </is>
      </c>
      <c r="H30" s="14" t="inlineStr">
        <is>
          <t>Not started</t>
        </is>
      </c>
      <c r="I30" s="15" t="inlineStr"/>
      <c r="J30" s="15" t="inlineStr"/>
      <c r="K30" s="17">
        <f>HYPERLINK("https://www.mlforseo.com/ml-fundamentals/what-is-information-gain-in-seo/","What is information gain in SEO?")</f>
        <v/>
      </c>
      <c r="L30" s="17">
        <f>HYPERLINK("https://developers.google.com/search/docs/fundamentals/creating-helpful-content","Google: creating helpful content")</f>
        <v/>
      </c>
    </row>
    <row r="31" ht="66" customHeight="1">
      <c r="A31" s="14" t="inlineStr">
        <is>
          <t>G30</t>
        </is>
      </c>
      <c r="B31" s="15" t="inlineStr">
        <is>
          <t>6. Structured data</t>
        </is>
      </c>
      <c r="C31" s="16" t="inlineStr">
        <is>
          <t>Structured data matches the visible text on the page</t>
        </is>
      </c>
      <c r="D31" s="15" t="inlineStr">
        <is>
          <t>Google lists this among the SEO basics for AI features. Markup that disagrees with the page is a contradiction, and it breaks Google's structured data policies.</t>
        </is>
      </c>
      <c r="E31" s="15" t="inlineStr">
        <is>
          <t>Spot-check prices, ratings, dates, names and FAQs in the JSON-LD against the rendered page.</t>
        </is>
      </c>
      <c r="F31" s="14" t="inlineStr">
        <is>
          <t>High</t>
        </is>
      </c>
      <c r="G31" s="15" t="inlineStr">
        <is>
          <t>Google-documented</t>
        </is>
      </c>
      <c r="H31" s="14" t="inlineStr">
        <is>
          <t>Not started</t>
        </is>
      </c>
      <c r="I31" s="15" t="inlineStr"/>
      <c r="J31" s="15" t="inlineStr"/>
      <c r="K31" s="17">
        <f>HYPERLINK("https://www.mlforseo.com/machine-learning-implementation-guides/ai-search-optimisation/consistency-beats-completeness-structured-data/","Consistency beats completeness")</f>
        <v/>
      </c>
      <c r="L31" s="17">
        <f>HYPERLINK("https://developers.google.com/search/docs/appearance/structured-data/sd-policies","Google: structured data policies")</f>
        <v/>
      </c>
    </row>
    <row r="32" ht="81" customHeight="1">
      <c r="A32" s="14" t="inlineStr">
        <is>
          <t>G31</t>
        </is>
      </c>
      <c r="B32" s="15" t="inlineStr">
        <is>
          <t>6. Structured data</t>
        </is>
      </c>
      <c r="C32" s="16" t="inlineStr">
        <is>
          <t>Each page uses the type that matches what it is</t>
        </is>
      </c>
      <c r="D32" s="15" t="inlineStr">
        <is>
          <t>A CMS that stamps Organization on every URL tells systems your blog posts are the company. Article, Product, Service, ProfilePage and Organization each belong on their own kind of page.</t>
        </is>
      </c>
      <c r="E32" s="15" t="inlineStr">
        <is>
          <t>Crawl with structured data extraction on (for example Screaming Frog), then pivot schema types by page template.</t>
        </is>
      </c>
      <c r="F32" s="14" t="inlineStr">
        <is>
          <t>Medium</t>
        </is>
      </c>
      <c r="G32" s="15" t="inlineStr">
        <is>
          <t>MLforSEO practice</t>
        </is>
      </c>
      <c r="H32" s="14" t="inlineStr">
        <is>
          <t>Not started</t>
        </is>
      </c>
      <c r="I32" s="15" t="inlineStr"/>
      <c r="J32" s="15" t="inlineStr"/>
      <c r="K32" s="17">
        <f>HYPERLINK("https://www.mlforseo.com/machine-learning-implementation-guides/ai-search-optimisation/consistency-beats-completeness-structured-data/","Consistency beats completeness")</f>
        <v/>
      </c>
      <c r="L32" s="17">
        <f>HYPERLINK("https://www.mlforseo.com/machine-learning-implementation-guides/structured-data-audit/structured-data-automation-python/","Structured data automation with Python")</f>
        <v/>
      </c>
    </row>
    <row r="33" ht="96" customHeight="1">
      <c r="A33" s="14" t="inlineStr">
        <is>
          <t>G32</t>
        </is>
      </c>
      <c r="B33" s="15" t="inlineStr">
        <is>
          <t>6. Structured data</t>
        </is>
      </c>
      <c r="C33" s="16" t="inlineStr">
        <is>
          <t>Commercial facts are machine-readable: price, currency, availability, returns, shipping, opening hours</t>
        </is>
      </c>
      <c r="D33" s="15" t="inlineStr">
        <is>
          <t>Recommendation and shopping agents compare typed fields. If a returns policy or price exists only in prose, an agent may treat it as unknown. Google also asks you to keep Merchant Center and Business Profile up to date.</t>
        </is>
      </c>
      <c r="E33" s="15" t="inlineStr">
        <is>
          <t>Check Product / Offer markup (price, priceCurrency, availability), MerchantReturnPolicy and shipping details, LocalBusiness openingHoursSpecification. Compare with Merchant Center and Business Profile.</t>
        </is>
      </c>
      <c r="F33" s="14" t="inlineStr">
        <is>
          <t>Medium</t>
        </is>
      </c>
      <c r="G33" s="15" t="inlineStr">
        <is>
          <t>Google-documented</t>
        </is>
      </c>
      <c r="H33" s="14" t="inlineStr">
        <is>
          <t>Not started</t>
        </is>
      </c>
      <c r="I33" s="15" t="inlineStr"/>
      <c r="J33" s="15" t="inlineStr"/>
      <c r="K33" s="17">
        <f>HYPERLINK("https://www.mlforseo.com/machine-learning-implementation-guides/ai-search-optimisation/audience-no-longer-only-human-agentic-seo/","Your audience is no longer only human")</f>
        <v/>
      </c>
      <c r="L33" s="17">
        <f>HYPERLINK("https://developers.google.com/search/docs/appearance/ai-features","Google: AI features and your website")</f>
        <v/>
      </c>
    </row>
    <row r="34" ht="81" customHeight="1">
      <c r="A34" s="14" t="inlineStr">
        <is>
          <t>G33</t>
        </is>
      </c>
      <c r="B34" s="15" t="inlineStr">
        <is>
          <t>6. Structured data</t>
        </is>
      </c>
      <c r="C34" s="16" t="inlineStr">
        <is>
          <t>The same fact has the same value across every page, schema block and profile</t>
        </is>
      </c>
      <c r="D34" s="15" t="inlineStr">
        <is>
          <t>Gaps are neutral; contradictions are negative. A founding year of 2011 in schema, 2013 in a press release and 2012 on LinkedIn gives systems a conflict they can't resolve.</t>
        </is>
      </c>
      <c r="E34" s="15" t="inlineStr">
        <is>
          <t>Pull the values for name, founding date, employee count, address, prices and leadership from schema, about page, press kit and profiles. Use ranges (QuantitativeValue) for figures that change.</t>
        </is>
      </c>
      <c r="F34" s="14" t="inlineStr">
        <is>
          <t>Medium</t>
        </is>
      </c>
      <c r="G34" s="15" t="inlineStr">
        <is>
          <t>MLforSEO practice</t>
        </is>
      </c>
      <c r="H34" s="14" t="inlineStr">
        <is>
          <t>Not started</t>
        </is>
      </c>
      <c r="I34" s="15" t="inlineStr"/>
      <c r="J34" s="15" t="inlineStr"/>
      <c r="K34" s="17">
        <f>HYPERLINK("https://www.mlforseo.com/machine-learning-implementation-guides/ai-search-optimisation/consistency-beats-completeness-structured-data/","Consistency beats completeness")</f>
        <v/>
      </c>
      <c r="L34" s="15" t="inlineStr"/>
    </row>
    <row r="35" ht="81" customHeight="1">
      <c r="A35" s="14" t="inlineStr">
        <is>
          <t>G34</t>
        </is>
      </c>
      <c r="B35" s="15" t="inlineStr">
        <is>
          <t>7. Trust &amp; corroboration</t>
        </is>
      </c>
      <c r="C35" s="16" t="inlineStr">
        <is>
          <t>Your three most important facts are confirmed by independent sources, with the same values</t>
        </is>
      </c>
      <c r="D35" s="15" t="inlineStr">
        <is>
          <t>Claims that appear only on your own site are self-assertion. When an assistant cross-checks sources at answer time, independently confirmed claims are the ones that survive.</t>
        </is>
      </c>
      <c r="E35" s="15" t="inlineStr">
        <is>
          <t>Pick three facts (price, ideal customer, company size, founding year). Search each and count independent, non-promotional sources that state the same value. Zero is a gap to close.</t>
        </is>
      </c>
      <c r="F35" s="14" t="inlineStr">
        <is>
          <t>High</t>
        </is>
      </c>
      <c r="G35" s="15" t="inlineStr">
        <is>
          <t>MLforSEO practice</t>
        </is>
      </c>
      <c r="H35" s="14" t="inlineStr">
        <is>
          <t>Not started</t>
        </is>
      </c>
      <c r="I35" s="15" t="inlineStr"/>
      <c r="J35" s="15" t="inlineStr"/>
      <c r="K35" s="17">
        <f>HYPERLINK("https://www.mlforseo.com/machine-learning-implementation-guides/ai-search-optimisation/trust-is-not-a-schema-field/","Trust isn't a schema field")</f>
        <v/>
      </c>
      <c r="L35" s="15" t="inlineStr"/>
    </row>
    <row r="36" ht="66" customHeight="1">
      <c r="A36" s="14" t="inlineStr">
        <is>
          <t>G35</t>
        </is>
      </c>
      <c r="B36" s="15" t="inlineStr">
        <is>
          <t>7. Trust &amp; corroboration</t>
        </is>
      </c>
      <c r="C36" s="16" t="inlineStr">
        <is>
          <t>Canonical facts match across LinkedIn, Crunchbase, Wikidata, Business Profile, review sites and directories</t>
        </is>
      </c>
      <c r="D36" s="15" t="inlineStr">
        <is>
          <t>Every platform holding facts about you is a verification point. Consistent points add confidence; inconsistent ones subtract it.</t>
        </is>
      </c>
      <c r="E36" s="15" t="inlineStr">
        <is>
          <t>Keep a single source of truth (the Knowledge Panel checklist has a fact sheet tab). Audit each profile against it and fix mismatches, contradictions first.</t>
        </is>
      </c>
      <c r="F36" s="14" t="inlineStr">
        <is>
          <t>High</t>
        </is>
      </c>
      <c r="G36" s="15" t="inlineStr">
        <is>
          <t>MLforSEO practice</t>
        </is>
      </c>
      <c r="H36" s="14" t="inlineStr">
        <is>
          <t>Not started</t>
        </is>
      </c>
      <c r="I36" s="15" t="inlineStr"/>
      <c r="J36" s="15" t="inlineStr"/>
      <c r="K36" s="17">
        <f>HYPERLINK("https://www.mlforseo.com/machine-learning-implementation-guides/ai-search-optimisation/cross-platform-entity-consistency-the-llm-era/","Cross-platform entity consistency")</f>
        <v/>
      </c>
      <c r="L36" s="15" t="inlineStr"/>
    </row>
    <row r="37" ht="96" customHeight="1">
      <c r="A37" s="14" t="inlineStr">
        <is>
          <t>G36</t>
        </is>
      </c>
      <c r="B37" s="15" t="inlineStr">
        <is>
          <t>7. Trust &amp; corroboration</t>
        </is>
      </c>
      <c r="C37" s="16" t="inlineStr">
        <is>
          <t>Authors are real, identifiable people with consistent profiles</t>
        </is>
      </c>
      <c r="D37" s="15" t="inlineStr">
        <is>
          <t>Google's guidance asks you to make clear who created content and why they're qualified. Author pages, Person markup with sameAs, and a consistent external footprint (talks, publications, LinkedIn) let systems check that.</t>
        </is>
      </c>
      <c r="E37" s="15" t="inlineStr">
        <is>
          <t>Check bylines link to author pages; author pages state expertise in plain text and link to external profiles; Person markup uses a stable @id referenced from Article author.</t>
        </is>
      </c>
      <c r="F37" s="14" t="inlineStr">
        <is>
          <t>Medium</t>
        </is>
      </c>
      <c r="G37" s="15" t="inlineStr">
        <is>
          <t>Google-documented</t>
        </is>
      </c>
      <c r="H37" s="14" t="inlineStr">
        <is>
          <t>Not started</t>
        </is>
      </c>
      <c r="I37" s="15" t="inlineStr"/>
      <c r="J37" s="15" t="inlineStr"/>
      <c r="K37" s="17">
        <f>HYPERLINK("https://www.mlforseo.com/machine-learning-implementation-guides/ai-search-optimisation/trust-is-not-a-schema-field/","Trust isn't a schema field")</f>
        <v/>
      </c>
      <c r="L37" s="17">
        <f>HYPERLINK("https://developers.google.com/search/docs/fundamentals/creating-helpful-content","Google: creating helpful content")</f>
        <v/>
      </c>
    </row>
    <row r="38" ht="81" customHeight="1">
      <c r="A38" s="14" t="inlineStr">
        <is>
          <t>G37</t>
        </is>
      </c>
      <c r="B38" s="15" t="inlineStr">
        <is>
          <t>7. Trust &amp; corroboration</t>
        </is>
      </c>
      <c r="C38" s="16" t="inlineStr">
        <is>
          <t>You are present in the third-party places your category is discussed</t>
        </is>
      </c>
      <c r="D38" s="15" t="inlineStr">
        <is>
          <t>Assistants build answers from many sources. Reviews, comparisons, trade press, podcasts and conference programmes that name you next to your category and peers give them independent material to cite.</t>
        </is>
      </c>
      <c r="E38" s="15" t="inlineStr">
        <is>
          <t>Ask assistants for 'best [category] for [use case]' and list the sources they cite. Check which mention you, which don't, and whether the facts about you are right.</t>
        </is>
      </c>
      <c r="F38" s="14" t="inlineStr">
        <is>
          <t>Medium</t>
        </is>
      </c>
      <c r="G38" s="15" t="inlineStr">
        <is>
          <t>MLforSEO practice</t>
        </is>
      </c>
      <c r="H38" s="14" t="inlineStr">
        <is>
          <t>Not started</t>
        </is>
      </c>
      <c r="I38" s="15" t="inlineStr"/>
      <c r="J38" s="15" t="inlineStr"/>
      <c r="K38" s="17">
        <f>HYPERLINK("https://www.mlforseo.com/machine-learning-implementation-guides/ai-search-optimisation/how-llms-co-cite-building-authority-by-association/","How LLMs co-cite")</f>
        <v/>
      </c>
      <c r="L38" s="15" t="inlineStr"/>
    </row>
    <row r="39" ht="81" customHeight="1">
      <c r="A39" s="14" t="inlineStr">
        <is>
          <t>G38</t>
        </is>
      </c>
      <c r="B39" s="15" t="inlineStr">
        <is>
          <t>7. Trust &amp; corroboration</t>
        </is>
      </c>
      <c r="C39" s="16" t="inlineStr">
        <is>
          <t>If you qualify, your organisation has an accurate, referenced Wikidata item</t>
        </is>
      </c>
      <c r="D39" s="15" t="inlineStr">
        <is>
          <t>Wikidata is openly licensed, widely reused and a common reference for entity systems. Items need serious, publicly available references, and editing your own item is a conflict of interest to declare.</t>
        </is>
      </c>
      <c r="E39" s="15" t="inlineStr">
        <is>
          <t>Search Wikidata for an existing item first. Check label, description, instance of, official website and that statements have external references. See the Knowledge Panel checklist for the full audit.</t>
        </is>
      </c>
      <c r="F39" s="14" t="inlineStr">
        <is>
          <t>Medium</t>
        </is>
      </c>
      <c r="G39" s="15" t="inlineStr">
        <is>
          <t>Platform-documented</t>
        </is>
      </c>
      <c r="H39" s="14" t="inlineStr">
        <is>
          <t>Not started</t>
        </is>
      </c>
      <c r="I39" s="15" t="inlineStr"/>
      <c r="J39" s="15" t="inlineStr"/>
      <c r="K39" s="17">
        <f>HYPERLINK("https://www.mlforseo.com/knowledge-graph-strategy/wikidata-for-brands-notability-criteria-and-a-realistic-path/","Wikidata for brands")</f>
        <v/>
      </c>
      <c r="L39" s="17">
        <f>HYPERLINK("https://www.wikidata.org/wiki/Wikidata:Notability","Wikidata: notability policy")</f>
        <v/>
      </c>
    </row>
    <row r="40" ht="81" customHeight="1">
      <c r="A40" s="14" t="inlineStr">
        <is>
          <t>G39</t>
        </is>
      </c>
      <c r="B40" s="15" t="inlineStr">
        <is>
          <t>8. Measurement</t>
        </is>
      </c>
      <c r="C40" s="16" t="inlineStr">
        <is>
          <t>You have a fixed set of 10 to 50 real customer questions to test in AI assistants</t>
        </is>
      </c>
      <c r="D40" s="15" t="inlineStr">
        <is>
          <t>Rankings measure visibility to people scanning a results page; they can't show whether an assistant selected you. A fixed prompt set, rerun on a schedule, gives you a citation-rate baseline.</t>
        </is>
      </c>
      <c r="E40" s="15" t="inlineStr">
        <is>
          <t>Use the 'Prompt tracker' tab. Pull questions from sales calls, support tickets, Search Console queries and People Also Ask. Keep the wording fixed between runs.</t>
        </is>
      </c>
      <c r="F40" s="14" t="inlineStr">
        <is>
          <t>High</t>
        </is>
      </c>
      <c r="G40" s="15" t="inlineStr">
        <is>
          <t>MLforSEO practice</t>
        </is>
      </c>
      <c r="H40" s="14" t="inlineStr">
        <is>
          <t>Not started</t>
        </is>
      </c>
      <c r="I40" s="15" t="inlineStr"/>
      <c r="J40" s="15" t="inlineStr"/>
      <c r="K40" s="17">
        <f>HYPERLINK("https://www.mlforseo.com/machine-learning-implementation-guides/ai-search-optimisation/rank-tracker-ai-search-measurement/","Your rank tracker is lying to you about AI search")</f>
        <v/>
      </c>
      <c r="L40" s="15" t="inlineStr"/>
    </row>
    <row r="41" ht="81" customHeight="1">
      <c r="A41" s="14" t="inlineStr">
        <is>
          <t>G40</t>
        </is>
      </c>
      <c r="B41" s="15" t="inlineStr">
        <is>
          <t>8. Measurement</t>
        </is>
      </c>
      <c r="C41" s="16" t="inlineStr">
        <is>
          <t>Monthly: record whether you are mentioned, cited and described accurately in each assistant</t>
        </is>
      </c>
      <c r="D41" s="15" t="inlineStr">
        <is>
          <t>Answers vary between runs, so trends matter more than one result. Unoptimised content often sits around a 5 to 15% citation rate in MLforSEO's experience; accuracy problems point to the source records to fix.</t>
        </is>
      </c>
      <c r="E41" s="15" t="inlineStr">
        <is>
          <t>Run each prompt in ChatGPT, Perplexity, Claude, Gemini, Google AI Mode and Copilot (logged out where possible). Log results in the Prompt tracker; the Progress tab calculates the rates.</t>
        </is>
      </c>
      <c r="F41" s="14" t="inlineStr">
        <is>
          <t>High</t>
        </is>
      </c>
      <c r="G41" s="15" t="inlineStr">
        <is>
          <t>MLforSEO practice</t>
        </is>
      </c>
      <c r="H41" s="14" t="inlineStr">
        <is>
          <t>Not started</t>
        </is>
      </c>
      <c r="I41" s="15" t="inlineStr"/>
      <c r="J41" s="15" t="inlineStr"/>
      <c r="K41" s="17">
        <f>HYPERLINK("https://www.mlforseo.com/machine-learning-implementation-guides/ai-search-optimisation/dark-ai-traffic-hidden-in-direct/","Dark AI traffic")</f>
        <v/>
      </c>
      <c r="L41" s="15" t="inlineStr"/>
    </row>
    <row r="42" ht="111" customHeight="1">
      <c r="A42" s="14" t="inlineStr">
        <is>
          <t>G41</t>
        </is>
      </c>
      <c r="B42" s="15" t="inlineStr">
        <is>
          <t>8. Measurement</t>
        </is>
      </c>
      <c r="C42" s="16" t="inlineStr">
        <is>
          <t>GA4 shows AI assistant referrals as their own channel</t>
        </is>
      </c>
      <c r="D42" s="15" t="inlineStr">
        <is>
          <t>Since May 2026 GA4's default channel group includes an AI Assistant channel for visits from assistants such as ChatGPT, Gemini, Copilot and Grok. Clicks from Google's AI Overviews and AI Mode count as Google organic traffic and appear in Search Console's Performance report (Web search type).</t>
        </is>
      </c>
      <c r="E42" s="15" t="inlineStr">
        <is>
          <t>GA4 &gt; Reports &gt; Acquisition &gt; Traffic acquisition (default channel group). If you need control over which sources count, add a custom channel group with a referrer regex.</t>
        </is>
      </c>
      <c r="F42" s="14" t="inlineStr">
        <is>
          <t>Medium</t>
        </is>
      </c>
      <c r="G42" s="15" t="inlineStr">
        <is>
          <t>Google-documented</t>
        </is>
      </c>
      <c r="H42" s="14" t="inlineStr">
        <is>
          <t>Not started</t>
        </is>
      </c>
      <c r="I42" s="15" t="inlineStr"/>
      <c r="J42" s="15" t="inlineStr"/>
      <c r="K42" s="17">
        <f>HYPERLINK("https://www.mlforseo.com/machine-learning-implementation-guides/ai-search-optimisation/dark-ai-traffic-hidden-in-direct/","Dark AI traffic")</f>
        <v/>
      </c>
      <c r="L42" s="17">
        <f>HYPERLINK("https://developers.google.com/search/docs/appearance/ai-features","Google: AI features and your website")</f>
        <v/>
      </c>
    </row>
    <row r="43" ht="81" customHeight="1">
      <c r="A43" s="14" t="inlineStr">
        <is>
          <t>G42</t>
        </is>
      </c>
      <c r="B43" s="15" t="inlineStr">
        <is>
          <t>8. Measurement</t>
        </is>
      </c>
      <c r="C43" s="16" t="inlineStr">
        <is>
          <t>You watch for 'dark' AI traffic: direct visits growing faster than branded search</t>
        </is>
      </c>
      <c r="D43" s="15" t="inlineStr">
        <is>
          <t>Many AI-influenced visits arrive with no referrer and land in Direct. If direct grows much faster than branded search, part of the gap is likely AI-driven.</t>
        </is>
      </c>
      <c r="E43" s="15" t="inlineStr">
        <is>
          <t>Each month, put the trend of GA4 Direct sessions next to branded clicks in Search Console (filter queries containing your brand). Note the gap and any launches or campaigns that explain it.</t>
        </is>
      </c>
      <c r="F43" s="14" t="inlineStr">
        <is>
          <t>Low</t>
        </is>
      </c>
      <c r="G43" s="15" t="inlineStr">
        <is>
          <t>MLforSEO practice</t>
        </is>
      </c>
      <c r="H43" s="14" t="inlineStr">
        <is>
          <t>Not started</t>
        </is>
      </c>
      <c r="I43" s="15" t="inlineStr"/>
      <c r="J43" s="15" t="inlineStr"/>
      <c r="K43" s="17">
        <f>HYPERLINK("https://www.mlforseo.com/machine-learning-implementation-guides/ai-search-optimisation/dark-ai-traffic-hidden-in-direct/","Dark AI traffic")</f>
        <v/>
      </c>
      <c r="L43" s="15" t="inlineStr"/>
    </row>
    <row r="44" ht="96" customHeight="1">
      <c r="A44" s="14" t="inlineStr">
        <is>
          <t>G43</t>
        </is>
      </c>
      <c r="B44" s="15" t="inlineStr">
        <is>
          <t>8. Measurement</t>
        </is>
      </c>
      <c r="C44" s="16" t="inlineStr">
        <is>
          <t>You track early signals: AI crawl frequency and your entity's Knowledge Graph result</t>
        </is>
      </c>
      <c r="D44" s="15" t="inlineStr">
        <is>
          <t>Changes in crawling and in how confidently Google recognises your entity tend to show up before changes in citations and traffic.</t>
        </is>
      </c>
      <c r="E44" s="15" t="inlineStr">
        <is>
          <t>Monthly: AI bot hits per priority page from logs; Knowledge Graph Search API result for your brand (ID, name, resultScore). Google publishes no thresholds for resultScore, so compare it only with itself over time.</t>
        </is>
      </c>
      <c r="F44" s="14" t="inlineStr">
        <is>
          <t>Low</t>
        </is>
      </c>
      <c r="G44" s="15" t="inlineStr">
        <is>
          <t>MLforSEO practice</t>
        </is>
      </c>
      <c r="H44" s="14" t="inlineStr">
        <is>
          <t>Not started</t>
        </is>
      </c>
      <c r="I44" s="15" t="inlineStr"/>
      <c r="J44" s="15" t="inlineStr"/>
      <c r="K44" s="17">
        <f>HYPERLINK("https://www.mlforseo.com/machine-learning-implementation-guides/ai-search-optimisation/dark-ai-traffic-hidden-in-direct/","Dark AI traffic")</f>
        <v/>
      </c>
      <c r="L44" s="17">
        <f>HYPERLINK("https://developers.google.com/knowledge-graph","Google: Knowledge Graph Search API")</f>
        <v/>
      </c>
    </row>
    <row r="45" ht="81" customHeight="1">
      <c r="A45" s="14" t="inlineStr">
        <is>
          <t>G44</t>
        </is>
      </c>
      <c r="B45" s="15" t="inlineStr">
        <is>
          <t>8. Measurement</t>
        </is>
      </c>
      <c r="C45" s="16" t="inlineStr">
        <is>
          <t>Wrong or outdated AI answers about you are traced back to their sources and fixed there</t>
        </is>
      </c>
      <c r="D45" s="15" t="inlineStr">
        <is>
          <t>Assistants repeat what their sources say. Correcting your own pages and the third-party records they rely on is the lasting fix; arguing with one answer is not.</t>
        </is>
      </c>
      <c r="E45" s="15" t="inlineStr">
        <is>
          <t>For each inaccurate answer in the Prompt tracker, open the cited sources, find the wrong fact, and fix it on your site or request a correction from the third party. Recheck next month.</t>
        </is>
      </c>
      <c r="F45" s="14" t="inlineStr">
        <is>
          <t>High</t>
        </is>
      </c>
      <c r="G45" s="15" t="inlineStr">
        <is>
          <t>MLforSEO practice</t>
        </is>
      </c>
      <c r="H45" s="14" t="inlineStr">
        <is>
          <t>Not started</t>
        </is>
      </c>
      <c r="I45" s="15" t="inlineStr"/>
      <c r="J45" s="15" t="inlineStr"/>
      <c r="K45" s="17">
        <f>HYPERLINK("https://www.mlforseo.com/machine-learning-implementation-guides/ai-search-optimisation/trust-is-not-a-schema-field/","Trust isn't a schema field")</f>
        <v/>
      </c>
      <c r="L45" s="15" t="inlineStr"/>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row r="56">
      <c r="A56" s="15" t="n"/>
      <c r="B56" s="15" t="n"/>
      <c r="C56" s="15" t="n"/>
      <c r="D56" s="15" t="n"/>
      <c r="E56" s="15" t="n"/>
      <c r="F56" s="15" t="n"/>
      <c r="G56" s="15" t="n"/>
      <c r="H56" s="15" t="n"/>
      <c r="I56" s="15" t="n"/>
      <c r="J56" s="15" t="n"/>
      <c r="K56" s="15" t="n"/>
      <c r="L56" s="15" t="n"/>
    </row>
    <row r="57">
      <c r="A57" s="15" t="n"/>
      <c r="B57" s="15" t="n"/>
      <c r="C57" s="15" t="n"/>
      <c r="D57" s="15" t="n"/>
      <c r="E57" s="15" t="n"/>
      <c r="F57" s="15" t="n"/>
      <c r="G57" s="15" t="n"/>
      <c r="H57" s="15" t="n"/>
      <c r="I57" s="15" t="n"/>
      <c r="J57" s="15" t="n"/>
      <c r="K57" s="15" t="n"/>
      <c r="L57" s="15" t="n"/>
    </row>
    <row r="58">
      <c r="A58" s="15" t="n"/>
      <c r="B58" s="15" t="n"/>
      <c r="C58" s="15" t="n"/>
      <c r="D58" s="15" t="n"/>
      <c r="E58" s="15" t="n"/>
      <c r="F58" s="15" t="n"/>
      <c r="G58" s="15" t="n"/>
      <c r="H58" s="15" t="n"/>
      <c r="I58" s="15" t="n"/>
      <c r="J58" s="15" t="n"/>
      <c r="K58" s="15" t="n"/>
      <c r="L58" s="15" t="n"/>
    </row>
    <row r="59">
      <c r="A59" s="15" t="n"/>
      <c r="B59" s="15" t="n"/>
      <c r="C59" s="15" t="n"/>
      <c r="D59" s="15" t="n"/>
      <c r="E59" s="15" t="n"/>
      <c r="F59" s="15" t="n"/>
      <c r="G59" s="15" t="n"/>
      <c r="H59" s="15" t="n"/>
      <c r="I59" s="15" t="n"/>
      <c r="J59" s="15" t="n"/>
      <c r="K59" s="15" t="n"/>
      <c r="L59" s="15" t="n"/>
    </row>
    <row r="60">
      <c r="A60" s="15" t="n"/>
      <c r="B60" s="15" t="n"/>
      <c r="C60" s="15" t="n"/>
      <c r="D60" s="15" t="n"/>
      <c r="E60" s="15" t="n"/>
      <c r="F60" s="15" t="n"/>
      <c r="G60" s="15" t="n"/>
      <c r="H60" s="15" t="n"/>
      <c r="I60" s="15" t="n"/>
      <c r="J60" s="15" t="n"/>
      <c r="K60" s="15" t="n"/>
      <c r="L60" s="15" t="n"/>
    </row>
  </sheetData>
  <autoFilter ref="A1:L60"/>
  <conditionalFormatting sqref="H2:H60">
    <cfRule type="cellIs" priority="1" operator="equal" dxfId="0" stopIfTrue="1">
      <formula>"Done"</formula>
    </cfRule>
    <cfRule type="cellIs" priority="2" operator="equal" dxfId="1" stopIfTrue="1">
      <formula>"In progress"</formula>
    </cfRule>
    <cfRule type="cellIs" priority="3" operator="equal" dxfId="2" stopIfTrue="1">
      <formula>"N/A"</formula>
    </cfRule>
    <cfRule type="cellIs" priority="4" operator="equal" dxfId="3" stopIfTrue="1">
      <formula>"Not started"</formula>
    </cfRule>
  </conditionalFormatting>
  <conditionalFormatting sqref="F2:F60">
    <cfRule type="cellIs" priority="5" operator="equal" dxfId="4" stopIfTrue="1">
      <formula>"High"</formula>
    </cfRule>
    <cfRule type="cellIs" priority="6" operator="equal" dxfId="3" stopIfTrue="1">
      <formula>"Low"</formula>
    </cfRule>
  </conditionalFormatting>
  <conditionalFormatting sqref="A2:L60">
    <cfRule type="expression" priority="7" dxfId="5">
      <formula>MOD(ROW(),2)=0</formula>
    </cfRule>
  </conditionalFormatting>
  <dataValidations count="3">
    <dataValidation sqref="H2:H60" showDropDown="0" showInputMessage="0" showErrorMessage="0" allowBlank="1" errorTitle="Not in list" error="Pick a value from the list." type="list">
      <formula1>"Not started,In progress,Done,N/A"</formula1>
    </dataValidation>
    <dataValidation sqref="F2:F60" showDropDown="0" showInputMessage="0" showErrorMessage="0" allowBlank="1" errorTitle="Not in list" error="Pick a value from the list." type="list">
      <formula1>"High,Medium,Low"</formula1>
    </dataValidation>
    <dataValidation sqref="G2:G60" showDropDown="0" showInputMessage="0" showErrorMessage="0" allowBlank="1" errorTitle="Not in list" error="Pick a value from the list." type="list">
      <formula1>"Google-documented,Platform-documented,Research-backed,MLforSEO practice,Unconfirmed (optional)"</formula1>
    </dataValidation>
  </dataValidations>
  <printOptions gridLines="0"/>
  <pageMargins left="0.75" right="0.75" top="1" bottom="1" header="0.5" footer="0.5"/>
  <pageSetup orientation="landscape" fitToHeight="0" fitToWidth="1"/>
</worksheet>
</file>

<file path=xl/worksheets/sheet3.xml><?xml version="1.0" encoding="utf-8"?>
<worksheet xmlns="http://schemas.openxmlformats.org/spreadsheetml/2006/main">
  <sheetPr>
    <tabColor rgb="008448EF"/>
    <outlinePr summaryBelow="1" summaryRight="1"/>
    <pageSetUpPr fitToPage="1"/>
  </sheetPr>
  <dimension ref="A1:I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40" customWidth="1" min="3" max="3"/>
    <col width="40" customWidth="1" min="4" max="4"/>
    <col width="20" customWidth="1" min="5" max="5"/>
    <col width="28" customWidth="1" min="6" max="6"/>
    <col width="14" customWidth="1" min="7" max="7"/>
    <col width="18" customWidth="1" min="8" max="8"/>
    <col width="30" customWidth="1" min="9" max="9"/>
  </cols>
  <sheetData>
    <row r="1" ht="34" customHeight="1">
      <c r="A1" s="12" t="inlineStr">
        <is>
          <t>Tokens and behaviour as documented by each provider, checked October 2026. Search and user-fetch bots affect whether you can be shown in AI answers; training bots don't. Record your policy in 'Your decision' and what robots.txt actually says in the next column.</t>
        </is>
      </c>
    </row>
    <row r="2" ht="30" customHeight="1">
      <c r="A2" s="13" t="inlineStr">
        <is>
          <t>User-agent token</t>
        </is>
      </c>
      <c r="B2" s="13" t="inlineStr">
        <is>
          <t>Company</t>
        </is>
      </c>
      <c r="C2" s="13" t="inlineStr">
        <is>
          <t>What it does</t>
        </is>
      </c>
      <c r="D2" s="13" t="inlineStr">
        <is>
          <t>What blocking it does</t>
        </is>
      </c>
      <c r="E2" s="13" t="inlineStr">
        <is>
          <t>robots.txt</t>
        </is>
      </c>
      <c r="F2" s="13" t="inlineStr">
        <is>
          <t>Docs</t>
        </is>
      </c>
      <c r="G2" s="13" t="inlineStr">
        <is>
          <t>Your decision</t>
        </is>
      </c>
      <c r="H2" s="13" t="inlineStr">
        <is>
          <t>In your robots.txt now</t>
        </is>
      </c>
      <c r="I2" s="13" t="inlineStr">
        <is>
          <t>Notes</t>
        </is>
      </c>
    </row>
    <row r="3" ht="36" customHeight="1">
      <c r="A3" s="16" t="inlineStr">
        <is>
          <t>Googlebot</t>
        </is>
      </c>
      <c r="B3" s="15" t="inlineStr">
        <is>
          <t>Google</t>
        </is>
      </c>
      <c r="C3" s="15" t="inlineStr">
        <is>
          <t>Google Search, including AI Overviews and AI Mode</t>
        </is>
      </c>
      <c r="D3" s="15" t="inlineStr">
        <is>
          <t>Blocking removes pages from Google Search and its AI features.</t>
        </is>
      </c>
      <c r="E3" s="15" t="inlineStr">
        <is>
          <t>Respects robots.txt</t>
        </is>
      </c>
      <c r="F3" s="17">
        <f>HYPERLINK("https://developers.google.com/search/docs/appearance/ai-features","Google: AI features and your website")</f>
        <v/>
      </c>
      <c r="G3" s="15" t="n"/>
      <c r="H3" s="15" t="n"/>
      <c r="I3" s="15" t="n"/>
    </row>
    <row r="4" ht="51" customHeight="1">
      <c r="A4" s="16" t="inlineStr">
        <is>
          <t>Google-Extended</t>
        </is>
      </c>
      <c r="B4" s="15" t="inlineStr">
        <is>
          <t>Google</t>
        </is>
      </c>
      <c r="C4" s="15" t="inlineStr">
        <is>
          <t>Control token only (no separate crawler) for Gemini Apps and Vertex AI training and grounding</t>
        </is>
      </c>
      <c r="D4" s="15" t="inlineStr">
        <is>
          <t>Does not affect Google Search or AI Overviews.</t>
        </is>
      </c>
      <c r="E4" s="15" t="inlineStr">
        <is>
          <t>robots.txt token</t>
        </is>
      </c>
      <c r="F4" s="17">
        <f>HYPERLINK("https://developers.google.com/search/docs/crawling-indexing/google-common-crawlers","Google: common crawlers (Google-Extended)")</f>
        <v/>
      </c>
      <c r="G4" s="15" t="n"/>
      <c r="H4" s="15" t="n"/>
      <c r="I4" s="15" t="n"/>
    </row>
    <row r="5" ht="36" customHeight="1">
      <c r="A5" s="16" t="inlineStr">
        <is>
          <t>Bingbot</t>
        </is>
      </c>
      <c r="B5" s="15" t="inlineStr">
        <is>
          <t>Microsoft</t>
        </is>
      </c>
      <c r="C5" s="15" t="inlineStr">
        <is>
          <t>Bing search; Bing's index also grounds Microsoft Copilot answers</t>
        </is>
      </c>
      <c r="D5" s="15" t="inlineStr">
        <is>
          <t>Blocking removes pages from Bing and the answers built on it.</t>
        </is>
      </c>
      <c r="E5" s="15" t="inlineStr">
        <is>
          <t>Respects robots.txt</t>
        </is>
      </c>
      <c r="F5" s="17">
        <f>HYPERLINK("https://www.bing.com/webmasters/help/which-crawlers-does-bing-use-8c184ec0","Bing: which crawlers Bing uses")</f>
        <v/>
      </c>
      <c r="G5" s="15" t="n"/>
      <c r="H5" s="15" t="n"/>
      <c r="I5" s="15" t="n"/>
    </row>
    <row r="6" ht="51" customHeight="1">
      <c r="A6" s="16" t="inlineStr">
        <is>
          <t>OAI-SearchBot</t>
        </is>
      </c>
      <c r="B6" s="15" t="inlineStr">
        <is>
          <t>OpenAI</t>
        </is>
      </c>
      <c r="C6" s="15" t="inlineStr">
        <is>
          <t>Shows and links sites in ChatGPT search</t>
        </is>
      </c>
      <c r="D6" s="15" t="inlineStr">
        <is>
          <t>Sites opted out won't be shown in ChatGPT search answers (may still appear as navigational links).</t>
        </is>
      </c>
      <c r="E6" s="15" t="inlineStr">
        <is>
          <t>Respects robots.txt; changes take about 24 hours</t>
        </is>
      </c>
      <c r="F6" s="17">
        <f>HYPERLINK("https://platform.openai.com/docs/bots","OpenAI: crawlers and user agents")</f>
        <v/>
      </c>
      <c r="G6" s="15" t="n"/>
      <c r="H6" s="15" t="n"/>
      <c r="I6" s="15" t="n"/>
    </row>
    <row r="7" ht="51" customHeight="1">
      <c r="A7" s="16" t="inlineStr">
        <is>
          <t>GPTBot</t>
        </is>
      </c>
      <c r="B7" s="15" t="inlineStr">
        <is>
          <t>OpenAI</t>
        </is>
      </c>
      <c r="C7" s="15" t="inlineStr">
        <is>
          <t>Crawls content that may be used to train OpenAI's foundation models</t>
        </is>
      </c>
      <c r="D7" s="15" t="inlineStr">
        <is>
          <t>Signals content should not be used for training. Independent of OAI-SearchBot.</t>
        </is>
      </c>
      <c r="E7" s="15" t="inlineStr">
        <is>
          <t>Respects robots.txt</t>
        </is>
      </c>
      <c r="F7" s="17">
        <f>HYPERLINK("https://platform.openai.com/docs/bots","OpenAI: crawlers and user agents")</f>
        <v/>
      </c>
      <c r="G7" s="15" t="n"/>
      <c r="H7" s="15" t="n"/>
      <c r="I7" s="15" t="n"/>
    </row>
    <row r="8" ht="51" customHeight="1">
      <c r="A8" s="16" t="inlineStr">
        <is>
          <t>ChatGPT-User</t>
        </is>
      </c>
      <c r="B8" s="15" t="inlineStr">
        <is>
          <t>OpenAI</t>
        </is>
      </c>
      <c r="C8" s="15" t="inlineStr">
        <is>
          <t>Visits pages when a ChatGPT user or Custom GPT asks it to</t>
        </is>
      </c>
      <c r="D8" s="15" t="inlineStr">
        <is>
          <t>User-initiated; OpenAI says robots.txt rules may not apply. Not used for search inclusion.</t>
        </is>
      </c>
      <c r="E8" s="15" t="inlineStr">
        <is>
          <t>May not apply</t>
        </is>
      </c>
      <c r="F8" s="17">
        <f>HYPERLINK("https://platform.openai.com/docs/bots","OpenAI: crawlers and user agents")</f>
        <v/>
      </c>
      <c r="G8" s="15" t="n"/>
      <c r="H8" s="15" t="n"/>
      <c r="I8" s="15" t="n"/>
    </row>
    <row r="9" ht="36" customHeight="1">
      <c r="A9" s="16" t="inlineStr">
        <is>
          <t>Claude-SearchBot</t>
        </is>
      </c>
      <c r="B9" s="15" t="inlineStr">
        <is>
          <t>Anthropic</t>
        </is>
      </c>
      <c r="C9" s="15" t="inlineStr">
        <is>
          <t>Indexes content to improve Claude's search results</t>
        </is>
      </c>
      <c r="D9" s="15" t="inlineStr">
        <is>
          <t>Blocking may reduce visibility in Claude's search answers.</t>
        </is>
      </c>
      <c r="E9" s="15" t="inlineStr">
        <is>
          <t>Respects robots.txt</t>
        </is>
      </c>
      <c r="F9" s="17">
        <f>HYPERLINK("https://support.claude.com/en/articles/8896518-does-anthropic-crawl-data-from-the-web-and-how-can-site-owners-block-the-crawler","Anthropic: crawlers and opt-out")</f>
        <v/>
      </c>
      <c r="G9" s="15" t="n"/>
      <c r="H9" s="15" t="n"/>
      <c r="I9" s="15" t="n"/>
    </row>
    <row r="10" ht="36" customHeight="1">
      <c r="A10" s="16" t="inlineStr">
        <is>
          <t>ClaudeBot</t>
        </is>
      </c>
      <c r="B10" s="15" t="inlineStr">
        <is>
          <t>Anthropic</t>
        </is>
      </c>
      <c r="C10" s="15" t="inlineStr">
        <is>
          <t>Collects content that could contribute to model training</t>
        </is>
      </c>
      <c r="D10" s="15" t="inlineStr">
        <is>
          <t>Signals future content should be excluded from training.</t>
        </is>
      </c>
      <c r="E10" s="15" t="inlineStr">
        <is>
          <t>Respects robots.txt</t>
        </is>
      </c>
      <c r="F10" s="17">
        <f>HYPERLINK("https://support.claude.com/en/articles/8896518-does-anthropic-crawl-data-from-the-web-and-how-can-site-owners-block-the-crawler","Anthropic: crawlers and opt-out")</f>
        <v/>
      </c>
      <c r="G10" s="15" t="n"/>
      <c r="H10" s="15" t="n"/>
      <c r="I10" s="15" t="n"/>
    </row>
    <row r="11" ht="36" customHeight="1">
      <c r="A11" s="16" t="inlineStr">
        <is>
          <t>Claude-User</t>
        </is>
      </c>
      <c r="B11" s="15" t="inlineStr">
        <is>
          <t>Anthropic</t>
        </is>
      </c>
      <c r="C11" s="15" t="inlineStr">
        <is>
          <t>Fetches pages when a Claude user asks a question</t>
        </is>
      </c>
      <c r="D11" s="15" t="inlineStr">
        <is>
          <t>Blocking stops Claude retrieving your pages for users.</t>
        </is>
      </c>
      <c r="E11" s="15" t="inlineStr">
        <is>
          <t>Respects robots.txt</t>
        </is>
      </c>
      <c r="F11" s="17">
        <f>HYPERLINK("https://support.claude.com/en/articles/8896518-does-anthropic-crawl-data-from-the-web-and-how-can-site-owners-block-the-crawler","Anthropic: crawlers and opt-out")</f>
        <v/>
      </c>
      <c r="G11" s="15" t="n"/>
      <c r="H11" s="15" t="n"/>
      <c r="I11" s="15" t="n"/>
    </row>
    <row r="12" ht="51" customHeight="1">
      <c r="A12" s="16" t="inlineStr">
        <is>
          <t>PerplexityBot</t>
        </is>
      </c>
      <c r="B12" s="15" t="inlineStr">
        <is>
          <t>Perplexity</t>
        </is>
      </c>
      <c r="C12" s="15" t="inlineStr">
        <is>
          <t>Surfaces and links sites in Perplexity search; not used for foundation-model training</t>
        </is>
      </c>
      <c r="D12" s="15" t="inlineStr">
        <is>
          <t>Blocking removes you from Perplexity's search results.</t>
        </is>
      </c>
      <c r="E12" s="15" t="inlineStr">
        <is>
          <t>Respects robots.txt; up to 24 hours to update</t>
        </is>
      </c>
      <c r="F12" s="17">
        <f>HYPERLINK("https://docs.perplexity.ai/guides/bots","Perplexity: crawlers")</f>
        <v/>
      </c>
      <c r="G12" s="15" t="n"/>
      <c r="H12" s="15" t="n"/>
      <c r="I12" s="15" t="n"/>
    </row>
    <row r="13" ht="36" customHeight="1">
      <c r="A13" s="16" t="inlineStr">
        <is>
          <t>Perplexity-User</t>
        </is>
      </c>
      <c r="B13" s="15" t="inlineStr">
        <is>
          <t>Perplexity</t>
        </is>
      </c>
      <c r="C13" s="15" t="inlineStr">
        <is>
          <t>Fetches pages for a user's question</t>
        </is>
      </c>
      <c r="D13" s="15" t="inlineStr">
        <is>
          <t>User-initiated; Perplexity says it generally ignores robots.txt.</t>
        </is>
      </c>
      <c r="E13" s="15" t="inlineStr">
        <is>
          <t>Generally ignores robots.txt</t>
        </is>
      </c>
      <c r="F13" s="17">
        <f>HYPERLINK("https://docs.perplexity.ai/guides/bots","Perplexity: crawlers")</f>
        <v/>
      </c>
      <c r="G13" s="15" t="n"/>
      <c r="H13" s="15" t="n"/>
      <c r="I13" s="15" t="n"/>
    </row>
    <row r="14" ht="36" customHeight="1">
      <c r="A14" s="16" t="inlineStr">
        <is>
          <t>Applebot</t>
        </is>
      </c>
      <c r="B14" s="15" t="inlineStr">
        <is>
          <t>Apple</t>
        </is>
      </c>
      <c r="C14" s="15" t="inlineStr">
        <is>
          <t>Siri, Spotlight and other Apple search features</t>
        </is>
      </c>
      <c r="D14" s="15" t="inlineStr">
        <is>
          <t>Blocking removes pages from Apple's search features.</t>
        </is>
      </c>
      <c r="E14" s="15" t="inlineStr">
        <is>
          <t>Respects robots.txt</t>
        </is>
      </c>
      <c r="F14" s="17">
        <f>HYPERLINK("https://support.apple.com/en-us/119829","Apple: about Applebot")</f>
        <v/>
      </c>
      <c r="G14" s="15" t="n"/>
      <c r="H14" s="15" t="n"/>
      <c r="I14" s="15" t="n"/>
    </row>
    <row r="15" ht="51" customHeight="1">
      <c r="A15" s="16" t="inlineStr">
        <is>
          <t>Applebot-Extended</t>
        </is>
      </c>
      <c r="B15" s="15" t="inlineStr">
        <is>
          <t>Apple</t>
        </is>
      </c>
      <c r="C15" s="15" t="inlineStr">
        <is>
          <t>Control token for using Applebot-crawled content to train Apple's generative models</t>
        </is>
      </c>
      <c r="D15" s="15" t="inlineStr">
        <is>
          <t>Opts out of training only.</t>
        </is>
      </c>
      <c r="E15" s="15" t="inlineStr">
        <is>
          <t>robots.txt token</t>
        </is>
      </c>
      <c r="F15" s="17">
        <f>HYPERLINK("https://support.apple.com/en-us/119829","Apple: about Applebot")</f>
        <v/>
      </c>
      <c r="G15" s="15" t="n"/>
      <c r="H15" s="15" t="n"/>
      <c r="I15" s="15" t="n"/>
    </row>
    <row r="16" ht="36" customHeight="1">
      <c r="A16" s="16" t="inlineStr">
        <is>
          <t>Meta-ExternalAgent</t>
        </is>
      </c>
      <c r="B16" s="15" t="inlineStr">
        <is>
          <t>Meta</t>
        </is>
      </c>
      <c r="C16" s="15" t="inlineStr">
        <is>
          <t>Crawls for uses such as training AI models or indexing content</t>
        </is>
      </c>
      <c r="D16" s="15" t="inlineStr">
        <is>
          <t>Opts out of that crawling.</t>
        </is>
      </c>
      <c r="E16" s="15" t="inlineStr">
        <is>
          <t>Check Meta's docs</t>
        </is>
      </c>
      <c r="F16" s="17">
        <f>HYPERLINK("https://developers.facebook.com/docs/sharing/webmasters/web-crawlers","Meta: web crawlers")</f>
        <v/>
      </c>
      <c r="G16" s="15" t="n"/>
      <c r="H16" s="15" t="n"/>
      <c r="I16" s="15" t="n"/>
    </row>
    <row r="17" ht="36" customHeight="1">
      <c r="A17" s="16" t="inlineStr">
        <is>
          <t>CCBot</t>
        </is>
      </c>
      <c r="B17" s="15" t="inlineStr">
        <is>
          <t>Common Crawl</t>
        </is>
      </c>
      <c r="C17" s="15" t="inlineStr">
        <is>
          <t>Builds the open Common Crawl dataset, widely used in model training</t>
        </is>
      </c>
      <c r="D17" s="15" t="inlineStr">
        <is>
          <t>Keeps new content out of future Common Crawl snapshots.</t>
        </is>
      </c>
      <c r="E17" s="15" t="inlineStr">
        <is>
          <t>Respects robots.txt</t>
        </is>
      </c>
      <c r="F17" s="17">
        <f>HYPERLINK("https://commoncrawl.org/ccbot","Common Crawl: CCBot")</f>
        <v/>
      </c>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sheetData>
  <autoFilter ref="A2:I22"/>
  <mergeCells count="1">
    <mergeCell ref="A1:I1"/>
  </mergeCells>
  <conditionalFormatting sqref="H3:H22">
    <cfRule type="cellIs" priority="1" operator="equal" dxfId="6">
      <formula>"Blocked"</formula>
    </cfRule>
  </conditionalFormatting>
  <conditionalFormatting sqref="G3:G22">
    <cfRule type="cellIs" priority="2" operator="equal" dxfId="7">
      <formula>"Allow"</formula>
    </cfRule>
  </conditionalFormatting>
  <conditionalFormatting sqref="A3:I22">
    <cfRule type="expression" priority="3" dxfId="5">
      <formula>MOD(ROW(),2)=0</formula>
    </cfRule>
  </conditionalFormatting>
  <dataValidations count="2">
    <dataValidation sqref="G3:G22" showDropDown="0" showInputMessage="0" showErrorMessage="0" allowBlank="1" errorTitle="Not in list" error="Pick a value from the list." type="list">
      <formula1>"Allow,Disallow,Partial"</formula1>
    </dataValidation>
    <dataValidation sqref="H3:H22" showDropDown="0" showInputMessage="0" showErrorMessage="0" allowBlank="1" errorTitle="Not in list" error="Pick a value from the list." type="list">
      <formula1>"Allowed,Blocked,Partly blocked,Not mentioned"</formula1>
    </dataValidation>
  </dataValidations>
  <printOptions gridLines="0"/>
  <pageMargins left="0.75" right="0.75" top="1" bottom="1" header="0.5" footer="0.5"/>
  <pageSetup orientation="landscape" fitToHeight="0" fitToWidth="1"/>
</worksheet>
</file>

<file path=xl/worksheets/sheet4.xml><?xml version="1.0" encoding="utf-8"?>
<worksheet xmlns="http://schemas.openxmlformats.org/spreadsheetml/2006/main">
  <sheetPr>
    <tabColor rgb="008448EF"/>
    <outlinePr summaryBelow="1" summaryRight="1"/>
    <pageSetUpPr fitToPage="1"/>
  </sheetPr>
  <dimension ref="A1:K3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1" customWidth="1" min="1" max="1"/>
    <col width="40" customWidth="1" min="2" max="2"/>
    <col width="18" customWidth="1" min="3" max="3"/>
    <col width="16" customWidth="1" min="4" max="4"/>
    <col width="11" customWidth="1" min="5" max="5"/>
    <col width="11" customWidth="1" min="6" max="6"/>
    <col width="30" customWidth="1" min="7" max="7"/>
    <col width="13" customWidth="1" min="8" max="8"/>
    <col width="20" customWidth="1" min="9" max="9"/>
    <col width="26" customWidth="1" min="10" max="10"/>
    <col width="30" customWidth="1" min="11" max="11"/>
  </cols>
  <sheetData>
    <row r="1" ht="20" customHeight="1">
      <c r="A1" s="12" t="inlineStr">
        <is>
          <t>One row per prompt, per assistant, per run. Use 10 to 50 real customer questions and rerun them monthly with the same wording, logged out where possible. Delete the two example rows before you start.</t>
        </is>
      </c>
    </row>
    <row r="2" ht="30" customHeight="1">
      <c r="A2" s="13" t="inlineStr">
        <is>
          <t>Date</t>
        </is>
      </c>
      <c r="B2" s="13" t="inlineStr">
        <is>
          <t>Prompt (keep wording fixed)</t>
        </is>
      </c>
      <c r="C2" s="13" t="inlineStr">
        <is>
          <t>Topic / intent</t>
        </is>
      </c>
      <c r="D2" s="13" t="inlineStr">
        <is>
          <t>Assistant</t>
        </is>
      </c>
      <c r="E2" s="13" t="inlineStr">
        <is>
          <t>Mentioned?</t>
        </is>
      </c>
      <c r="F2" s="13" t="inlineStr">
        <is>
          <t>Cited with link?</t>
        </is>
      </c>
      <c r="G2" s="13" t="inlineStr">
        <is>
          <t>Cited URL</t>
        </is>
      </c>
      <c r="H2" s="13" t="inlineStr">
        <is>
          <t>Described accurately?</t>
        </is>
      </c>
      <c r="I2" s="13" t="inlineStr">
        <is>
          <t>How you appear</t>
        </is>
      </c>
      <c r="J2" s="13" t="inlineStr">
        <is>
          <t>Competitors named</t>
        </is>
      </c>
      <c r="K2" s="13" t="inlineStr">
        <is>
          <t>Notes</t>
        </is>
      </c>
    </row>
    <row r="3">
      <c r="A3" s="18" t="inlineStr">
        <is>
          <t>2026-10-01</t>
        </is>
      </c>
      <c r="B3" s="18" t="inlineStr">
        <is>
          <t>What is the best tool for [your category] for small teams?</t>
        </is>
      </c>
      <c r="C3" s="18" t="inlineStr">
        <is>
          <t>Commercial</t>
        </is>
      </c>
      <c r="D3" s="18" t="inlineStr">
        <is>
          <t>ChatGPT</t>
        </is>
      </c>
      <c r="E3" s="18" t="inlineStr">
        <is>
          <t>Yes</t>
        </is>
      </c>
      <c r="F3" s="18" t="inlineStr">
        <is>
          <t>No</t>
        </is>
      </c>
      <c r="G3" s="18" t="n"/>
      <c r="H3" s="18" t="inlineStr">
        <is>
          <t>Partly</t>
        </is>
      </c>
      <c r="I3" s="18" t="inlineStr">
        <is>
          <t>Listed among several</t>
        </is>
      </c>
      <c r="J3" s="18" t="inlineStr">
        <is>
          <t>Competitor A, Competitor B</t>
        </is>
      </c>
      <c r="K3" s="18" t="inlineStr">
        <is>
          <t>EXAMPLE ROW: delete. Price quoted was last year's.</t>
        </is>
      </c>
    </row>
    <row r="4">
      <c r="A4" s="18" t="inlineStr">
        <is>
          <t>2026-10-01</t>
        </is>
      </c>
      <c r="B4" s="18" t="inlineStr">
        <is>
          <t>What is the best tool for [your category] for small teams?</t>
        </is>
      </c>
      <c r="C4" s="18" t="inlineStr">
        <is>
          <t>Commercial</t>
        </is>
      </c>
      <c r="D4" s="18" t="inlineStr">
        <is>
          <t>Perplexity</t>
        </is>
      </c>
      <c r="E4" s="18" t="inlineStr">
        <is>
          <t>Yes</t>
        </is>
      </c>
      <c r="F4" s="18" t="inlineStr">
        <is>
          <t>Yes</t>
        </is>
      </c>
      <c r="G4" s="18" t="inlineStr">
        <is>
          <t>https://www.example.com/pricing/</t>
        </is>
      </c>
      <c r="H4" s="18" t="inlineStr">
        <is>
          <t>Yes</t>
        </is>
      </c>
      <c r="I4" s="18" t="inlineStr">
        <is>
          <t>Primary recommendation</t>
        </is>
      </c>
      <c r="J4" s="18" t="inlineStr">
        <is>
          <t>Competitor A</t>
        </is>
      </c>
      <c r="K4" s="18" t="inlineStr">
        <is>
          <t>EXAMPLE ROW: delete.</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row r="57">
      <c r="A57" s="15" t="n"/>
      <c r="B57" s="15" t="n"/>
      <c r="C57" s="15" t="n"/>
      <c r="D57" s="15" t="n"/>
      <c r="E57" s="15" t="n"/>
      <c r="F57" s="15" t="n"/>
      <c r="G57" s="15" t="n"/>
      <c r="H57" s="15" t="n"/>
      <c r="I57" s="15" t="n"/>
      <c r="J57" s="15" t="n"/>
      <c r="K57" s="15" t="n"/>
    </row>
    <row r="58">
      <c r="A58" s="15" t="n"/>
      <c r="B58" s="15" t="n"/>
      <c r="C58" s="15" t="n"/>
      <c r="D58" s="15" t="n"/>
      <c r="E58" s="15" t="n"/>
      <c r="F58" s="15" t="n"/>
      <c r="G58" s="15" t="n"/>
      <c r="H58" s="15" t="n"/>
      <c r="I58" s="15" t="n"/>
      <c r="J58" s="15" t="n"/>
      <c r="K58" s="15" t="n"/>
    </row>
    <row r="59">
      <c r="A59" s="15" t="n"/>
      <c r="B59" s="15" t="n"/>
      <c r="C59" s="15" t="n"/>
      <c r="D59" s="15" t="n"/>
      <c r="E59" s="15" t="n"/>
      <c r="F59" s="15" t="n"/>
      <c r="G59" s="15" t="n"/>
      <c r="H59" s="15" t="n"/>
      <c r="I59" s="15" t="n"/>
      <c r="J59" s="15" t="n"/>
      <c r="K59" s="15" t="n"/>
    </row>
    <row r="60">
      <c r="A60" s="15" t="n"/>
      <c r="B60" s="15" t="n"/>
      <c r="C60" s="15" t="n"/>
      <c r="D60" s="15" t="n"/>
      <c r="E60" s="15" t="n"/>
      <c r="F60" s="15" t="n"/>
      <c r="G60" s="15" t="n"/>
      <c r="H60" s="15" t="n"/>
      <c r="I60" s="15" t="n"/>
      <c r="J60" s="15" t="n"/>
      <c r="K60" s="15" t="n"/>
    </row>
    <row r="61">
      <c r="A61" s="15" t="n"/>
      <c r="B61" s="15" t="n"/>
      <c r="C61" s="15" t="n"/>
      <c r="D61" s="15" t="n"/>
      <c r="E61" s="15" t="n"/>
      <c r="F61" s="15" t="n"/>
      <c r="G61" s="15" t="n"/>
      <c r="H61" s="15" t="n"/>
      <c r="I61" s="15" t="n"/>
      <c r="J61" s="15" t="n"/>
      <c r="K61" s="15" t="n"/>
    </row>
    <row r="62">
      <c r="A62" s="15" t="n"/>
      <c r="B62" s="15" t="n"/>
      <c r="C62" s="15" t="n"/>
      <c r="D62" s="15" t="n"/>
      <c r="E62" s="15" t="n"/>
      <c r="F62" s="15" t="n"/>
      <c r="G62" s="15" t="n"/>
      <c r="H62" s="15" t="n"/>
      <c r="I62" s="15" t="n"/>
      <c r="J62" s="15" t="n"/>
      <c r="K62" s="15" t="n"/>
    </row>
    <row r="63">
      <c r="A63" s="15" t="n"/>
      <c r="B63" s="15" t="n"/>
      <c r="C63" s="15" t="n"/>
      <c r="D63" s="15" t="n"/>
      <c r="E63" s="15" t="n"/>
      <c r="F63" s="15" t="n"/>
      <c r="G63" s="15" t="n"/>
      <c r="H63" s="15" t="n"/>
      <c r="I63" s="15" t="n"/>
      <c r="J63" s="15" t="n"/>
      <c r="K63" s="15" t="n"/>
    </row>
    <row r="64">
      <c r="A64" s="15" t="n"/>
      <c r="B64" s="15" t="n"/>
      <c r="C64" s="15" t="n"/>
      <c r="D64" s="15" t="n"/>
      <c r="E64" s="15" t="n"/>
      <c r="F64" s="15" t="n"/>
      <c r="G64" s="15" t="n"/>
      <c r="H64" s="15" t="n"/>
      <c r="I64" s="15" t="n"/>
      <c r="J64" s="15" t="n"/>
      <c r="K64" s="15" t="n"/>
    </row>
    <row r="65">
      <c r="A65" s="15" t="n"/>
      <c r="B65" s="15" t="n"/>
      <c r="C65" s="15" t="n"/>
      <c r="D65" s="15" t="n"/>
      <c r="E65" s="15" t="n"/>
      <c r="F65" s="15" t="n"/>
      <c r="G65" s="15" t="n"/>
      <c r="H65" s="15" t="n"/>
      <c r="I65" s="15" t="n"/>
      <c r="J65" s="15" t="n"/>
      <c r="K65" s="15" t="n"/>
    </row>
    <row r="66">
      <c r="A66" s="15" t="n"/>
      <c r="B66" s="15" t="n"/>
      <c r="C66" s="15" t="n"/>
      <c r="D66" s="15" t="n"/>
      <c r="E66" s="15" t="n"/>
      <c r="F66" s="15" t="n"/>
      <c r="G66" s="15" t="n"/>
      <c r="H66" s="15" t="n"/>
      <c r="I66" s="15" t="n"/>
      <c r="J66" s="15" t="n"/>
      <c r="K66" s="15" t="n"/>
    </row>
    <row r="67">
      <c r="A67" s="15" t="n"/>
      <c r="B67" s="15" t="n"/>
      <c r="C67" s="15" t="n"/>
      <c r="D67" s="15" t="n"/>
      <c r="E67" s="15" t="n"/>
      <c r="F67" s="15" t="n"/>
      <c r="G67" s="15" t="n"/>
      <c r="H67" s="15" t="n"/>
      <c r="I67" s="15" t="n"/>
      <c r="J67" s="15" t="n"/>
      <c r="K67" s="15" t="n"/>
    </row>
    <row r="68">
      <c r="A68" s="15" t="n"/>
      <c r="B68" s="15" t="n"/>
      <c r="C68" s="15" t="n"/>
      <c r="D68" s="15" t="n"/>
      <c r="E68" s="15" t="n"/>
      <c r="F68" s="15" t="n"/>
      <c r="G68" s="15" t="n"/>
      <c r="H68" s="15" t="n"/>
      <c r="I68" s="15" t="n"/>
      <c r="J68" s="15" t="n"/>
      <c r="K68" s="15" t="n"/>
    </row>
    <row r="69">
      <c r="A69" s="15" t="n"/>
      <c r="B69" s="15" t="n"/>
      <c r="C69" s="15" t="n"/>
      <c r="D69" s="15" t="n"/>
      <c r="E69" s="15" t="n"/>
      <c r="F69" s="15" t="n"/>
      <c r="G69" s="15" t="n"/>
      <c r="H69" s="15" t="n"/>
      <c r="I69" s="15" t="n"/>
      <c r="J69" s="15" t="n"/>
      <c r="K69" s="15" t="n"/>
    </row>
    <row r="70">
      <c r="A70" s="15" t="n"/>
      <c r="B70" s="15" t="n"/>
      <c r="C70" s="15" t="n"/>
      <c r="D70" s="15" t="n"/>
      <c r="E70" s="15" t="n"/>
      <c r="F70" s="15" t="n"/>
      <c r="G70" s="15" t="n"/>
      <c r="H70" s="15" t="n"/>
      <c r="I70" s="15" t="n"/>
      <c r="J70" s="15" t="n"/>
      <c r="K70" s="15" t="n"/>
    </row>
    <row r="71">
      <c r="A71" s="15" t="n"/>
      <c r="B71" s="15" t="n"/>
      <c r="C71" s="15" t="n"/>
      <c r="D71" s="15" t="n"/>
      <c r="E71" s="15" t="n"/>
      <c r="F71" s="15" t="n"/>
      <c r="G71" s="15" t="n"/>
      <c r="H71" s="15" t="n"/>
      <c r="I71" s="15" t="n"/>
      <c r="J71" s="15" t="n"/>
      <c r="K71" s="15" t="n"/>
    </row>
    <row r="72">
      <c r="A72" s="15" t="n"/>
      <c r="B72" s="15" t="n"/>
      <c r="C72" s="15" t="n"/>
      <c r="D72" s="15" t="n"/>
      <c r="E72" s="15" t="n"/>
      <c r="F72" s="15" t="n"/>
      <c r="G72" s="15" t="n"/>
      <c r="H72" s="15" t="n"/>
      <c r="I72" s="15" t="n"/>
      <c r="J72" s="15" t="n"/>
      <c r="K72" s="15" t="n"/>
    </row>
    <row r="73">
      <c r="A73" s="15" t="n"/>
      <c r="B73" s="15" t="n"/>
      <c r="C73" s="15" t="n"/>
      <c r="D73" s="15" t="n"/>
      <c r="E73" s="15" t="n"/>
      <c r="F73" s="15" t="n"/>
      <c r="G73" s="15" t="n"/>
      <c r="H73" s="15" t="n"/>
      <c r="I73" s="15" t="n"/>
      <c r="J73" s="15" t="n"/>
      <c r="K73" s="15" t="n"/>
    </row>
    <row r="74">
      <c r="A74" s="15" t="n"/>
      <c r="B74" s="15" t="n"/>
      <c r="C74" s="15" t="n"/>
      <c r="D74" s="15" t="n"/>
      <c r="E74" s="15" t="n"/>
      <c r="F74" s="15" t="n"/>
      <c r="G74" s="15" t="n"/>
      <c r="H74" s="15" t="n"/>
      <c r="I74" s="15" t="n"/>
      <c r="J74" s="15" t="n"/>
      <c r="K74" s="15" t="n"/>
    </row>
    <row r="75">
      <c r="A75" s="15" t="n"/>
      <c r="B75" s="15" t="n"/>
      <c r="C75" s="15" t="n"/>
      <c r="D75" s="15" t="n"/>
      <c r="E75" s="15" t="n"/>
      <c r="F75" s="15" t="n"/>
      <c r="G75" s="15" t="n"/>
      <c r="H75" s="15" t="n"/>
      <c r="I75" s="15" t="n"/>
      <c r="J75" s="15" t="n"/>
      <c r="K75" s="15" t="n"/>
    </row>
    <row r="76">
      <c r="A76" s="15" t="n"/>
      <c r="B76" s="15" t="n"/>
      <c r="C76" s="15" t="n"/>
      <c r="D76" s="15" t="n"/>
      <c r="E76" s="15" t="n"/>
      <c r="F76" s="15" t="n"/>
      <c r="G76" s="15" t="n"/>
      <c r="H76" s="15" t="n"/>
      <c r="I76" s="15" t="n"/>
      <c r="J76" s="15" t="n"/>
      <c r="K76" s="15" t="n"/>
    </row>
    <row r="77">
      <c r="A77" s="15" t="n"/>
      <c r="B77" s="15" t="n"/>
      <c r="C77" s="15" t="n"/>
      <c r="D77" s="15" t="n"/>
      <c r="E77" s="15" t="n"/>
      <c r="F77" s="15" t="n"/>
      <c r="G77" s="15" t="n"/>
      <c r="H77" s="15" t="n"/>
      <c r="I77" s="15" t="n"/>
      <c r="J77" s="15" t="n"/>
      <c r="K77" s="15" t="n"/>
    </row>
    <row r="78">
      <c r="A78" s="15" t="n"/>
      <c r="B78" s="15" t="n"/>
      <c r="C78" s="15" t="n"/>
      <c r="D78" s="15" t="n"/>
      <c r="E78" s="15" t="n"/>
      <c r="F78" s="15" t="n"/>
      <c r="G78" s="15" t="n"/>
      <c r="H78" s="15" t="n"/>
      <c r="I78" s="15" t="n"/>
      <c r="J78" s="15" t="n"/>
      <c r="K78" s="15" t="n"/>
    </row>
    <row r="79">
      <c r="A79" s="15" t="n"/>
      <c r="B79" s="15" t="n"/>
      <c r="C79" s="15" t="n"/>
      <c r="D79" s="15" t="n"/>
      <c r="E79" s="15" t="n"/>
      <c r="F79" s="15" t="n"/>
      <c r="G79" s="15" t="n"/>
      <c r="H79" s="15" t="n"/>
      <c r="I79" s="15" t="n"/>
      <c r="J79" s="15" t="n"/>
      <c r="K79" s="15" t="n"/>
    </row>
    <row r="80">
      <c r="A80" s="15" t="n"/>
      <c r="B80" s="15" t="n"/>
      <c r="C80" s="15" t="n"/>
      <c r="D80" s="15" t="n"/>
      <c r="E80" s="15" t="n"/>
      <c r="F80" s="15" t="n"/>
      <c r="G80" s="15" t="n"/>
      <c r="H80" s="15" t="n"/>
      <c r="I80" s="15" t="n"/>
      <c r="J80" s="15" t="n"/>
      <c r="K80" s="15" t="n"/>
    </row>
    <row r="81">
      <c r="A81" s="15" t="n"/>
      <c r="B81" s="15" t="n"/>
      <c r="C81" s="15" t="n"/>
      <c r="D81" s="15" t="n"/>
      <c r="E81" s="15" t="n"/>
      <c r="F81" s="15" t="n"/>
      <c r="G81" s="15" t="n"/>
      <c r="H81" s="15" t="n"/>
      <c r="I81" s="15" t="n"/>
      <c r="J81" s="15" t="n"/>
      <c r="K81" s="15" t="n"/>
    </row>
    <row r="82">
      <c r="A82" s="15" t="n"/>
      <c r="B82" s="15" t="n"/>
      <c r="C82" s="15" t="n"/>
      <c r="D82" s="15" t="n"/>
      <c r="E82" s="15" t="n"/>
      <c r="F82" s="15" t="n"/>
      <c r="G82" s="15" t="n"/>
      <c r="H82" s="15" t="n"/>
      <c r="I82" s="15" t="n"/>
      <c r="J82" s="15" t="n"/>
      <c r="K82" s="15" t="n"/>
    </row>
    <row r="83">
      <c r="A83" s="15" t="n"/>
      <c r="B83" s="15" t="n"/>
      <c r="C83" s="15" t="n"/>
      <c r="D83" s="15" t="n"/>
      <c r="E83" s="15" t="n"/>
      <c r="F83" s="15" t="n"/>
      <c r="G83" s="15" t="n"/>
      <c r="H83" s="15" t="n"/>
      <c r="I83" s="15" t="n"/>
      <c r="J83" s="15" t="n"/>
      <c r="K83" s="15" t="n"/>
    </row>
    <row r="84">
      <c r="A84" s="15" t="n"/>
      <c r="B84" s="15" t="n"/>
      <c r="C84" s="15" t="n"/>
      <c r="D84" s="15" t="n"/>
      <c r="E84" s="15" t="n"/>
      <c r="F84" s="15" t="n"/>
      <c r="G84" s="15" t="n"/>
      <c r="H84" s="15" t="n"/>
      <c r="I84" s="15" t="n"/>
      <c r="J84" s="15" t="n"/>
      <c r="K84" s="15" t="n"/>
    </row>
    <row r="85">
      <c r="A85" s="15" t="n"/>
      <c r="B85" s="15" t="n"/>
      <c r="C85" s="15" t="n"/>
      <c r="D85" s="15" t="n"/>
      <c r="E85" s="15" t="n"/>
      <c r="F85" s="15" t="n"/>
      <c r="G85" s="15" t="n"/>
      <c r="H85" s="15" t="n"/>
      <c r="I85" s="15" t="n"/>
      <c r="J85" s="15" t="n"/>
      <c r="K85" s="15" t="n"/>
    </row>
    <row r="86">
      <c r="A86" s="15" t="n"/>
      <c r="B86" s="15" t="n"/>
      <c r="C86" s="15" t="n"/>
      <c r="D86" s="15" t="n"/>
      <c r="E86" s="15" t="n"/>
      <c r="F86" s="15" t="n"/>
      <c r="G86" s="15" t="n"/>
      <c r="H86" s="15" t="n"/>
      <c r="I86" s="15" t="n"/>
      <c r="J86" s="15" t="n"/>
      <c r="K86" s="15" t="n"/>
    </row>
    <row r="87">
      <c r="A87" s="15" t="n"/>
      <c r="B87" s="15" t="n"/>
      <c r="C87" s="15" t="n"/>
      <c r="D87" s="15" t="n"/>
      <c r="E87" s="15" t="n"/>
      <c r="F87" s="15" t="n"/>
      <c r="G87" s="15" t="n"/>
      <c r="H87" s="15" t="n"/>
      <c r="I87" s="15" t="n"/>
      <c r="J87" s="15" t="n"/>
      <c r="K87" s="15" t="n"/>
    </row>
    <row r="88">
      <c r="A88" s="15" t="n"/>
      <c r="B88" s="15" t="n"/>
      <c r="C88" s="15" t="n"/>
      <c r="D88" s="15" t="n"/>
      <c r="E88" s="15" t="n"/>
      <c r="F88" s="15" t="n"/>
      <c r="G88" s="15" t="n"/>
      <c r="H88" s="15" t="n"/>
      <c r="I88" s="15" t="n"/>
      <c r="J88" s="15" t="n"/>
      <c r="K88" s="15" t="n"/>
    </row>
    <row r="89">
      <c r="A89" s="15" t="n"/>
      <c r="B89" s="15" t="n"/>
      <c r="C89" s="15" t="n"/>
      <c r="D89" s="15" t="n"/>
      <c r="E89" s="15" t="n"/>
      <c r="F89" s="15" t="n"/>
      <c r="G89" s="15" t="n"/>
      <c r="H89" s="15" t="n"/>
      <c r="I89" s="15" t="n"/>
      <c r="J89" s="15" t="n"/>
      <c r="K89" s="15" t="n"/>
    </row>
    <row r="90">
      <c r="A90" s="15" t="n"/>
      <c r="B90" s="15" t="n"/>
      <c r="C90" s="15" t="n"/>
      <c r="D90" s="15" t="n"/>
      <c r="E90" s="15" t="n"/>
      <c r="F90" s="15" t="n"/>
      <c r="G90" s="15" t="n"/>
      <c r="H90" s="15" t="n"/>
      <c r="I90" s="15" t="n"/>
      <c r="J90" s="15" t="n"/>
      <c r="K90" s="15" t="n"/>
    </row>
    <row r="91">
      <c r="A91" s="15" t="n"/>
      <c r="B91" s="15" t="n"/>
      <c r="C91" s="15" t="n"/>
      <c r="D91" s="15" t="n"/>
      <c r="E91" s="15" t="n"/>
      <c r="F91" s="15" t="n"/>
      <c r="G91" s="15" t="n"/>
      <c r="H91" s="15" t="n"/>
      <c r="I91" s="15" t="n"/>
      <c r="J91" s="15" t="n"/>
      <c r="K91" s="15" t="n"/>
    </row>
    <row r="92">
      <c r="A92" s="15" t="n"/>
      <c r="B92" s="15" t="n"/>
      <c r="C92" s="15" t="n"/>
      <c r="D92" s="15" t="n"/>
      <c r="E92" s="15" t="n"/>
      <c r="F92" s="15" t="n"/>
      <c r="G92" s="15" t="n"/>
      <c r="H92" s="15" t="n"/>
      <c r="I92" s="15" t="n"/>
      <c r="J92" s="15" t="n"/>
      <c r="K92" s="15" t="n"/>
    </row>
    <row r="93">
      <c r="A93" s="15" t="n"/>
      <c r="B93" s="15" t="n"/>
      <c r="C93" s="15" t="n"/>
      <c r="D93" s="15" t="n"/>
      <c r="E93" s="15" t="n"/>
      <c r="F93" s="15" t="n"/>
      <c r="G93" s="15" t="n"/>
      <c r="H93" s="15" t="n"/>
      <c r="I93" s="15" t="n"/>
      <c r="J93" s="15" t="n"/>
      <c r="K93" s="15" t="n"/>
    </row>
    <row r="94">
      <c r="A94" s="15" t="n"/>
      <c r="B94" s="15" t="n"/>
      <c r="C94" s="15" t="n"/>
      <c r="D94" s="15" t="n"/>
      <c r="E94" s="15" t="n"/>
      <c r="F94" s="15" t="n"/>
      <c r="G94" s="15" t="n"/>
      <c r="H94" s="15" t="n"/>
      <c r="I94" s="15" t="n"/>
      <c r="J94" s="15" t="n"/>
      <c r="K94" s="15" t="n"/>
    </row>
    <row r="95">
      <c r="A95" s="15" t="n"/>
      <c r="B95" s="15" t="n"/>
      <c r="C95" s="15" t="n"/>
      <c r="D95" s="15" t="n"/>
      <c r="E95" s="15" t="n"/>
      <c r="F95" s="15" t="n"/>
      <c r="G95" s="15" t="n"/>
      <c r="H95" s="15" t="n"/>
      <c r="I95" s="15" t="n"/>
      <c r="J95" s="15" t="n"/>
      <c r="K95" s="15" t="n"/>
    </row>
    <row r="96">
      <c r="A96" s="15" t="n"/>
      <c r="B96" s="15" t="n"/>
      <c r="C96" s="15" t="n"/>
      <c r="D96" s="15" t="n"/>
      <c r="E96" s="15" t="n"/>
      <c r="F96" s="15" t="n"/>
      <c r="G96" s="15" t="n"/>
      <c r="H96" s="15" t="n"/>
      <c r="I96" s="15" t="n"/>
      <c r="J96" s="15" t="n"/>
      <c r="K96" s="15" t="n"/>
    </row>
    <row r="97">
      <c r="A97" s="15" t="n"/>
      <c r="B97" s="15" t="n"/>
      <c r="C97" s="15" t="n"/>
      <c r="D97" s="15" t="n"/>
      <c r="E97" s="15" t="n"/>
      <c r="F97" s="15" t="n"/>
      <c r="G97" s="15" t="n"/>
      <c r="H97" s="15" t="n"/>
      <c r="I97" s="15" t="n"/>
      <c r="J97" s="15" t="n"/>
      <c r="K97" s="15" t="n"/>
    </row>
    <row r="98">
      <c r="A98" s="15" t="n"/>
      <c r="B98" s="15" t="n"/>
      <c r="C98" s="15" t="n"/>
      <c r="D98" s="15" t="n"/>
      <c r="E98" s="15" t="n"/>
      <c r="F98" s="15" t="n"/>
      <c r="G98" s="15" t="n"/>
      <c r="H98" s="15" t="n"/>
      <c r="I98" s="15" t="n"/>
      <c r="J98" s="15" t="n"/>
      <c r="K98" s="15" t="n"/>
    </row>
    <row r="99">
      <c r="A99" s="15" t="n"/>
      <c r="B99" s="15" t="n"/>
      <c r="C99" s="15" t="n"/>
      <c r="D99" s="15" t="n"/>
      <c r="E99" s="15" t="n"/>
      <c r="F99" s="15" t="n"/>
      <c r="G99" s="15" t="n"/>
      <c r="H99" s="15" t="n"/>
      <c r="I99" s="15" t="n"/>
      <c r="J99" s="15" t="n"/>
      <c r="K99" s="15" t="n"/>
    </row>
    <row r="100">
      <c r="A100" s="15" t="n"/>
      <c r="B100" s="15" t="n"/>
      <c r="C100" s="15" t="n"/>
      <c r="D100" s="15" t="n"/>
      <c r="E100" s="15" t="n"/>
      <c r="F100" s="15" t="n"/>
      <c r="G100" s="15" t="n"/>
      <c r="H100" s="15" t="n"/>
      <c r="I100" s="15" t="n"/>
      <c r="J100" s="15" t="n"/>
      <c r="K100" s="15" t="n"/>
    </row>
    <row r="101">
      <c r="A101" s="15" t="n"/>
      <c r="B101" s="15" t="n"/>
      <c r="C101" s="15" t="n"/>
      <c r="D101" s="15" t="n"/>
      <c r="E101" s="15" t="n"/>
      <c r="F101" s="15" t="n"/>
      <c r="G101" s="15" t="n"/>
      <c r="H101" s="15" t="n"/>
      <c r="I101" s="15" t="n"/>
      <c r="J101" s="15" t="n"/>
      <c r="K101" s="15" t="n"/>
    </row>
    <row r="102">
      <c r="A102" s="15" t="n"/>
      <c r="B102" s="15" t="n"/>
      <c r="C102" s="15" t="n"/>
      <c r="D102" s="15" t="n"/>
      <c r="E102" s="15" t="n"/>
      <c r="F102" s="15" t="n"/>
      <c r="G102" s="15" t="n"/>
      <c r="H102" s="15" t="n"/>
      <c r="I102" s="15" t="n"/>
      <c r="J102" s="15" t="n"/>
      <c r="K102" s="15" t="n"/>
    </row>
    <row r="103">
      <c r="A103" s="15" t="n"/>
      <c r="B103" s="15" t="n"/>
      <c r="C103" s="15" t="n"/>
      <c r="D103" s="15" t="n"/>
      <c r="E103" s="15" t="n"/>
      <c r="F103" s="15" t="n"/>
      <c r="G103" s="15" t="n"/>
      <c r="H103" s="15" t="n"/>
      <c r="I103" s="15" t="n"/>
      <c r="J103" s="15" t="n"/>
      <c r="K103" s="15" t="n"/>
    </row>
    <row r="104">
      <c r="A104" s="15" t="n"/>
      <c r="B104" s="15" t="n"/>
      <c r="C104" s="15" t="n"/>
      <c r="D104" s="15" t="n"/>
      <c r="E104" s="15" t="n"/>
      <c r="F104" s="15" t="n"/>
      <c r="G104" s="15" t="n"/>
      <c r="H104" s="15" t="n"/>
      <c r="I104" s="15" t="n"/>
      <c r="J104" s="15" t="n"/>
      <c r="K104" s="15" t="n"/>
    </row>
    <row r="105">
      <c r="A105" s="15" t="n"/>
      <c r="B105" s="15" t="n"/>
      <c r="C105" s="15" t="n"/>
      <c r="D105" s="15" t="n"/>
      <c r="E105" s="15" t="n"/>
      <c r="F105" s="15" t="n"/>
      <c r="G105" s="15" t="n"/>
      <c r="H105" s="15" t="n"/>
      <c r="I105" s="15" t="n"/>
      <c r="J105" s="15" t="n"/>
      <c r="K105" s="15" t="n"/>
    </row>
    <row r="106">
      <c r="A106" s="15" t="n"/>
      <c r="B106" s="15" t="n"/>
      <c r="C106" s="15" t="n"/>
      <c r="D106" s="15" t="n"/>
      <c r="E106" s="15" t="n"/>
      <c r="F106" s="15" t="n"/>
      <c r="G106" s="15" t="n"/>
      <c r="H106" s="15" t="n"/>
      <c r="I106" s="15" t="n"/>
      <c r="J106" s="15" t="n"/>
      <c r="K106" s="15" t="n"/>
    </row>
    <row r="107">
      <c r="A107" s="15" t="n"/>
      <c r="B107" s="15" t="n"/>
      <c r="C107" s="15" t="n"/>
      <c r="D107" s="15" t="n"/>
      <c r="E107" s="15" t="n"/>
      <c r="F107" s="15" t="n"/>
      <c r="G107" s="15" t="n"/>
      <c r="H107" s="15" t="n"/>
      <c r="I107" s="15" t="n"/>
      <c r="J107" s="15" t="n"/>
      <c r="K107" s="15" t="n"/>
    </row>
    <row r="108">
      <c r="A108" s="15" t="n"/>
      <c r="B108" s="15" t="n"/>
      <c r="C108" s="15" t="n"/>
      <c r="D108" s="15" t="n"/>
      <c r="E108" s="15" t="n"/>
      <c r="F108" s="15" t="n"/>
      <c r="G108" s="15" t="n"/>
      <c r="H108" s="15" t="n"/>
      <c r="I108" s="15" t="n"/>
      <c r="J108" s="15" t="n"/>
      <c r="K108" s="15" t="n"/>
    </row>
    <row r="109">
      <c r="A109" s="15" t="n"/>
      <c r="B109" s="15" t="n"/>
      <c r="C109" s="15" t="n"/>
      <c r="D109" s="15" t="n"/>
      <c r="E109" s="15" t="n"/>
      <c r="F109" s="15" t="n"/>
      <c r="G109" s="15" t="n"/>
      <c r="H109" s="15" t="n"/>
      <c r="I109" s="15" t="n"/>
      <c r="J109" s="15" t="n"/>
      <c r="K109" s="15" t="n"/>
    </row>
    <row r="110">
      <c r="A110" s="15" t="n"/>
      <c r="B110" s="15" t="n"/>
      <c r="C110" s="15" t="n"/>
      <c r="D110" s="15" t="n"/>
      <c r="E110" s="15" t="n"/>
      <c r="F110" s="15" t="n"/>
      <c r="G110" s="15" t="n"/>
      <c r="H110" s="15" t="n"/>
      <c r="I110" s="15" t="n"/>
      <c r="J110" s="15" t="n"/>
      <c r="K110" s="15" t="n"/>
    </row>
    <row r="111">
      <c r="A111" s="15" t="n"/>
      <c r="B111" s="15" t="n"/>
      <c r="C111" s="15" t="n"/>
      <c r="D111" s="15" t="n"/>
      <c r="E111" s="15" t="n"/>
      <c r="F111" s="15" t="n"/>
      <c r="G111" s="15" t="n"/>
      <c r="H111" s="15" t="n"/>
      <c r="I111" s="15" t="n"/>
      <c r="J111" s="15" t="n"/>
      <c r="K111" s="15" t="n"/>
    </row>
    <row r="112">
      <c r="A112" s="15" t="n"/>
      <c r="B112" s="15" t="n"/>
      <c r="C112" s="15" t="n"/>
      <c r="D112" s="15" t="n"/>
      <c r="E112" s="15" t="n"/>
      <c r="F112" s="15" t="n"/>
      <c r="G112" s="15" t="n"/>
      <c r="H112" s="15" t="n"/>
      <c r="I112" s="15" t="n"/>
      <c r="J112" s="15" t="n"/>
      <c r="K112" s="15" t="n"/>
    </row>
    <row r="113">
      <c r="A113" s="15" t="n"/>
      <c r="B113" s="15" t="n"/>
      <c r="C113" s="15" t="n"/>
      <c r="D113" s="15" t="n"/>
      <c r="E113" s="15" t="n"/>
      <c r="F113" s="15" t="n"/>
      <c r="G113" s="15" t="n"/>
      <c r="H113" s="15" t="n"/>
      <c r="I113" s="15" t="n"/>
      <c r="J113" s="15" t="n"/>
      <c r="K113" s="15" t="n"/>
    </row>
    <row r="114">
      <c r="A114" s="15" t="n"/>
      <c r="B114" s="15" t="n"/>
      <c r="C114" s="15" t="n"/>
      <c r="D114" s="15" t="n"/>
      <c r="E114" s="15" t="n"/>
      <c r="F114" s="15" t="n"/>
      <c r="G114" s="15" t="n"/>
      <c r="H114" s="15" t="n"/>
      <c r="I114" s="15" t="n"/>
      <c r="J114" s="15" t="n"/>
      <c r="K114" s="15" t="n"/>
    </row>
    <row r="115">
      <c r="A115" s="15" t="n"/>
      <c r="B115" s="15" t="n"/>
      <c r="C115" s="15" t="n"/>
      <c r="D115" s="15" t="n"/>
      <c r="E115" s="15" t="n"/>
      <c r="F115" s="15" t="n"/>
      <c r="G115" s="15" t="n"/>
      <c r="H115" s="15" t="n"/>
      <c r="I115" s="15" t="n"/>
      <c r="J115" s="15" t="n"/>
      <c r="K115" s="15" t="n"/>
    </row>
    <row r="116">
      <c r="A116" s="15" t="n"/>
      <c r="B116" s="15" t="n"/>
      <c r="C116" s="15" t="n"/>
      <c r="D116" s="15" t="n"/>
      <c r="E116" s="15" t="n"/>
      <c r="F116" s="15" t="n"/>
      <c r="G116" s="15" t="n"/>
      <c r="H116" s="15" t="n"/>
      <c r="I116" s="15" t="n"/>
      <c r="J116" s="15" t="n"/>
      <c r="K116" s="15" t="n"/>
    </row>
    <row r="117">
      <c r="A117" s="15" t="n"/>
      <c r="B117" s="15" t="n"/>
      <c r="C117" s="15" t="n"/>
      <c r="D117" s="15" t="n"/>
      <c r="E117" s="15" t="n"/>
      <c r="F117" s="15" t="n"/>
      <c r="G117" s="15" t="n"/>
      <c r="H117" s="15" t="n"/>
      <c r="I117" s="15" t="n"/>
      <c r="J117" s="15" t="n"/>
      <c r="K117" s="15" t="n"/>
    </row>
    <row r="118">
      <c r="A118" s="15" t="n"/>
      <c r="B118" s="15" t="n"/>
      <c r="C118" s="15" t="n"/>
      <c r="D118" s="15" t="n"/>
      <c r="E118" s="15" t="n"/>
      <c r="F118" s="15" t="n"/>
      <c r="G118" s="15" t="n"/>
      <c r="H118" s="15" t="n"/>
      <c r="I118" s="15" t="n"/>
      <c r="J118" s="15" t="n"/>
      <c r="K118" s="15" t="n"/>
    </row>
    <row r="119">
      <c r="A119" s="15" t="n"/>
      <c r="B119" s="15" t="n"/>
      <c r="C119" s="15" t="n"/>
      <c r="D119" s="15" t="n"/>
      <c r="E119" s="15" t="n"/>
      <c r="F119" s="15" t="n"/>
      <c r="G119" s="15" t="n"/>
      <c r="H119" s="15" t="n"/>
      <c r="I119" s="15" t="n"/>
      <c r="J119" s="15" t="n"/>
      <c r="K119" s="15" t="n"/>
    </row>
    <row r="120">
      <c r="A120" s="15" t="n"/>
      <c r="B120" s="15" t="n"/>
      <c r="C120" s="15" t="n"/>
      <c r="D120" s="15" t="n"/>
      <c r="E120" s="15" t="n"/>
      <c r="F120" s="15" t="n"/>
      <c r="G120" s="15" t="n"/>
      <c r="H120" s="15" t="n"/>
      <c r="I120" s="15" t="n"/>
      <c r="J120" s="15" t="n"/>
      <c r="K120" s="15" t="n"/>
    </row>
    <row r="121">
      <c r="A121" s="15" t="n"/>
      <c r="B121" s="15" t="n"/>
      <c r="C121" s="15" t="n"/>
      <c r="D121" s="15" t="n"/>
      <c r="E121" s="15" t="n"/>
      <c r="F121" s="15" t="n"/>
      <c r="G121" s="15" t="n"/>
      <c r="H121" s="15" t="n"/>
      <c r="I121" s="15" t="n"/>
      <c r="J121" s="15" t="n"/>
      <c r="K121" s="15" t="n"/>
    </row>
    <row r="122">
      <c r="A122" s="15" t="n"/>
      <c r="B122" s="15" t="n"/>
      <c r="C122" s="15" t="n"/>
      <c r="D122" s="15" t="n"/>
      <c r="E122" s="15" t="n"/>
      <c r="F122" s="15" t="n"/>
      <c r="G122" s="15" t="n"/>
      <c r="H122" s="15" t="n"/>
      <c r="I122" s="15" t="n"/>
      <c r="J122" s="15" t="n"/>
      <c r="K122" s="15" t="n"/>
    </row>
    <row r="123">
      <c r="A123" s="15" t="n"/>
      <c r="B123" s="15" t="n"/>
      <c r="C123" s="15" t="n"/>
      <c r="D123" s="15" t="n"/>
      <c r="E123" s="15" t="n"/>
      <c r="F123" s="15" t="n"/>
      <c r="G123" s="15" t="n"/>
      <c r="H123" s="15" t="n"/>
      <c r="I123" s="15" t="n"/>
      <c r="J123" s="15" t="n"/>
      <c r="K123" s="15" t="n"/>
    </row>
    <row r="124">
      <c r="A124" s="15" t="n"/>
      <c r="B124" s="15" t="n"/>
      <c r="C124" s="15" t="n"/>
      <c r="D124" s="15" t="n"/>
      <c r="E124" s="15" t="n"/>
      <c r="F124" s="15" t="n"/>
      <c r="G124" s="15" t="n"/>
      <c r="H124" s="15" t="n"/>
      <c r="I124" s="15" t="n"/>
      <c r="J124" s="15" t="n"/>
      <c r="K124" s="15" t="n"/>
    </row>
    <row r="125">
      <c r="A125" s="15" t="n"/>
      <c r="B125" s="15" t="n"/>
      <c r="C125" s="15" t="n"/>
      <c r="D125" s="15" t="n"/>
      <c r="E125" s="15" t="n"/>
      <c r="F125" s="15" t="n"/>
      <c r="G125" s="15" t="n"/>
      <c r="H125" s="15" t="n"/>
      <c r="I125" s="15" t="n"/>
      <c r="J125" s="15" t="n"/>
      <c r="K125" s="15" t="n"/>
    </row>
    <row r="126">
      <c r="A126" s="15" t="n"/>
      <c r="B126" s="15" t="n"/>
      <c r="C126" s="15" t="n"/>
      <c r="D126" s="15" t="n"/>
      <c r="E126" s="15" t="n"/>
      <c r="F126" s="15" t="n"/>
      <c r="G126" s="15" t="n"/>
      <c r="H126" s="15" t="n"/>
      <c r="I126" s="15" t="n"/>
      <c r="J126" s="15" t="n"/>
      <c r="K126" s="15" t="n"/>
    </row>
    <row r="127">
      <c r="A127" s="15" t="n"/>
      <c r="B127" s="15" t="n"/>
      <c r="C127" s="15" t="n"/>
      <c r="D127" s="15" t="n"/>
      <c r="E127" s="15" t="n"/>
      <c r="F127" s="15" t="n"/>
      <c r="G127" s="15" t="n"/>
      <c r="H127" s="15" t="n"/>
      <c r="I127" s="15" t="n"/>
      <c r="J127" s="15" t="n"/>
      <c r="K127" s="15" t="n"/>
    </row>
    <row r="128">
      <c r="A128" s="15" t="n"/>
      <c r="B128" s="15" t="n"/>
      <c r="C128" s="15" t="n"/>
      <c r="D128" s="15" t="n"/>
      <c r="E128" s="15" t="n"/>
      <c r="F128" s="15" t="n"/>
      <c r="G128" s="15" t="n"/>
      <c r="H128" s="15" t="n"/>
      <c r="I128" s="15" t="n"/>
      <c r="J128" s="15" t="n"/>
      <c r="K128" s="15" t="n"/>
    </row>
    <row r="129">
      <c r="A129" s="15" t="n"/>
      <c r="B129" s="15" t="n"/>
      <c r="C129" s="15" t="n"/>
      <c r="D129" s="15" t="n"/>
      <c r="E129" s="15" t="n"/>
      <c r="F129" s="15" t="n"/>
      <c r="G129" s="15" t="n"/>
      <c r="H129" s="15" t="n"/>
      <c r="I129" s="15" t="n"/>
      <c r="J129" s="15" t="n"/>
      <c r="K129" s="15" t="n"/>
    </row>
    <row r="130">
      <c r="A130" s="15" t="n"/>
      <c r="B130" s="15" t="n"/>
      <c r="C130" s="15" t="n"/>
      <c r="D130" s="15" t="n"/>
      <c r="E130" s="15" t="n"/>
      <c r="F130" s="15" t="n"/>
      <c r="G130" s="15" t="n"/>
      <c r="H130" s="15" t="n"/>
      <c r="I130" s="15" t="n"/>
      <c r="J130" s="15" t="n"/>
      <c r="K130" s="15" t="n"/>
    </row>
    <row r="131">
      <c r="A131" s="15" t="n"/>
      <c r="B131" s="15" t="n"/>
      <c r="C131" s="15" t="n"/>
      <c r="D131" s="15" t="n"/>
      <c r="E131" s="15" t="n"/>
      <c r="F131" s="15" t="n"/>
      <c r="G131" s="15" t="n"/>
      <c r="H131" s="15" t="n"/>
      <c r="I131" s="15" t="n"/>
      <c r="J131" s="15" t="n"/>
      <c r="K131" s="15" t="n"/>
    </row>
    <row r="132">
      <c r="A132" s="15" t="n"/>
      <c r="B132" s="15" t="n"/>
      <c r="C132" s="15" t="n"/>
      <c r="D132" s="15" t="n"/>
      <c r="E132" s="15" t="n"/>
      <c r="F132" s="15" t="n"/>
      <c r="G132" s="15" t="n"/>
      <c r="H132" s="15" t="n"/>
      <c r="I132" s="15" t="n"/>
      <c r="J132" s="15" t="n"/>
      <c r="K132" s="15" t="n"/>
    </row>
    <row r="133">
      <c r="A133" s="15" t="n"/>
      <c r="B133" s="15" t="n"/>
      <c r="C133" s="15" t="n"/>
      <c r="D133" s="15" t="n"/>
      <c r="E133" s="15" t="n"/>
      <c r="F133" s="15" t="n"/>
      <c r="G133" s="15" t="n"/>
      <c r="H133" s="15" t="n"/>
      <c r="I133" s="15" t="n"/>
      <c r="J133" s="15" t="n"/>
      <c r="K133" s="15" t="n"/>
    </row>
    <row r="134">
      <c r="A134" s="15" t="n"/>
      <c r="B134" s="15" t="n"/>
      <c r="C134" s="15" t="n"/>
      <c r="D134" s="15" t="n"/>
      <c r="E134" s="15" t="n"/>
      <c r="F134" s="15" t="n"/>
      <c r="G134" s="15" t="n"/>
      <c r="H134" s="15" t="n"/>
      <c r="I134" s="15" t="n"/>
      <c r="J134" s="15" t="n"/>
      <c r="K134" s="15" t="n"/>
    </row>
    <row r="135">
      <c r="A135" s="15" t="n"/>
      <c r="B135" s="15" t="n"/>
      <c r="C135" s="15" t="n"/>
      <c r="D135" s="15" t="n"/>
      <c r="E135" s="15" t="n"/>
      <c r="F135" s="15" t="n"/>
      <c r="G135" s="15" t="n"/>
      <c r="H135" s="15" t="n"/>
      <c r="I135" s="15" t="n"/>
      <c r="J135" s="15" t="n"/>
      <c r="K135" s="15" t="n"/>
    </row>
    <row r="136">
      <c r="A136" s="15" t="n"/>
      <c r="B136" s="15" t="n"/>
      <c r="C136" s="15" t="n"/>
      <c r="D136" s="15" t="n"/>
      <c r="E136" s="15" t="n"/>
      <c r="F136" s="15" t="n"/>
      <c r="G136" s="15" t="n"/>
      <c r="H136" s="15" t="n"/>
      <c r="I136" s="15" t="n"/>
      <c r="J136" s="15" t="n"/>
      <c r="K136" s="15" t="n"/>
    </row>
    <row r="137">
      <c r="A137" s="15" t="n"/>
      <c r="B137" s="15" t="n"/>
      <c r="C137" s="15" t="n"/>
      <c r="D137" s="15" t="n"/>
      <c r="E137" s="15" t="n"/>
      <c r="F137" s="15" t="n"/>
      <c r="G137" s="15" t="n"/>
      <c r="H137" s="15" t="n"/>
      <c r="I137" s="15" t="n"/>
      <c r="J137" s="15" t="n"/>
      <c r="K137" s="15" t="n"/>
    </row>
    <row r="138">
      <c r="A138" s="15" t="n"/>
      <c r="B138" s="15" t="n"/>
      <c r="C138" s="15" t="n"/>
      <c r="D138" s="15" t="n"/>
      <c r="E138" s="15" t="n"/>
      <c r="F138" s="15" t="n"/>
      <c r="G138" s="15" t="n"/>
      <c r="H138" s="15" t="n"/>
      <c r="I138" s="15" t="n"/>
      <c r="J138" s="15" t="n"/>
      <c r="K138" s="15" t="n"/>
    </row>
    <row r="139">
      <c r="A139" s="15" t="n"/>
      <c r="B139" s="15" t="n"/>
      <c r="C139" s="15" t="n"/>
      <c r="D139" s="15" t="n"/>
      <c r="E139" s="15" t="n"/>
      <c r="F139" s="15" t="n"/>
      <c r="G139" s="15" t="n"/>
      <c r="H139" s="15" t="n"/>
      <c r="I139" s="15" t="n"/>
      <c r="J139" s="15" t="n"/>
      <c r="K139" s="15" t="n"/>
    </row>
    <row r="140">
      <c r="A140" s="15" t="n"/>
      <c r="B140" s="15" t="n"/>
      <c r="C140" s="15" t="n"/>
      <c r="D140" s="15" t="n"/>
      <c r="E140" s="15" t="n"/>
      <c r="F140" s="15" t="n"/>
      <c r="G140" s="15" t="n"/>
      <c r="H140" s="15" t="n"/>
      <c r="I140" s="15" t="n"/>
      <c r="J140" s="15" t="n"/>
      <c r="K140" s="15" t="n"/>
    </row>
    <row r="141">
      <c r="A141" s="15" t="n"/>
      <c r="B141" s="15" t="n"/>
      <c r="C141" s="15" t="n"/>
      <c r="D141" s="15" t="n"/>
      <c r="E141" s="15" t="n"/>
      <c r="F141" s="15" t="n"/>
      <c r="G141" s="15" t="n"/>
      <c r="H141" s="15" t="n"/>
      <c r="I141" s="15" t="n"/>
      <c r="J141" s="15" t="n"/>
      <c r="K141" s="15" t="n"/>
    </row>
    <row r="142">
      <c r="A142" s="15" t="n"/>
      <c r="B142" s="15" t="n"/>
      <c r="C142" s="15" t="n"/>
      <c r="D142" s="15" t="n"/>
      <c r="E142" s="15" t="n"/>
      <c r="F142" s="15" t="n"/>
      <c r="G142" s="15" t="n"/>
      <c r="H142" s="15" t="n"/>
      <c r="I142" s="15" t="n"/>
      <c r="J142" s="15" t="n"/>
      <c r="K142" s="15" t="n"/>
    </row>
    <row r="143">
      <c r="A143" s="15" t="n"/>
      <c r="B143" s="15" t="n"/>
      <c r="C143" s="15" t="n"/>
      <c r="D143" s="15" t="n"/>
      <c r="E143" s="15" t="n"/>
      <c r="F143" s="15" t="n"/>
      <c r="G143" s="15" t="n"/>
      <c r="H143" s="15" t="n"/>
      <c r="I143" s="15" t="n"/>
      <c r="J143" s="15" t="n"/>
      <c r="K143" s="15" t="n"/>
    </row>
    <row r="144">
      <c r="A144" s="15" t="n"/>
      <c r="B144" s="15" t="n"/>
      <c r="C144" s="15" t="n"/>
      <c r="D144" s="15" t="n"/>
      <c r="E144" s="15" t="n"/>
      <c r="F144" s="15" t="n"/>
      <c r="G144" s="15" t="n"/>
      <c r="H144" s="15" t="n"/>
      <c r="I144" s="15" t="n"/>
      <c r="J144" s="15" t="n"/>
      <c r="K144" s="15" t="n"/>
    </row>
    <row r="145">
      <c r="A145" s="15" t="n"/>
      <c r="B145" s="15" t="n"/>
      <c r="C145" s="15" t="n"/>
      <c r="D145" s="15" t="n"/>
      <c r="E145" s="15" t="n"/>
      <c r="F145" s="15" t="n"/>
      <c r="G145" s="15" t="n"/>
      <c r="H145" s="15" t="n"/>
      <c r="I145" s="15" t="n"/>
      <c r="J145" s="15" t="n"/>
      <c r="K145" s="15" t="n"/>
    </row>
    <row r="146">
      <c r="A146" s="15" t="n"/>
      <c r="B146" s="15" t="n"/>
      <c r="C146" s="15" t="n"/>
      <c r="D146" s="15" t="n"/>
      <c r="E146" s="15" t="n"/>
      <c r="F146" s="15" t="n"/>
      <c r="G146" s="15" t="n"/>
      <c r="H146" s="15" t="n"/>
      <c r="I146" s="15" t="n"/>
      <c r="J146" s="15" t="n"/>
      <c r="K146" s="15" t="n"/>
    </row>
    <row r="147">
      <c r="A147" s="15" t="n"/>
      <c r="B147" s="15" t="n"/>
      <c r="C147" s="15" t="n"/>
      <c r="D147" s="15" t="n"/>
      <c r="E147" s="15" t="n"/>
      <c r="F147" s="15" t="n"/>
      <c r="G147" s="15" t="n"/>
      <c r="H147" s="15" t="n"/>
      <c r="I147" s="15" t="n"/>
      <c r="J147" s="15" t="n"/>
      <c r="K147" s="15" t="n"/>
    </row>
    <row r="148">
      <c r="A148" s="15" t="n"/>
      <c r="B148" s="15" t="n"/>
      <c r="C148" s="15" t="n"/>
      <c r="D148" s="15" t="n"/>
      <c r="E148" s="15" t="n"/>
      <c r="F148" s="15" t="n"/>
      <c r="G148" s="15" t="n"/>
      <c r="H148" s="15" t="n"/>
      <c r="I148" s="15" t="n"/>
      <c r="J148" s="15" t="n"/>
      <c r="K148" s="15" t="n"/>
    </row>
    <row r="149">
      <c r="A149" s="15" t="n"/>
      <c r="B149" s="15" t="n"/>
      <c r="C149" s="15" t="n"/>
      <c r="D149" s="15" t="n"/>
      <c r="E149" s="15" t="n"/>
      <c r="F149" s="15" t="n"/>
      <c r="G149" s="15" t="n"/>
      <c r="H149" s="15" t="n"/>
      <c r="I149" s="15" t="n"/>
      <c r="J149" s="15" t="n"/>
      <c r="K149" s="15" t="n"/>
    </row>
    <row r="150">
      <c r="A150" s="15" t="n"/>
      <c r="B150" s="15" t="n"/>
      <c r="C150" s="15" t="n"/>
      <c r="D150" s="15" t="n"/>
      <c r="E150" s="15" t="n"/>
      <c r="F150" s="15" t="n"/>
      <c r="G150" s="15" t="n"/>
      <c r="H150" s="15" t="n"/>
      <c r="I150" s="15" t="n"/>
      <c r="J150" s="15" t="n"/>
      <c r="K150" s="15" t="n"/>
    </row>
    <row r="151">
      <c r="A151" s="15" t="n"/>
      <c r="B151" s="15" t="n"/>
      <c r="C151" s="15" t="n"/>
      <c r="D151" s="15" t="n"/>
      <c r="E151" s="15" t="n"/>
      <c r="F151" s="15" t="n"/>
      <c r="G151" s="15" t="n"/>
      <c r="H151" s="15" t="n"/>
      <c r="I151" s="15" t="n"/>
      <c r="J151" s="15" t="n"/>
      <c r="K151" s="15" t="n"/>
    </row>
    <row r="152">
      <c r="A152" s="15" t="n"/>
      <c r="B152" s="15" t="n"/>
      <c r="C152" s="15" t="n"/>
      <c r="D152" s="15" t="n"/>
      <c r="E152" s="15" t="n"/>
      <c r="F152" s="15" t="n"/>
      <c r="G152" s="15" t="n"/>
      <c r="H152" s="15" t="n"/>
      <c r="I152" s="15" t="n"/>
      <c r="J152" s="15" t="n"/>
      <c r="K152" s="15" t="n"/>
    </row>
    <row r="153">
      <c r="A153" s="15" t="n"/>
      <c r="B153" s="15" t="n"/>
      <c r="C153" s="15" t="n"/>
      <c r="D153" s="15" t="n"/>
      <c r="E153" s="15" t="n"/>
      <c r="F153" s="15" t="n"/>
      <c r="G153" s="15" t="n"/>
      <c r="H153" s="15" t="n"/>
      <c r="I153" s="15" t="n"/>
      <c r="J153" s="15" t="n"/>
      <c r="K153" s="15" t="n"/>
    </row>
    <row r="154">
      <c r="A154" s="15" t="n"/>
      <c r="B154" s="15" t="n"/>
      <c r="C154" s="15" t="n"/>
      <c r="D154" s="15" t="n"/>
      <c r="E154" s="15" t="n"/>
      <c r="F154" s="15" t="n"/>
      <c r="G154" s="15" t="n"/>
      <c r="H154" s="15" t="n"/>
      <c r="I154" s="15" t="n"/>
      <c r="J154" s="15" t="n"/>
      <c r="K154" s="15" t="n"/>
    </row>
    <row r="155">
      <c r="A155" s="15" t="n"/>
      <c r="B155" s="15" t="n"/>
      <c r="C155" s="15" t="n"/>
      <c r="D155" s="15" t="n"/>
      <c r="E155" s="15" t="n"/>
      <c r="F155" s="15" t="n"/>
      <c r="G155" s="15" t="n"/>
      <c r="H155" s="15" t="n"/>
      <c r="I155" s="15" t="n"/>
      <c r="J155" s="15" t="n"/>
      <c r="K155" s="15" t="n"/>
    </row>
    <row r="156">
      <c r="A156" s="15" t="n"/>
      <c r="B156" s="15" t="n"/>
      <c r="C156" s="15" t="n"/>
      <c r="D156" s="15" t="n"/>
      <c r="E156" s="15" t="n"/>
      <c r="F156" s="15" t="n"/>
      <c r="G156" s="15" t="n"/>
      <c r="H156" s="15" t="n"/>
      <c r="I156" s="15" t="n"/>
      <c r="J156" s="15" t="n"/>
      <c r="K156" s="15" t="n"/>
    </row>
    <row r="157">
      <c r="A157" s="15" t="n"/>
      <c r="B157" s="15" t="n"/>
      <c r="C157" s="15" t="n"/>
      <c r="D157" s="15" t="n"/>
      <c r="E157" s="15" t="n"/>
      <c r="F157" s="15" t="n"/>
      <c r="G157" s="15" t="n"/>
      <c r="H157" s="15" t="n"/>
      <c r="I157" s="15" t="n"/>
      <c r="J157" s="15" t="n"/>
      <c r="K157" s="15" t="n"/>
    </row>
    <row r="158">
      <c r="A158" s="15" t="n"/>
      <c r="B158" s="15" t="n"/>
      <c r="C158" s="15" t="n"/>
      <c r="D158" s="15" t="n"/>
      <c r="E158" s="15" t="n"/>
      <c r="F158" s="15" t="n"/>
      <c r="G158" s="15" t="n"/>
      <c r="H158" s="15" t="n"/>
      <c r="I158" s="15" t="n"/>
      <c r="J158" s="15" t="n"/>
      <c r="K158" s="15" t="n"/>
    </row>
    <row r="159">
      <c r="A159" s="15" t="n"/>
      <c r="B159" s="15" t="n"/>
      <c r="C159" s="15" t="n"/>
      <c r="D159" s="15" t="n"/>
      <c r="E159" s="15" t="n"/>
      <c r="F159" s="15" t="n"/>
      <c r="G159" s="15" t="n"/>
      <c r="H159" s="15" t="n"/>
      <c r="I159" s="15" t="n"/>
      <c r="J159" s="15" t="n"/>
      <c r="K159" s="15" t="n"/>
    </row>
    <row r="160">
      <c r="A160" s="15" t="n"/>
      <c r="B160" s="15" t="n"/>
      <c r="C160" s="15" t="n"/>
      <c r="D160" s="15" t="n"/>
      <c r="E160" s="15" t="n"/>
      <c r="F160" s="15" t="n"/>
      <c r="G160" s="15" t="n"/>
      <c r="H160" s="15" t="n"/>
      <c r="I160" s="15" t="n"/>
      <c r="J160" s="15" t="n"/>
      <c r="K160" s="15" t="n"/>
    </row>
    <row r="161">
      <c r="A161" s="15" t="n"/>
      <c r="B161" s="15" t="n"/>
      <c r="C161" s="15" t="n"/>
      <c r="D161" s="15" t="n"/>
      <c r="E161" s="15" t="n"/>
      <c r="F161" s="15" t="n"/>
      <c r="G161" s="15" t="n"/>
      <c r="H161" s="15" t="n"/>
      <c r="I161" s="15" t="n"/>
      <c r="J161" s="15" t="n"/>
      <c r="K161" s="15" t="n"/>
    </row>
    <row r="162">
      <c r="A162" s="15" t="n"/>
      <c r="B162" s="15" t="n"/>
      <c r="C162" s="15" t="n"/>
      <c r="D162" s="15" t="n"/>
      <c r="E162" s="15" t="n"/>
      <c r="F162" s="15" t="n"/>
      <c r="G162" s="15" t="n"/>
      <c r="H162" s="15" t="n"/>
      <c r="I162" s="15" t="n"/>
      <c r="J162" s="15" t="n"/>
      <c r="K162" s="15" t="n"/>
    </row>
    <row r="163">
      <c r="A163" s="15" t="n"/>
      <c r="B163" s="15" t="n"/>
      <c r="C163" s="15" t="n"/>
      <c r="D163" s="15" t="n"/>
      <c r="E163" s="15" t="n"/>
      <c r="F163" s="15" t="n"/>
      <c r="G163" s="15" t="n"/>
      <c r="H163" s="15" t="n"/>
      <c r="I163" s="15" t="n"/>
      <c r="J163" s="15" t="n"/>
      <c r="K163" s="15" t="n"/>
    </row>
    <row r="164">
      <c r="A164" s="15" t="n"/>
      <c r="B164" s="15" t="n"/>
      <c r="C164" s="15" t="n"/>
      <c r="D164" s="15" t="n"/>
      <c r="E164" s="15" t="n"/>
      <c r="F164" s="15" t="n"/>
      <c r="G164" s="15" t="n"/>
      <c r="H164" s="15" t="n"/>
      <c r="I164" s="15" t="n"/>
      <c r="J164" s="15" t="n"/>
      <c r="K164" s="15" t="n"/>
    </row>
    <row r="165">
      <c r="A165" s="15" t="n"/>
      <c r="B165" s="15" t="n"/>
      <c r="C165" s="15" t="n"/>
      <c r="D165" s="15" t="n"/>
      <c r="E165" s="15" t="n"/>
      <c r="F165" s="15" t="n"/>
      <c r="G165" s="15" t="n"/>
      <c r="H165" s="15" t="n"/>
      <c r="I165" s="15" t="n"/>
      <c r="J165" s="15" t="n"/>
      <c r="K165" s="15" t="n"/>
    </row>
    <row r="166">
      <c r="A166" s="15" t="n"/>
      <c r="B166" s="15" t="n"/>
      <c r="C166" s="15" t="n"/>
      <c r="D166" s="15" t="n"/>
      <c r="E166" s="15" t="n"/>
      <c r="F166" s="15" t="n"/>
      <c r="G166" s="15" t="n"/>
      <c r="H166" s="15" t="n"/>
      <c r="I166" s="15" t="n"/>
      <c r="J166" s="15" t="n"/>
      <c r="K166" s="15" t="n"/>
    </row>
    <row r="167">
      <c r="A167" s="15" t="n"/>
      <c r="B167" s="15" t="n"/>
      <c r="C167" s="15" t="n"/>
      <c r="D167" s="15" t="n"/>
      <c r="E167" s="15" t="n"/>
      <c r="F167" s="15" t="n"/>
      <c r="G167" s="15" t="n"/>
      <c r="H167" s="15" t="n"/>
      <c r="I167" s="15" t="n"/>
      <c r="J167" s="15" t="n"/>
      <c r="K167" s="15" t="n"/>
    </row>
    <row r="168">
      <c r="A168" s="15" t="n"/>
      <c r="B168" s="15" t="n"/>
      <c r="C168" s="15" t="n"/>
      <c r="D168" s="15" t="n"/>
      <c r="E168" s="15" t="n"/>
      <c r="F168" s="15" t="n"/>
      <c r="G168" s="15" t="n"/>
      <c r="H168" s="15" t="n"/>
      <c r="I168" s="15" t="n"/>
      <c r="J168" s="15" t="n"/>
      <c r="K168" s="15" t="n"/>
    </row>
    <row r="169">
      <c r="A169" s="15" t="n"/>
      <c r="B169" s="15" t="n"/>
      <c r="C169" s="15" t="n"/>
      <c r="D169" s="15" t="n"/>
      <c r="E169" s="15" t="n"/>
      <c r="F169" s="15" t="n"/>
      <c r="G169" s="15" t="n"/>
      <c r="H169" s="15" t="n"/>
      <c r="I169" s="15" t="n"/>
      <c r="J169" s="15" t="n"/>
      <c r="K169" s="15" t="n"/>
    </row>
    <row r="170">
      <c r="A170" s="15" t="n"/>
      <c r="B170" s="15" t="n"/>
      <c r="C170" s="15" t="n"/>
      <c r="D170" s="15" t="n"/>
      <c r="E170" s="15" t="n"/>
      <c r="F170" s="15" t="n"/>
      <c r="G170" s="15" t="n"/>
      <c r="H170" s="15" t="n"/>
      <c r="I170" s="15" t="n"/>
      <c r="J170" s="15" t="n"/>
      <c r="K170" s="15" t="n"/>
    </row>
    <row r="171">
      <c r="A171" s="15" t="n"/>
      <c r="B171" s="15" t="n"/>
      <c r="C171" s="15" t="n"/>
      <c r="D171" s="15" t="n"/>
      <c r="E171" s="15" t="n"/>
      <c r="F171" s="15" t="n"/>
      <c r="G171" s="15" t="n"/>
      <c r="H171" s="15" t="n"/>
      <c r="I171" s="15" t="n"/>
      <c r="J171" s="15" t="n"/>
      <c r="K171" s="15" t="n"/>
    </row>
    <row r="172">
      <c r="A172" s="15" t="n"/>
      <c r="B172" s="15" t="n"/>
      <c r="C172" s="15" t="n"/>
      <c r="D172" s="15" t="n"/>
      <c r="E172" s="15" t="n"/>
      <c r="F172" s="15" t="n"/>
      <c r="G172" s="15" t="n"/>
      <c r="H172" s="15" t="n"/>
      <c r="I172" s="15" t="n"/>
      <c r="J172" s="15" t="n"/>
      <c r="K172" s="15" t="n"/>
    </row>
    <row r="173">
      <c r="A173" s="15" t="n"/>
      <c r="B173" s="15" t="n"/>
      <c r="C173" s="15" t="n"/>
      <c r="D173" s="15" t="n"/>
      <c r="E173" s="15" t="n"/>
      <c r="F173" s="15" t="n"/>
      <c r="G173" s="15" t="n"/>
      <c r="H173" s="15" t="n"/>
      <c r="I173" s="15" t="n"/>
      <c r="J173" s="15" t="n"/>
      <c r="K173" s="15" t="n"/>
    </row>
    <row r="174">
      <c r="A174" s="15" t="n"/>
      <c r="B174" s="15" t="n"/>
      <c r="C174" s="15" t="n"/>
      <c r="D174" s="15" t="n"/>
      <c r="E174" s="15" t="n"/>
      <c r="F174" s="15" t="n"/>
      <c r="G174" s="15" t="n"/>
      <c r="H174" s="15" t="n"/>
      <c r="I174" s="15" t="n"/>
      <c r="J174" s="15" t="n"/>
      <c r="K174" s="15" t="n"/>
    </row>
    <row r="175">
      <c r="A175" s="15" t="n"/>
      <c r="B175" s="15" t="n"/>
      <c r="C175" s="15" t="n"/>
      <c r="D175" s="15" t="n"/>
      <c r="E175" s="15" t="n"/>
      <c r="F175" s="15" t="n"/>
      <c r="G175" s="15" t="n"/>
      <c r="H175" s="15" t="n"/>
      <c r="I175" s="15" t="n"/>
      <c r="J175" s="15" t="n"/>
      <c r="K175" s="15" t="n"/>
    </row>
    <row r="176">
      <c r="A176" s="15" t="n"/>
      <c r="B176" s="15" t="n"/>
      <c r="C176" s="15" t="n"/>
      <c r="D176" s="15" t="n"/>
      <c r="E176" s="15" t="n"/>
      <c r="F176" s="15" t="n"/>
      <c r="G176" s="15" t="n"/>
      <c r="H176" s="15" t="n"/>
      <c r="I176" s="15" t="n"/>
      <c r="J176" s="15" t="n"/>
      <c r="K176" s="15" t="n"/>
    </row>
    <row r="177">
      <c r="A177" s="15" t="n"/>
      <c r="B177" s="15" t="n"/>
      <c r="C177" s="15" t="n"/>
      <c r="D177" s="15" t="n"/>
      <c r="E177" s="15" t="n"/>
      <c r="F177" s="15" t="n"/>
      <c r="G177" s="15" t="n"/>
      <c r="H177" s="15" t="n"/>
      <c r="I177" s="15" t="n"/>
      <c r="J177" s="15" t="n"/>
      <c r="K177" s="15" t="n"/>
    </row>
    <row r="178">
      <c r="A178" s="15" t="n"/>
      <c r="B178" s="15" t="n"/>
      <c r="C178" s="15" t="n"/>
      <c r="D178" s="15" t="n"/>
      <c r="E178" s="15" t="n"/>
      <c r="F178" s="15" t="n"/>
      <c r="G178" s="15" t="n"/>
      <c r="H178" s="15" t="n"/>
      <c r="I178" s="15" t="n"/>
      <c r="J178" s="15" t="n"/>
      <c r="K178" s="15" t="n"/>
    </row>
    <row r="179">
      <c r="A179" s="15" t="n"/>
      <c r="B179" s="15" t="n"/>
      <c r="C179" s="15" t="n"/>
      <c r="D179" s="15" t="n"/>
      <c r="E179" s="15" t="n"/>
      <c r="F179" s="15" t="n"/>
      <c r="G179" s="15" t="n"/>
      <c r="H179" s="15" t="n"/>
      <c r="I179" s="15" t="n"/>
      <c r="J179" s="15" t="n"/>
      <c r="K179" s="15" t="n"/>
    </row>
    <row r="180">
      <c r="A180" s="15" t="n"/>
      <c r="B180" s="15" t="n"/>
      <c r="C180" s="15" t="n"/>
      <c r="D180" s="15" t="n"/>
      <c r="E180" s="15" t="n"/>
      <c r="F180" s="15" t="n"/>
      <c r="G180" s="15" t="n"/>
      <c r="H180" s="15" t="n"/>
      <c r="I180" s="15" t="n"/>
      <c r="J180" s="15" t="n"/>
      <c r="K180" s="15" t="n"/>
    </row>
    <row r="181">
      <c r="A181" s="15" t="n"/>
      <c r="B181" s="15" t="n"/>
      <c r="C181" s="15" t="n"/>
      <c r="D181" s="15" t="n"/>
      <c r="E181" s="15" t="n"/>
      <c r="F181" s="15" t="n"/>
      <c r="G181" s="15" t="n"/>
      <c r="H181" s="15" t="n"/>
      <c r="I181" s="15" t="n"/>
      <c r="J181" s="15" t="n"/>
      <c r="K181" s="15" t="n"/>
    </row>
    <row r="182">
      <c r="A182" s="15" t="n"/>
      <c r="B182" s="15" t="n"/>
      <c r="C182" s="15" t="n"/>
      <c r="D182" s="15" t="n"/>
      <c r="E182" s="15" t="n"/>
      <c r="F182" s="15" t="n"/>
      <c r="G182" s="15" t="n"/>
      <c r="H182" s="15" t="n"/>
      <c r="I182" s="15" t="n"/>
      <c r="J182" s="15" t="n"/>
      <c r="K182" s="15" t="n"/>
    </row>
    <row r="183">
      <c r="A183" s="15" t="n"/>
      <c r="B183" s="15" t="n"/>
      <c r="C183" s="15" t="n"/>
      <c r="D183" s="15" t="n"/>
      <c r="E183" s="15" t="n"/>
      <c r="F183" s="15" t="n"/>
      <c r="G183" s="15" t="n"/>
      <c r="H183" s="15" t="n"/>
      <c r="I183" s="15" t="n"/>
      <c r="J183" s="15" t="n"/>
      <c r="K183" s="15" t="n"/>
    </row>
    <row r="184">
      <c r="A184" s="15" t="n"/>
      <c r="B184" s="15" t="n"/>
      <c r="C184" s="15" t="n"/>
      <c r="D184" s="15" t="n"/>
      <c r="E184" s="15" t="n"/>
      <c r="F184" s="15" t="n"/>
      <c r="G184" s="15" t="n"/>
      <c r="H184" s="15" t="n"/>
      <c r="I184" s="15" t="n"/>
      <c r="J184" s="15" t="n"/>
      <c r="K184" s="15" t="n"/>
    </row>
    <row r="185">
      <c r="A185" s="15" t="n"/>
      <c r="B185" s="15" t="n"/>
      <c r="C185" s="15" t="n"/>
      <c r="D185" s="15" t="n"/>
      <c r="E185" s="15" t="n"/>
      <c r="F185" s="15" t="n"/>
      <c r="G185" s="15" t="n"/>
      <c r="H185" s="15" t="n"/>
      <c r="I185" s="15" t="n"/>
      <c r="J185" s="15" t="n"/>
      <c r="K185" s="15" t="n"/>
    </row>
    <row r="186">
      <c r="A186" s="15" t="n"/>
      <c r="B186" s="15" t="n"/>
      <c r="C186" s="15" t="n"/>
      <c r="D186" s="15" t="n"/>
      <c r="E186" s="15" t="n"/>
      <c r="F186" s="15" t="n"/>
      <c r="G186" s="15" t="n"/>
      <c r="H186" s="15" t="n"/>
      <c r="I186" s="15" t="n"/>
      <c r="J186" s="15" t="n"/>
      <c r="K186" s="15" t="n"/>
    </row>
    <row r="187">
      <c r="A187" s="15" t="n"/>
      <c r="B187" s="15" t="n"/>
      <c r="C187" s="15" t="n"/>
      <c r="D187" s="15" t="n"/>
      <c r="E187" s="15" t="n"/>
      <c r="F187" s="15" t="n"/>
      <c r="G187" s="15" t="n"/>
      <c r="H187" s="15" t="n"/>
      <c r="I187" s="15" t="n"/>
      <c r="J187" s="15" t="n"/>
      <c r="K187" s="15" t="n"/>
    </row>
    <row r="188">
      <c r="A188" s="15" t="n"/>
      <c r="B188" s="15" t="n"/>
      <c r="C188" s="15" t="n"/>
      <c r="D188" s="15" t="n"/>
      <c r="E188" s="15" t="n"/>
      <c r="F188" s="15" t="n"/>
      <c r="G188" s="15" t="n"/>
      <c r="H188" s="15" t="n"/>
      <c r="I188" s="15" t="n"/>
      <c r="J188" s="15" t="n"/>
      <c r="K188" s="15" t="n"/>
    </row>
    <row r="189">
      <c r="A189" s="15" t="n"/>
      <c r="B189" s="15" t="n"/>
      <c r="C189" s="15" t="n"/>
      <c r="D189" s="15" t="n"/>
      <c r="E189" s="15" t="n"/>
      <c r="F189" s="15" t="n"/>
      <c r="G189" s="15" t="n"/>
      <c r="H189" s="15" t="n"/>
      <c r="I189" s="15" t="n"/>
      <c r="J189" s="15" t="n"/>
      <c r="K189" s="15" t="n"/>
    </row>
    <row r="190">
      <c r="A190" s="15" t="n"/>
      <c r="B190" s="15" t="n"/>
      <c r="C190" s="15" t="n"/>
      <c r="D190" s="15" t="n"/>
      <c r="E190" s="15" t="n"/>
      <c r="F190" s="15" t="n"/>
      <c r="G190" s="15" t="n"/>
      <c r="H190" s="15" t="n"/>
      <c r="I190" s="15" t="n"/>
      <c r="J190" s="15" t="n"/>
      <c r="K190" s="15" t="n"/>
    </row>
    <row r="191">
      <c r="A191" s="15" t="n"/>
      <c r="B191" s="15" t="n"/>
      <c r="C191" s="15" t="n"/>
      <c r="D191" s="15" t="n"/>
      <c r="E191" s="15" t="n"/>
      <c r="F191" s="15" t="n"/>
      <c r="G191" s="15" t="n"/>
      <c r="H191" s="15" t="n"/>
      <c r="I191" s="15" t="n"/>
      <c r="J191" s="15" t="n"/>
      <c r="K191" s="15" t="n"/>
    </row>
    <row r="192">
      <c r="A192" s="15" t="n"/>
      <c r="B192" s="15" t="n"/>
      <c r="C192" s="15" t="n"/>
      <c r="D192" s="15" t="n"/>
      <c r="E192" s="15" t="n"/>
      <c r="F192" s="15" t="n"/>
      <c r="G192" s="15" t="n"/>
      <c r="H192" s="15" t="n"/>
      <c r="I192" s="15" t="n"/>
      <c r="J192" s="15" t="n"/>
      <c r="K192" s="15" t="n"/>
    </row>
    <row r="193">
      <c r="A193" s="15" t="n"/>
      <c r="B193" s="15" t="n"/>
      <c r="C193" s="15" t="n"/>
      <c r="D193" s="15" t="n"/>
      <c r="E193" s="15" t="n"/>
      <c r="F193" s="15" t="n"/>
      <c r="G193" s="15" t="n"/>
      <c r="H193" s="15" t="n"/>
      <c r="I193" s="15" t="n"/>
      <c r="J193" s="15" t="n"/>
      <c r="K193" s="15" t="n"/>
    </row>
    <row r="194">
      <c r="A194" s="15" t="n"/>
      <c r="B194" s="15" t="n"/>
      <c r="C194" s="15" t="n"/>
      <c r="D194" s="15" t="n"/>
      <c r="E194" s="15" t="n"/>
      <c r="F194" s="15" t="n"/>
      <c r="G194" s="15" t="n"/>
      <c r="H194" s="15" t="n"/>
      <c r="I194" s="15" t="n"/>
      <c r="J194" s="15" t="n"/>
      <c r="K194" s="15" t="n"/>
    </row>
    <row r="195">
      <c r="A195" s="15" t="n"/>
      <c r="B195" s="15" t="n"/>
      <c r="C195" s="15" t="n"/>
      <c r="D195" s="15" t="n"/>
      <c r="E195" s="15" t="n"/>
      <c r="F195" s="15" t="n"/>
      <c r="G195" s="15" t="n"/>
      <c r="H195" s="15" t="n"/>
      <c r="I195" s="15" t="n"/>
      <c r="J195" s="15" t="n"/>
      <c r="K195" s="15" t="n"/>
    </row>
    <row r="196">
      <c r="A196" s="15" t="n"/>
      <c r="B196" s="15" t="n"/>
      <c r="C196" s="15" t="n"/>
      <c r="D196" s="15" t="n"/>
      <c r="E196" s="15" t="n"/>
      <c r="F196" s="15" t="n"/>
      <c r="G196" s="15" t="n"/>
      <c r="H196" s="15" t="n"/>
      <c r="I196" s="15" t="n"/>
      <c r="J196" s="15" t="n"/>
      <c r="K196" s="15" t="n"/>
    </row>
    <row r="197">
      <c r="A197" s="15" t="n"/>
      <c r="B197" s="15" t="n"/>
      <c r="C197" s="15" t="n"/>
      <c r="D197" s="15" t="n"/>
      <c r="E197" s="15" t="n"/>
      <c r="F197" s="15" t="n"/>
      <c r="G197" s="15" t="n"/>
      <c r="H197" s="15" t="n"/>
      <c r="I197" s="15" t="n"/>
      <c r="J197" s="15" t="n"/>
      <c r="K197" s="15" t="n"/>
    </row>
    <row r="198">
      <c r="A198" s="15" t="n"/>
      <c r="B198" s="15" t="n"/>
      <c r="C198" s="15" t="n"/>
      <c r="D198" s="15" t="n"/>
      <c r="E198" s="15" t="n"/>
      <c r="F198" s="15" t="n"/>
      <c r="G198" s="15" t="n"/>
      <c r="H198" s="15" t="n"/>
      <c r="I198" s="15" t="n"/>
      <c r="J198" s="15" t="n"/>
      <c r="K198" s="15" t="n"/>
    </row>
    <row r="199">
      <c r="A199" s="15" t="n"/>
      <c r="B199" s="15" t="n"/>
      <c r="C199" s="15" t="n"/>
      <c r="D199" s="15" t="n"/>
      <c r="E199" s="15" t="n"/>
      <c r="F199" s="15" t="n"/>
      <c r="G199" s="15" t="n"/>
      <c r="H199" s="15" t="n"/>
      <c r="I199" s="15" t="n"/>
      <c r="J199" s="15" t="n"/>
      <c r="K199" s="15" t="n"/>
    </row>
    <row r="200">
      <c r="A200" s="15" t="n"/>
      <c r="B200" s="15" t="n"/>
      <c r="C200" s="15" t="n"/>
      <c r="D200" s="15" t="n"/>
      <c r="E200" s="15" t="n"/>
      <c r="F200" s="15" t="n"/>
      <c r="G200" s="15" t="n"/>
      <c r="H200" s="15" t="n"/>
      <c r="I200" s="15" t="n"/>
      <c r="J200" s="15" t="n"/>
      <c r="K200" s="15" t="n"/>
    </row>
    <row r="201">
      <c r="A201" s="15" t="n"/>
      <c r="B201" s="15" t="n"/>
      <c r="C201" s="15" t="n"/>
      <c r="D201" s="15" t="n"/>
      <c r="E201" s="15" t="n"/>
      <c r="F201" s="15" t="n"/>
      <c r="G201" s="15" t="n"/>
      <c r="H201" s="15" t="n"/>
      <c r="I201" s="15" t="n"/>
      <c r="J201" s="15" t="n"/>
      <c r="K201" s="15" t="n"/>
    </row>
    <row r="202">
      <c r="A202" s="15" t="n"/>
      <c r="B202" s="15" t="n"/>
      <c r="C202" s="15" t="n"/>
      <c r="D202" s="15" t="n"/>
      <c r="E202" s="15" t="n"/>
      <c r="F202" s="15" t="n"/>
      <c r="G202" s="15" t="n"/>
      <c r="H202" s="15" t="n"/>
      <c r="I202" s="15" t="n"/>
      <c r="J202" s="15" t="n"/>
      <c r="K202" s="15" t="n"/>
    </row>
    <row r="203">
      <c r="A203" s="15" t="n"/>
      <c r="B203" s="15" t="n"/>
      <c r="C203" s="15" t="n"/>
      <c r="D203" s="15" t="n"/>
      <c r="E203" s="15" t="n"/>
      <c r="F203" s="15" t="n"/>
      <c r="G203" s="15" t="n"/>
      <c r="H203" s="15" t="n"/>
      <c r="I203" s="15" t="n"/>
      <c r="J203" s="15" t="n"/>
      <c r="K203" s="15" t="n"/>
    </row>
    <row r="204">
      <c r="A204" s="15" t="n"/>
      <c r="B204" s="15" t="n"/>
      <c r="C204" s="15" t="n"/>
      <c r="D204" s="15" t="n"/>
      <c r="E204" s="15" t="n"/>
      <c r="F204" s="15" t="n"/>
      <c r="G204" s="15" t="n"/>
      <c r="H204" s="15" t="n"/>
      <c r="I204" s="15" t="n"/>
      <c r="J204" s="15" t="n"/>
      <c r="K204" s="15" t="n"/>
    </row>
    <row r="205">
      <c r="A205" s="15" t="n"/>
      <c r="B205" s="15" t="n"/>
      <c r="C205" s="15" t="n"/>
      <c r="D205" s="15" t="n"/>
      <c r="E205" s="15" t="n"/>
      <c r="F205" s="15" t="n"/>
      <c r="G205" s="15" t="n"/>
      <c r="H205" s="15" t="n"/>
      <c r="I205" s="15" t="n"/>
      <c r="J205" s="15" t="n"/>
      <c r="K205" s="15" t="n"/>
    </row>
    <row r="206">
      <c r="A206" s="15" t="n"/>
      <c r="B206" s="15" t="n"/>
      <c r="C206" s="15" t="n"/>
      <c r="D206" s="15" t="n"/>
      <c r="E206" s="15" t="n"/>
      <c r="F206" s="15" t="n"/>
      <c r="G206" s="15" t="n"/>
      <c r="H206" s="15" t="n"/>
      <c r="I206" s="15" t="n"/>
      <c r="J206" s="15" t="n"/>
      <c r="K206" s="15" t="n"/>
    </row>
    <row r="207">
      <c r="A207" s="15" t="n"/>
      <c r="B207" s="15" t="n"/>
      <c r="C207" s="15" t="n"/>
      <c r="D207" s="15" t="n"/>
      <c r="E207" s="15" t="n"/>
      <c r="F207" s="15" t="n"/>
      <c r="G207" s="15" t="n"/>
      <c r="H207" s="15" t="n"/>
      <c r="I207" s="15" t="n"/>
      <c r="J207" s="15" t="n"/>
      <c r="K207" s="15" t="n"/>
    </row>
    <row r="208">
      <c r="A208" s="15" t="n"/>
      <c r="B208" s="15" t="n"/>
      <c r="C208" s="15" t="n"/>
      <c r="D208" s="15" t="n"/>
      <c r="E208" s="15" t="n"/>
      <c r="F208" s="15" t="n"/>
      <c r="G208" s="15" t="n"/>
      <c r="H208" s="15" t="n"/>
      <c r="I208" s="15" t="n"/>
      <c r="J208" s="15" t="n"/>
      <c r="K208" s="15" t="n"/>
    </row>
    <row r="209">
      <c r="A209" s="15" t="n"/>
      <c r="B209" s="15" t="n"/>
      <c r="C209" s="15" t="n"/>
      <c r="D209" s="15" t="n"/>
      <c r="E209" s="15" t="n"/>
      <c r="F209" s="15" t="n"/>
      <c r="G209" s="15" t="n"/>
      <c r="H209" s="15" t="n"/>
      <c r="I209" s="15" t="n"/>
      <c r="J209" s="15" t="n"/>
      <c r="K209" s="15" t="n"/>
    </row>
    <row r="210">
      <c r="A210" s="15" t="n"/>
      <c r="B210" s="15" t="n"/>
      <c r="C210" s="15" t="n"/>
      <c r="D210" s="15" t="n"/>
      <c r="E210" s="15" t="n"/>
      <c r="F210" s="15" t="n"/>
      <c r="G210" s="15" t="n"/>
      <c r="H210" s="15" t="n"/>
      <c r="I210" s="15" t="n"/>
      <c r="J210" s="15" t="n"/>
      <c r="K210" s="15" t="n"/>
    </row>
    <row r="211">
      <c r="A211" s="15" t="n"/>
      <c r="B211" s="15" t="n"/>
      <c r="C211" s="15" t="n"/>
      <c r="D211" s="15" t="n"/>
      <c r="E211" s="15" t="n"/>
      <c r="F211" s="15" t="n"/>
      <c r="G211" s="15" t="n"/>
      <c r="H211" s="15" t="n"/>
      <c r="I211" s="15" t="n"/>
      <c r="J211" s="15" t="n"/>
      <c r="K211" s="15" t="n"/>
    </row>
    <row r="212">
      <c r="A212" s="15" t="n"/>
      <c r="B212" s="15" t="n"/>
      <c r="C212" s="15" t="n"/>
      <c r="D212" s="15" t="n"/>
      <c r="E212" s="15" t="n"/>
      <c r="F212" s="15" t="n"/>
      <c r="G212" s="15" t="n"/>
      <c r="H212" s="15" t="n"/>
      <c r="I212" s="15" t="n"/>
      <c r="J212" s="15" t="n"/>
      <c r="K212" s="15" t="n"/>
    </row>
    <row r="213">
      <c r="A213" s="15" t="n"/>
      <c r="B213" s="15" t="n"/>
      <c r="C213" s="15" t="n"/>
      <c r="D213" s="15" t="n"/>
      <c r="E213" s="15" t="n"/>
      <c r="F213" s="15" t="n"/>
      <c r="G213" s="15" t="n"/>
      <c r="H213" s="15" t="n"/>
      <c r="I213" s="15" t="n"/>
      <c r="J213" s="15" t="n"/>
      <c r="K213" s="15" t="n"/>
    </row>
    <row r="214">
      <c r="A214" s="15" t="n"/>
      <c r="B214" s="15" t="n"/>
      <c r="C214" s="15" t="n"/>
      <c r="D214" s="15" t="n"/>
      <c r="E214" s="15" t="n"/>
      <c r="F214" s="15" t="n"/>
      <c r="G214" s="15" t="n"/>
      <c r="H214" s="15" t="n"/>
      <c r="I214" s="15" t="n"/>
      <c r="J214" s="15" t="n"/>
      <c r="K214" s="15" t="n"/>
    </row>
    <row r="215">
      <c r="A215" s="15" t="n"/>
      <c r="B215" s="15" t="n"/>
      <c r="C215" s="15" t="n"/>
      <c r="D215" s="15" t="n"/>
      <c r="E215" s="15" t="n"/>
      <c r="F215" s="15" t="n"/>
      <c r="G215" s="15" t="n"/>
      <c r="H215" s="15" t="n"/>
      <c r="I215" s="15" t="n"/>
      <c r="J215" s="15" t="n"/>
      <c r="K215" s="15" t="n"/>
    </row>
    <row r="216">
      <c r="A216" s="15" t="n"/>
      <c r="B216" s="15" t="n"/>
      <c r="C216" s="15" t="n"/>
      <c r="D216" s="15" t="n"/>
      <c r="E216" s="15" t="n"/>
      <c r="F216" s="15" t="n"/>
      <c r="G216" s="15" t="n"/>
      <c r="H216" s="15" t="n"/>
      <c r="I216" s="15" t="n"/>
      <c r="J216" s="15" t="n"/>
      <c r="K216" s="15" t="n"/>
    </row>
    <row r="217">
      <c r="A217" s="15" t="n"/>
      <c r="B217" s="15" t="n"/>
      <c r="C217" s="15" t="n"/>
      <c r="D217" s="15" t="n"/>
      <c r="E217" s="15" t="n"/>
      <c r="F217" s="15" t="n"/>
      <c r="G217" s="15" t="n"/>
      <c r="H217" s="15" t="n"/>
      <c r="I217" s="15" t="n"/>
      <c r="J217" s="15" t="n"/>
      <c r="K217" s="15" t="n"/>
    </row>
    <row r="218">
      <c r="A218" s="15" t="n"/>
      <c r="B218" s="15" t="n"/>
      <c r="C218" s="15" t="n"/>
      <c r="D218" s="15" t="n"/>
      <c r="E218" s="15" t="n"/>
      <c r="F218" s="15" t="n"/>
      <c r="G218" s="15" t="n"/>
      <c r="H218" s="15" t="n"/>
      <c r="I218" s="15" t="n"/>
      <c r="J218" s="15" t="n"/>
      <c r="K218" s="15" t="n"/>
    </row>
    <row r="219">
      <c r="A219" s="15" t="n"/>
      <c r="B219" s="15" t="n"/>
      <c r="C219" s="15" t="n"/>
      <c r="D219" s="15" t="n"/>
      <c r="E219" s="15" t="n"/>
      <c r="F219" s="15" t="n"/>
      <c r="G219" s="15" t="n"/>
      <c r="H219" s="15" t="n"/>
      <c r="I219" s="15" t="n"/>
      <c r="J219" s="15" t="n"/>
      <c r="K219" s="15" t="n"/>
    </row>
    <row r="220">
      <c r="A220" s="15" t="n"/>
      <c r="B220" s="15" t="n"/>
      <c r="C220" s="15" t="n"/>
      <c r="D220" s="15" t="n"/>
      <c r="E220" s="15" t="n"/>
      <c r="F220" s="15" t="n"/>
      <c r="G220" s="15" t="n"/>
      <c r="H220" s="15" t="n"/>
      <c r="I220" s="15" t="n"/>
      <c r="J220" s="15" t="n"/>
      <c r="K220" s="15" t="n"/>
    </row>
    <row r="221">
      <c r="A221" s="15" t="n"/>
      <c r="B221" s="15" t="n"/>
      <c r="C221" s="15" t="n"/>
      <c r="D221" s="15" t="n"/>
      <c r="E221" s="15" t="n"/>
      <c r="F221" s="15" t="n"/>
      <c r="G221" s="15" t="n"/>
      <c r="H221" s="15" t="n"/>
      <c r="I221" s="15" t="n"/>
      <c r="J221" s="15" t="n"/>
      <c r="K221" s="15" t="n"/>
    </row>
    <row r="222">
      <c r="A222" s="15" t="n"/>
      <c r="B222" s="15" t="n"/>
      <c r="C222" s="15" t="n"/>
      <c r="D222" s="15" t="n"/>
      <c r="E222" s="15" t="n"/>
      <c r="F222" s="15" t="n"/>
      <c r="G222" s="15" t="n"/>
      <c r="H222" s="15" t="n"/>
      <c r="I222" s="15" t="n"/>
      <c r="J222" s="15" t="n"/>
      <c r="K222" s="15" t="n"/>
    </row>
    <row r="223">
      <c r="A223" s="15" t="n"/>
      <c r="B223" s="15" t="n"/>
      <c r="C223" s="15" t="n"/>
      <c r="D223" s="15" t="n"/>
      <c r="E223" s="15" t="n"/>
      <c r="F223" s="15" t="n"/>
      <c r="G223" s="15" t="n"/>
      <c r="H223" s="15" t="n"/>
      <c r="I223" s="15" t="n"/>
      <c r="J223" s="15" t="n"/>
      <c r="K223" s="15" t="n"/>
    </row>
    <row r="224">
      <c r="A224" s="15" t="n"/>
      <c r="B224" s="15" t="n"/>
      <c r="C224" s="15" t="n"/>
      <c r="D224" s="15" t="n"/>
      <c r="E224" s="15" t="n"/>
      <c r="F224" s="15" t="n"/>
      <c r="G224" s="15" t="n"/>
      <c r="H224" s="15" t="n"/>
      <c r="I224" s="15" t="n"/>
      <c r="J224" s="15" t="n"/>
      <c r="K224" s="15" t="n"/>
    </row>
    <row r="225">
      <c r="A225" s="15" t="n"/>
      <c r="B225" s="15" t="n"/>
      <c r="C225" s="15" t="n"/>
      <c r="D225" s="15" t="n"/>
      <c r="E225" s="15" t="n"/>
      <c r="F225" s="15" t="n"/>
      <c r="G225" s="15" t="n"/>
      <c r="H225" s="15" t="n"/>
      <c r="I225" s="15" t="n"/>
      <c r="J225" s="15" t="n"/>
      <c r="K225" s="15" t="n"/>
    </row>
    <row r="226">
      <c r="A226" s="15" t="n"/>
      <c r="B226" s="15" t="n"/>
      <c r="C226" s="15" t="n"/>
      <c r="D226" s="15" t="n"/>
      <c r="E226" s="15" t="n"/>
      <c r="F226" s="15" t="n"/>
      <c r="G226" s="15" t="n"/>
      <c r="H226" s="15" t="n"/>
      <c r="I226" s="15" t="n"/>
      <c r="J226" s="15" t="n"/>
      <c r="K226" s="15" t="n"/>
    </row>
    <row r="227">
      <c r="A227" s="15" t="n"/>
      <c r="B227" s="15" t="n"/>
      <c r="C227" s="15" t="n"/>
      <c r="D227" s="15" t="n"/>
      <c r="E227" s="15" t="n"/>
      <c r="F227" s="15" t="n"/>
      <c r="G227" s="15" t="n"/>
      <c r="H227" s="15" t="n"/>
      <c r="I227" s="15" t="n"/>
      <c r="J227" s="15" t="n"/>
      <c r="K227" s="15" t="n"/>
    </row>
    <row r="228">
      <c r="A228" s="15" t="n"/>
      <c r="B228" s="15" t="n"/>
      <c r="C228" s="15" t="n"/>
      <c r="D228" s="15" t="n"/>
      <c r="E228" s="15" t="n"/>
      <c r="F228" s="15" t="n"/>
      <c r="G228" s="15" t="n"/>
      <c r="H228" s="15" t="n"/>
      <c r="I228" s="15" t="n"/>
      <c r="J228" s="15" t="n"/>
      <c r="K228" s="15" t="n"/>
    </row>
    <row r="229">
      <c r="A229" s="15" t="n"/>
      <c r="B229" s="15" t="n"/>
      <c r="C229" s="15" t="n"/>
      <c r="D229" s="15" t="n"/>
      <c r="E229" s="15" t="n"/>
      <c r="F229" s="15" t="n"/>
      <c r="G229" s="15" t="n"/>
      <c r="H229" s="15" t="n"/>
      <c r="I229" s="15" t="n"/>
      <c r="J229" s="15" t="n"/>
      <c r="K229" s="15" t="n"/>
    </row>
    <row r="230">
      <c r="A230" s="15" t="n"/>
      <c r="B230" s="15" t="n"/>
      <c r="C230" s="15" t="n"/>
      <c r="D230" s="15" t="n"/>
      <c r="E230" s="15" t="n"/>
      <c r="F230" s="15" t="n"/>
      <c r="G230" s="15" t="n"/>
      <c r="H230" s="15" t="n"/>
      <c r="I230" s="15" t="n"/>
      <c r="J230" s="15" t="n"/>
      <c r="K230" s="15" t="n"/>
    </row>
    <row r="231">
      <c r="A231" s="15" t="n"/>
      <c r="B231" s="15" t="n"/>
      <c r="C231" s="15" t="n"/>
      <c r="D231" s="15" t="n"/>
      <c r="E231" s="15" t="n"/>
      <c r="F231" s="15" t="n"/>
      <c r="G231" s="15" t="n"/>
      <c r="H231" s="15" t="n"/>
      <c r="I231" s="15" t="n"/>
      <c r="J231" s="15" t="n"/>
      <c r="K231" s="15" t="n"/>
    </row>
    <row r="232">
      <c r="A232" s="15" t="n"/>
      <c r="B232" s="15" t="n"/>
      <c r="C232" s="15" t="n"/>
      <c r="D232" s="15" t="n"/>
      <c r="E232" s="15" t="n"/>
      <c r="F232" s="15" t="n"/>
      <c r="G232" s="15" t="n"/>
      <c r="H232" s="15" t="n"/>
      <c r="I232" s="15" t="n"/>
      <c r="J232" s="15" t="n"/>
      <c r="K232" s="15" t="n"/>
    </row>
    <row r="233">
      <c r="A233" s="15" t="n"/>
      <c r="B233" s="15" t="n"/>
      <c r="C233" s="15" t="n"/>
      <c r="D233" s="15" t="n"/>
      <c r="E233" s="15" t="n"/>
      <c r="F233" s="15" t="n"/>
      <c r="G233" s="15" t="n"/>
      <c r="H233" s="15" t="n"/>
      <c r="I233" s="15" t="n"/>
      <c r="J233" s="15" t="n"/>
      <c r="K233" s="15" t="n"/>
    </row>
    <row r="234">
      <c r="A234" s="15" t="n"/>
      <c r="B234" s="15" t="n"/>
      <c r="C234" s="15" t="n"/>
      <c r="D234" s="15" t="n"/>
      <c r="E234" s="15" t="n"/>
      <c r="F234" s="15" t="n"/>
      <c r="G234" s="15" t="n"/>
      <c r="H234" s="15" t="n"/>
      <c r="I234" s="15" t="n"/>
      <c r="J234" s="15" t="n"/>
      <c r="K234" s="15" t="n"/>
    </row>
    <row r="235">
      <c r="A235" s="15" t="n"/>
      <c r="B235" s="15" t="n"/>
      <c r="C235" s="15" t="n"/>
      <c r="D235" s="15" t="n"/>
      <c r="E235" s="15" t="n"/>
      <c r="F235" s="15" t="n"/>
      <c r="G235" s="15" t="n"/>
      <c r="H235" s="15" t="n"/>
      <c r="I235" s="15" t="n"/>
      <c r="J235" s="15" t="n"/>
      <c r="K235" s="15" t="n"/>
    </row>
    <row r="236">
      <c r="A236" s="15" t="n"/>
      <c r="B236" s="15" t="n"/>
      <c r="C236" s="15" t="n"/>
      <c r="D236" s="15" t="n"/>
      <c r="E236" s="15" t="n"/>
      <c r="F236" s="15" t="n"/>
      <c r="G236" s="15" t="n"/>
      <c r="H236" s="15" t="n"/>
      <c r="I236" s="15" t="n"/>
      <c r="J236" s="15" t="n"/>
      <c r="K236" s="15" t="n"/>
    </row>
    <row r="237">
      <c r="A237" s="15" t="n"/>
      <c r="B237" s="15" t="n"/>
      <c r="C237" s="15" t="n"/>
      <c r="D237" s="15" t="n"/>
      <c r="E237" s="15" t="n"/>
      <c r="F237" s="15" t="n"/>
      <c r="G237" s="15" t="n"/>
      <c r="H237" s="15" t="n"/>
      <c r="I237" s="15" t="n"/>
      <c r="J237" s="15" t="n"/>
      <c r="K237" s="15" t="n"/>
    </row>
    <row r="238">
      <c r="A238" s="15" t="n"/>
      <c r="B238" s="15" t="n"/>
      <c r="C238" s="15" t="n"/>
      <c r="D238" s="15" t="n"/>
      <c r="E238" s="15" t="n"/>
      <c r="F238" s="15" t="n"/>
      <c r="G238" s="15" t="n"/>
      <c r="H238" s="15" t="n"/>
      <c r="I238" s="15" t="n"/>
      <c r="J238" s="15" t="n"/>
      <c r="K238" s="15" t="n"/>
    </row>
    <row r="239">
      <c r="A239" s="15" t="n"/>
      <c r="B239" s="15" t="n"/>
      <c r="C239" s="15" t="n"/>
      <c r="D239" s="15" t="n"/>
      <c r="E239" s="15" t="n"/>
      <c r="F239" s="15" t="n"/>
      <c r="G239" s="15" t="n"/>
      <c r="H239" s="15" t="n"/>
      <c r="I239" s="15" t="n"/>
      <c r="J239" s="15" t="n"/>
      <c r="K239" s="15" t="n"/>
    </row>
    <row r="240">
      <c r="A240" s="15" t="n"/>
      <c r="B240" s="15" t="n"/>
      <c r="C240" s="15" t="n"/>
      <c r="D240" s="15" t="n"/>
      <c r="E240" s="15" t="n"/>
      <c r="F240" s="15" t="n"/>
      <c r="G240" s="15" t="n"/>
      <c r="H240" s="15" t="n"/>
      <c r="I240" s="15" t="n"/>
      <c r="J240" s="15" t="n"/>
      <c r="K240" s="15" t="n"/>
    </row>
    <row r="241">
      <c r="A241" s="15" t="n"/>
      <c r="B241" s="15" t="n"/>
      <c r="C241" s="15" t="n"/>
      <c r="D241" s="15" t="n"/>
      <c r="E241" s="15" t="n"/>
      <c r="F241" s="15" t="n"/>
      <c r="G241" s="15" t="n"/>
      <c r="H241" s="15" t="n"/>
      <c r="I241" s="15" t="n"/>
      <c r="J241" s="15" t="n"/>
      <c r="K241" s="15" t="n"/>
    </row>
    <row r="242">
      <c r="A242" s="15" t="n"/>
      <c r="B242" s="15" t="n"/>
      <c r="C242" s="15" t="n"/>
      <c r="D242" s="15" t="n"/>
      <c r="E242" s="15" t="n"/>
      <c r="F242" s="15" t="n"/>
      <c r="G242" s="15" t="n"/>
      <c r="H242" s="15" t="n"/>
      <c r="I242" s="15" t="n"/>
      <c r="J242" s="15" t="n"/>
      <c r="K242" s="15" t="n"/>
    </row>
    <row r="243">
      <c r="A243" s="15" t="n"/>
      <c r="B243" s="15" t="n"/>
      <c r="C243" s="15" t="n"/>
      <c r="D243" s="15" t="n"/>
      <c r="E243" s="15" t="n"/>
      <c r="F243" s="15" t="n"/>
      <c r="G243" s="15" t="n"/>
      <c r="H243" s="15" t="n"/>
      <c r="I243" s="15" t="n"/>
      <c r="J243" s="15" t="n"/>
      <c r="K243" s="15" t="n"/>
    </row>
    <row r="244">
      <c r="A244" s="15" t="n"/>
      <c r="B244" s="15" t="n"/>
      <c r="C244" s="15" t="n"/>
      <c r="D244" s="15" t="n"/>
      <c r="E244" s="15" t="n"/>
      <c r="F244" s="15" t="n"/>
      <c r="G244" s="15" t="n"/>
      <c r="H244" s="15" t="n"/>
      <c r="I244" s="15" t="n"/>
      <c r="J244" s="15" t="n"/>
      <c r="K244" s="15" t="n"/>
    </row>
    <row r="245">
      <c r="A245" s="15" t="n"/>
      <c r="B245" s="15" t="n"/>
      <c r="C245" s="15" t="n"/>
      <c r="D245" s="15" t="n"/>
      <c r="E245" s="15" t="n"/>
      <c r="F245" s="15" t="n"/>
      <c r="G245" s="15" t="n"/>
      <c r="H245" s="15" t="n"/>
      <c r="I245" s="15" t="n"/>
      <c r="J245" s="15" t="n"/>
      <c r="K245" s="15" t="n"/>
    </row>
    <row r="246">
      <c r="A246" s="15" t="n"/>
      <c r="B246" s="15" t="n"/>
      <c r="C246" s="15" t="n"/>
      <c r="D246" s="15" t="n"/>
      <c r="E246" s="15" t="n"/>
      <c r="F246" s="15" t="n"/>
      <c r="G246" s="15" t="n"/>
      <c r="H246" s="15" t="n"/>
      <c r="I246" s="15" t="n"/>
      <c r="J246" s="15" t="n"/>
      <c r="K246" s="15" t="n"/>
    </row>
    <row r="247">
      <c r="A247" s="15" t="n"/>
      <c r="B247" s="15" t="n"/>
      <c r="C247" s="15" t="n"/>
      <c r="D247" s="15" t="n"/>
      <c r="E247" s="15" t="n"/>
      <c r="F247" s="15" t="n"/>
      <c r="G247" s="15" t="n"/>
      <c r="H247" s="15" t="n"/>
      <c r="I247" s="15" t="n"/>
      <c r="J247" s="15" t="n"/>
      <c r="K247" s="15" t="n"/>
    </row>
    <row r="248">
      <c r="A248" s="15" t="n"/>
      <c r="B248" s="15" t="n"/>
      <c r="C248" s="15" t="n"/>
      <c r="D248" s="15" t="n"/>
      <c r="E248" s="15" t="n"/>
      <c r="F248" s="15" t="n"/>
      <c r="G248" s="15" t="n"/>
      <c r="H248" s="15" t="n"/>
      <c r="I248" s="15" t="n"/>
      <c r="J248" s="15" t="n"/>
      <c r="K248" s="15" t="n"/>
    </row>
    <row r="249">
      <c r="A249" s="15" t="n"/>
      <c r="B249" s="15" t="n"/>
      <c r="C249" s="15" t="n"/>
      <c r="D249" s="15" t="n"/>
      <c r="E249" s="15" t="n"/>
      <c r="F249" s="15" t="n"/>
      <c r="G249" s="15" t="n"/>
      <c r="H249" s="15" t="n"/>
      <c r="I249" s="15" t="n"/>
      <c r="J249" s="15" t="n"/>
      <c r="K249" s="15" t="n"/>
    </row>
    <row r="250">
      <c r="A250" s="15" t="n"/>
      <c r="B250" s="15" t="n"/>
      <c r="C250" s="15" t="n"/>
      <c r="D250" s="15" t="n"/>
      <c r="E250" s="15" t="n"/>
      <c r="F250" s="15" t="n"/>
      <c r="G250" s="15" t="n"/>
      <c r="H250" s="15" t="n"/>
      <c r="I250" s="15" t="n"/>
      <c r="J250" s="15" t="n"/>
      <c r="K250" s="15" t="n"/>
    </row>
    <row r="251">
      <c r="A251" s="15" t="n"/>
      <c r="B251" s="15" t="n"/>
      <c r="C251" s="15" t="n"/>
      <c r="D251" s="15" t="n"/>
      <c r="E251" s="15" t="n"/>
      <c r="F251" s="15" t="n"/>
      <c r="G251" s="15" t="n"/>
      <c r="H251" s="15" t="n"/>
      <c r="I251" s="15" t="n"/>
      <c r="J251" s="15" t="n"/>
      <c r="K251" s="15" t="n"/>
    </row>
    <row r="252">
      <c r="A252" s="15" t="n"/>
      <c r="B252" s="15" t="n"/>
      <c r="C252" s="15" t="n"/>
      <c r="D252" s="15" t="n"/>
      <c r="E252" s="15" t="n"/>
      <c r="F252" s="15" t="n"/>
      <c r="G252" s="15" t="n"/>
      <c r="H252" s="15" t="n"/>
      <c r="I252" s="15" t="n"/>
      <c r="J252" s="15" t="n"/>
      <c r="K252" s="15" t="n"/>
    </row>
    <row r="253">
      <c r="A253" s="15" t="n"/>
      <c r="B253" s="15" t="n"/>
      <c r="C253" s="15" t="n"/>
      <c r="D253" s="15" t="n"/>
      <c r="E253" s="15" t="n"/>
      <c r="F253" s="15" t="n"/>
      <c r="G253" s="15" t="n"/>
      <c r="H253" s="15" t="n"/>
      <c r="I253" s="15" t="n"/>
      <c r="J253" s="15" t="n"/>
      <c r="K253" s="15" t="n"/>
    </row>
    <row r="254">
      <c r="A254" s="15" t="n"/>
      <c r="B254" s="15" t="n"/>
      <c r="C254" s="15" t="n"/>
      <c r="D254" s="15" t="n"/>
      <c r="E254" s="15" t="n"/>
      <c r="F254" s="15" t="n"/>
      <c r="G254" s="15" t="n"/>
      <c r="H254" s="15" t="n"/>
      <c r="I254" s="15" t="n"/>
      <c r="J254" s="15" t="n"/>
      <c r="K254" s="15" t="n"/>
    </row>
    <row r="255">
      <c r="A255" s="15" t="n"/>
      <c r="B255" s="15" t="n"/>
      <c r="C255" s="15" t="n"/>
      <c r="D255" s="15" t="n"/>
      <c r="E255" s="15" t="n"/>
      <c r="F255" s="15" t="n"/>
      <c r="G255" s="15" t="n"/>
      <c r="H255" s="15" t="n"/>
      <c r="I255" s="15" t="n"/>
      <c r="J255" s="15" t="n"/>
      <c r="K255" s="15" t="n"/>
    </row>
    <row r="256">
      <c r="A256" s="15" t="n"/>
      <c r="B256" s="15" t="n"/>
      <c r="C256" s="15" t="n"/>
      <c r="D256" s="15" t="n"/>
      <c r="E256" s="15" t="n"/>
      <c r="F256" s="15" t="n"/>
      <c r="G256" s="15" t="n"/>
      <c r="H256" s="15" t="n"/>
      <c r="I256" s="15" t="n"/>
      <c r="J256" s="15" t="n"/>
      <c r="K256" s="15" t="n"/>
    </row>
    <row r="257">
      <c r="A257" s="15" t="n"/>
      <c r="B257" s="15" t="n"/>
      <c r="C257" s="15" t="n"/>
      <c r="D257" s="15" t="n"/>
      <c r="E257" s="15" t="n"/>
      <c r="F257" s="15" t="n"/>
      <c r="G257" s="15" t="n"/>
      <c r="H257" s="15" t="n"/>
      <c r="I257" s="15" t="n"/>
      <c r="J257" s="15" t="n"/>
      <c r="K257" s="15" t="n"/>
    </row>
    <row r="258">
      <c r="A258" s="15" t="n"/>
      <c r="B258" s="15" t="n"/>
      <c r="C258" s="15" t="n"/>
      <c r="D258" s="15" t="n"/>
      <c r="E258" s="15" t="n"/>
      <c r="F258" s="15" t="n"/>
      <c r="G258" s="15" t="n"/>
      <c r="H258" s="15" t="n"/>
      <c r="I258" s="15" t="n"/>
      <c r="J258" s="15" t="n"/>
      <c r="K258" s="15" t="n"/>
    </row>
    <row r="259">
      <c r="A259" s="15" t="n"/>
      <c r="B259" s="15" t="n"/>
      <c r="C259" s="15" t="n"/>
      <c r="D259" s="15" t="n"/>
      <c r="E259" s="15" t="n"/>
      <c r="F259" s="15" t="n"/>
      <c r="G259" s="15" t="n"/>
      <c r="H259" s="15" t="n"/>
      <c r="I259" s="15" t="n"/>
      <c r="J259" s="15" t="n"/>
      <c r="K259" s="15" t="n"/>
    </row>
    <row r="260">
      <c r="A260" s="15" t="n"/>
      <c r="B260" s="15" t="n"/>
      <c r="C260" s="15" t="n"/>
      <c r="D260" s="15" t="n"/>
      <c r="E260" s="15" t="n"/>
      <c r="F260" s="15" t="n"/>
      <c r="G260" s="15" t="n"/>
      <c r="H260" s="15" t="n"/>
      <c r="I260" s="15" t="n"/>
      <c r="J260" s="15" t="n"/>
      <c r="K260" s="15" t="n"/>
    </row>
    <row r="261">
      <c r="A261" s="15" t="n"/>
      <c r="B261" s="15" t="n"/>
      <c r="C261" s="15" t="n"/>
      <c r="D261" s="15" t="n"/>
      <c r="E261" s="15" t="n"/>
      <c r="F261" s="15" t="n"/>
      <c r="G261" s="15" t="n"/>
      <c r="H261" s="15" t="n"/>
      <c r="I261" s="15" t="n"/>
      <c r="J261" s="15" t="n"/>
      <c r="K261" s="15" t="n"/>
    </row>
    <row r="262">
      <c r="A262" s="15" t="n"/>
      <c r="B262" s="15" t="n"/>
      <c r="C262" s="15" t="n"/>
      <c r="D262" s="15" t="n"/>
      <c r="E262" s="15" t="n"/>
      <c r="F262" s="15" t="n"/>
      <c r="G262" s="15" t="n"/>
      <c r="H262" s="15" t="n"/>
      <c r="I262" s="15" t="n"/>
      <c r="J262" s="15" t="n"/>
      <c r="K262" s="15" t="n"/>
    </row>
    <row r="263">
      <c r="A263" s="15" t="n"/>
      <c r="B263" s="15" t="n"/>
      <c r="C263" s="15" t="n"/>
      <c r="D263" s="15" t="n"/>
      <c r="E263" s="15" t="n"/>
      <c r="F263" s="15" t="n"/>
      <c r="G263" s="15" t="n"/>
      <c r="H263" s="15" t="n"/>
      <c r="I263" s="15" t="n"/>
      <c r="J263" s="15" t="n"/>
      <c r="K263" s="15" t="n"/>
    </row>
    <row r="264">
      <c r="A264" s="15" t="n"/>
      <c r="B264" s="15" t="n"/>
      <c r="C264" s="15" t="n"/>
      <c r="D264" s="15" t="n"/>
      <c r="E264" s="15" t="n"/>
      <c r="F264" s="15" t="n"/>
      <c r="G264" s="15" t="n"/>
      <c r="H264" s="15" t="n"/>
      <c r="I264" s="15" t="n"/>
      <c r="J264" s="15" t="n"/>
      <c r="K264" s="15" t="n"/>
    </row>
    <row r="265">
      <c r="A265" s="15" t="n"/>
      <c r="B265" s="15" t="n"/>
      <c r="C265" s="15" t="n"/>
      <c r="D265" s="15" t="n"/>
      <c r="E265" s="15" t="n"/>
      <c r="F265" s="15" t="n"/>
      <c r="G265" s="15" t="n"/>
      <c r="H265" s="15" t="n"/>
      <c r="I265" s="15" t="n"/>
      <c r="J265" s="15" t="n"/>
      <c r="K265" s="15" t="n"/>
    </row>
    <row r="266">
      <c r="A266" s="15" t="n"/>
      <c r="B266" s="15" t="n"/>
      <c r="C266" s="15" t="n"/>
      <c r="D266" s="15" t="n"/>
      <c r="E266" s="15" t="n"/>
      <c r="F266" s="15" t="n"/>
      <c r="G266" s="15" t="n"/>
      <c r="H266" s="15" t="n"/>
      <c r="I266" s="15" t="n"/>
      <c r="J266" s="15" t="n"/>
      <c r="K266" s="15" t="n"/>
    </row>
    <row r="267">
      <c r="A267" s="15" t="n"/>
      <c r="B267" s="15" t="n"/>
      <c r="C267" s="15" t="n"/>
      <c r="D267" s="15" t="n"/>
      <c r="E267" s="15" t="n"/>
      <c r="F267" s="15" t="n"/>
      <c r="G267" s="15" t="n"/>
      <c r="H267" s="15" t="n"/>
      <c r="I267" s="15" t="n"/>
      <c r="J267" s="15" t="n"/>
      <c r="K267" s="15" t="n"/>
    </row>
    <row r="268">
      <c r="A268" s="15" t="n"/>
      <c r="B268" s="15" t="n"/>
      <c r="C268" s="15" t="n"/>
      <c r="D268" s="15" t="n"/>
      <c r="E268" s="15" t="n"/>
      <c r="F268" s="15" t="n"/>
      <c r="G268" s="15" t="n"/>
      <c r="H268" s="15" t="n"/>
      <c r="I268" s="15" t="n"/>
      <c r="J268" s="15" t="n"/>
      <c r="K268" s="15" t="n"/>
    </row>
    <row r="269">
      <c r="A269" s="15" t="n"/>
      <c r="B269" s="15" t="n"/>
      <c r="C269" s="15" t="n"/>
      <c r="D269" s="15" t="n"/>
      <c r="E269" s="15" t="n"/>
      <c r="F269" s="15" t="n"/>
      <c r="G269" s="15" t="n"/>
      <c r="H269" s="15" t="n"/>
      <c r="I269" s="15" t="n"/>
      <c r="J269" s="15" t="n"/>
      <c r="K269" s="15" t="n"/>
    </row>
    <row r="270">
      <c r="A270" s="15" t="n"/>
      <c r="B270" s="15" t="n"/>
      <c r="C270" s="15" t="n"/>
      <c r="D270" s="15" t="n"/>
      <c r="E270" s="15" t="n"/>
      <c r="F270" s="15" t="n"/>
      <c r="G270" s="15" t="n"/>
      <c r="H270" s="15" t="n"/>
      <c r="I270" s="15" t="n"/>
      <c r="J270" s="15" t="n"/>
      <c r="K270" s="15" t="n"/>
    </row>
    <row r="271">
      <c r="A271" s="15" t="n"/>
      <c r="B271" s="15" t="n"/>
      <c r="C271" s="15" t="n"/>
      <c r="D271" s="15" t="n"/>
      <c r="E271" s="15" t="n"/>
      <c r="F271" s="15" t="n"/>
      <c r="G271" s="15" t="n"/>
      <c r="H271" s="15" t="n"/>
      <c r="I271" s="15" t="n"/>
      <c r="J271" s="15" t="n"/>
      <c r="K271" s="15" t="n"/>
    </row>
    <row r="272">
      <c r="A272" s="15" t="n"/>
      <c r="B272" s="15" t="n"/>
      <c r="C272" s="15" t="n"/>
      <c r="D272" s="15" t="n"/>
      <c r="E272" s="15" t="n"/>
      <c r="F272" s="15" t="n"/>
      <c r="G272" s="15" t="n"/>
      <c r="H272" s="15" t="n"/>
      <c r="I272" s="15" t="n"/>
      <c r="J272" s="15" t="n"/>
      <c r="K272" s="15" t="n"/>
    </row>
    <row r="273">
      <c r="A273" s="15" t="n"/>
      <c r="B273" s="15" t="n"/>
      <c r="C273" s="15" t="n"/>
      <c r="D273" s="15" t="n"/>
      <c r="E273" s="15" t="n"/>
      <c r="F273" s="15" t="n"/>
      <c r="G273" s="15" t="n"/>
      <c r="H273" s="15" t="n"/>
      <c r="I273" s="15" t="n"/>
      <c r="J273" s="15" t="n"/>
      <c r="K273" s="15" t="n"/>
    </row>
    <row r="274">
      <c r="A274" s="15" t="n"/>
      <c r="B274" s="15" t="n"/>
      <c r="C274" s="15" t="n"/>
      <c r="D274" s="15" t="n"/>
      <c r="E274" s="15" t="n"/>
      <c r="F274" s="15" t="n"/>
      <c r="G274" s="15" t="n"/>
      <c r="H274" s="15" t="n"/>
      <c r="I274" s="15" t="n"/>
      <c r="J274" s="15" t="n"/>
      <c r="K274" s="15" t="n"/>
    </row>
    <row r="275">
      <c r="A275" s="15" t="n"/>
      <c r="B275" s="15" t="n"/>
      <c r="C275" s="15" t="n"/>
      <c r="D275" s="15" t="n"/>
      <c r="E275" s="15" t="n"/>
      <c r="F275" s="15" t="n"/>
      <c r="G275" s="15" t="n"/>
      <c r="H275" s="15" t="n"/>
      <c r="I275" s="15" t="n"/>
      <c r="J275" s="15" t="n"/>
      <c r="K275" s="15" t="n"/>
    </row>
    <row r="276">
      <c r="A276" s="15" t="n"/>
      <c r="B276" s="15" t="n"/>
      <c r="C276" s="15" t="n"/>
      <c r="D276" s="15" t="n"/>
      <c r="E276" s="15" t="n"/>
      <c r="F276" s="15" t="n"/>
      <c r="G276" s="15" t="n"/>
      <c r="H276" s="15" t="n"/>
      <c r="I276" s="15" t="n"/>
      <c r="J276" s="15" t="n"/>
      <c r="K276" s="15" t="n"/>
    </row>
    <row r="277">
      <c r="A277" s="15" t="n"/>
      <c r="B277" s="15" t="n"/>
      <c r="C277" s="15" t="n"/>
      <c r="D277" s="15" t="n"/>
      <c r="E277" s="15" t="n"/>
      <c r="F277" s="15" t="n"/>
      <c r="G277" s="15" t="n"/>
      <c r="H277" s="15" t="n"/>
      <c r="I277" s="15" t="n"/>
      <c r="J277" s="15" t="n"/>
      <c r="K277" s="15" t="n"/>
    </row>
    <row r="278">
      <c r="A278" s="15" t="n"/>
      <c r="B278" s="15" t="n"/>
      <c r="C278" s="15" t="n"/>
      <c r="D278" s="15" t="n"/>
      <c r="E278" s="15" t="n"/>
      <c r="F278" s="15" t="n"/>
      <c r="G278" s="15" t="n"/>
      <c r="H278" s="15" t="n"/>
      <c r="I278" s="15" t="n"/>
      <c r="J278" s="15" t="n"/>
      <c r="K278" s="15" t="n"/>
    </row>
    <row r="279">
      <c r="A279" s="15" t="n"/>
      <c r="B279" s="15" t="n"/>
      <c r="C279" s="15" t="n"/>
      <c r="D279" s="15" t="n"/>
      <c r="E279" s="15" t="n"/>
      <c r="F279" s="15" t="n"/>
      <c r="G279" s="15" t="n"/>
      <c r="H279" s="15" t="n"/>
      <c r="I279" s="15" t="n"/>
      <c r="J279" s="15" t="n"/>
      <c r="K279" s="15" t="n"/>
    </row>
    <row r="280">
      <c r="A280" s="15" t="n"/>
      <c r="B280" s="15" t="n"/>
      <c r="C280" s="15" t="n"/>
      <c r="D280" s="15" t="n"/>
      <c r="E280" s="15" t="n"/>
      <c r="F280" s="15" t="n"/>
      <c r="G280" s="15" t="n"/>
      <c r="H280" s="15" t="n"/>
      <c r="I280" s="15" t="n"/>
      <c r="J280" s="15" t="n"/>
      <c r="K280" s="15" t="n"/>
    </row>
    <row r="281">
      <c r="A281" s="15" t="n"/>
      <c r="B281" s="15" t="n"/>
      <c r="C281" s="15" t="n"/>
      <c r="D281" s="15" t="n"/>
      <c r="E281" s="15" t="n"/>
      <c r="F281" s="15" t="n"/>
      <c r="G281" s="15" t="n"/>
      <c r="H281" s="15" t="n"/>
      <c r="I281" s="15" t="n"/>
      <c r="J281" s="15" t="n"/>
      <c r="K281" s="15" t="n"/>
    </row>
    <row r="282">
      <c r="A282" s="15" t="n"/>
      <c r="B282" s="15" t="n"/>
      <c r="C282" s="15" t="n"/>
      <c r="D282" s="15" t="n"/>
      <c r="E282" s="15" t="n"/>
      <c r="F282" s="15" t="n"/>
      <c r="G282" s="15" t="n"/>
      <c r="H282" s="15" t="n"/>
      <c r="I282" s="15" t="n"/>
      <c r="J282" s="15" t="n"/>
      <c r="K282" s="15" t="n"/>
    </row>
    <row r="283">
      <c r="A283" s="15" t="n"/>
      <c r="B283" s="15" t="n"/>
      <c r="C283" s="15" t="n"/>
      <c r="D283" s="15" t="n"/>
      <c r="E283" s="15" t="n"/>
      <c r="F283" s="15" t="n"/>
      <c r="G283" s="15" t="n"/>
      <c r="H283" s="15" t="n"/>
      <c r="I283" s="15" t="n"/>
      <c r="J283" s="15" t="n"/>
      <c r="K283" s="15" t="n"/>
    </row>
    <row r="284">
      <c r="A284" s="15" t="n"/>
      <c r="B284" s="15" t="n"/>
      <c r="C284" s="15" t="n"/>
      <c r="D284" s="15" t="n"/>
      <c r="E284" s="15" t="n"/>
      <c r="F284" s="15" t="n"/>
      <c r="G284" s="15" t="n"/>
      <c r="H284" s="15" t="n"/>
      <c r="I284" s="15" t="n"/>
      <c r="J284" s="15" t="n"/>
      <c r="K284" s="15" t="n"/>
    </row>
    <row r="285">
      <c r="A285" s="15" t="n"/>
      <c r="B285" s="15" t="n"/>
      <c r="C285" s="15" t="n"/>
      <c r="D285" s="15" t="n"/>
      <c r="E285" s="15" t="n"/>
      <c r="F285" s="15" t="n"/>
      <c r="G285" s="15" t="n"/>
      <c r="H285" s="15" t="n"/>
      <c r="I285" s="15" t="n"/>
      <c r="J285" s="15" t="n"/>
      <c r="K285" s="15" t="n"/>
    </row>
    <row r="286">
      <c r="A286" s="15" t="n"/>
      <c r="B286" s="15" t="n"/>
      <c r="C286" s="15" t="n"/>
      <c r="D286" s="15" t="n"/>
      <c r="E286" s="15" t="n"/>
      <c r="F286" s="15" t="n"/>
      <c r="G286" s="15" t="n"/>
      <c r="H286" s="15" t="n"/>
      <c r="I286" s="15" t="n"/>
      <c r="J286" s="15" t="n"/>
      <c r="K286" s="15" t="n"/>
    </row>
    <row r="287">
      <c r="A287" s="15" t="n"/>
      <c r="B287" s="15" t="n"/>
      <c r="C287" s="15" t="n"/>
      <c r="D287" s="15" t="n"/>
      <c r="E287" s="15" t="n"/>
      <c r="F287" s="15" t="n"/>
      <c r="G287" s="15" t="n"/>
      <c r="H287" s="15" t="n"/>
      <c r="I287" s="15" t="n"/>
      <c r="J287" s="15" t="n"/>
      <c r="K287" s="15" t="n"/>
    </row>
    <row r="288">
      <c r="A288" s="15" t="n"/>
      <c r="B288" s="15" t="n"/>
      <c r="C288" s="15" t="n"/>
      <c r="D288" s="15" t="n"/>
      <c r="E288" s="15" t="n"/>
      <c r="F288" s="15" t="n"/>
      <c r="G288" s="15" t="n"/>
      <c r="H288" s="15" t="n"/>
      <c r="I288" s="15" t="n"/>
      <c r="J288" s="15" t="n"/>
      <c r="K288" s="15" t="n"/>
    </row>
    <row r="289">
      <c r="A289" s="15" t="n"/>
      <c r="B289" s="15" t="n"/>
      <c r="C289" s="15" t="n"/>
      <c r="D289" s="15" t="n"/>
      <c r="E289" s="15" t="n"/>
      <c r="F289" s="15" t="n"/>
      <c r="G289" s="15" t="n"/>
      <c r="H289" s="15" t="n"/>
      <c r="I289" s="15" t="n"/>
      <c r="J289" s="15" t="n"/>
      <c r="K289" s="15" t="n"/>
    </row>
    <row r="290">
      <c r="A290" s="15" t="n"/>
      <c r="B290" s="15" t="n"/>
      <c r="C290" s="15" t="n"/>
      <c r="D290" s="15" t="n"/>
      <c r="E290" s="15" t="n"/>
      <c r="F290" s="15" t="n"/>
      <c r="G290" s="15" t="n"/>
      <c r="H290" s="15" t="n"/>
      <c r="I290" s="15" t="n"/>
      <c r="J290" s="15" t="n"/>
      <c r="K290" s="15" t="n"/>
    </row>
    <row r="291">
      <c r="A291" s="15" t="n"/>
      <c r="B291" s="15" t="n"/>
      <c r="C291" s="15" t="n"/>
      <c r="D291" s="15" t="n"/>
      <c r="E291" s="15" t="n"/>
      <c r="F291" s="15" t="n"/>
      <c r="G291" s="15" t="n"/>
      <c r="H291" s="15" t="n"/>
      <c r="I291" s="15" t="n"/>
      <c r="J291" s="15" t="n"/>
      <c r="K291" s="15" t="n"/>
    </row>
    <row r="292">
      <c r="A292" s="15" t="n"/>
      <c r="B292" s="15" t="n"/>
      <c r="C292" s="15" t="n"/>
      <c r="D292" s="15" t="n"/>
      <c r="E292" s="15" t="n"/>
      <c r="F292" s="15" t="n"/>
      <c r="G292" s="15" t="n"/>
      <c r="H292" s="15" t="n"/>
      <c r="I292" s="15" t="n"/>
      <c r="J292" s="15" t="n"/>
      <c r="K292" s="15" t="n"/>
    </row>
    <row r="293">
      <c r="A293" s="15" t="n"/>
      <c r="B293" s="15" t="n"/>
      <c r="C293" s="15" t="n"/>
      <c r="D293" s="15" t="n"/>
      <c r="E293" s="15" t="n"/>
      <c r="F293" s="15" t="n"/>
      <c r="G293" s="15" t="n"/>
      <c r="H293" s="15" t="n"/>
      <c r="I293" s="15" t="n"/>
      <c r="J293" s="15" t="n"/>
      <c r="K293" s="15" t="n"/>
    </row>
    <row r="294">
      <c r="A294" s="15" t="n"/>
      <c r="B294" s="15" t="n"/>
      <c r="C294" s="15" t="n"/>
      <c r="D294" s="15" t="n"/>
      <c r="E294" s="15" t="n"/>
      <c r="F294" s="15" t="n"/>
      <c r="G294" s="15" t="n"/>
      <c r="H294" s="15" t="n"/>
      <c r="I294" s="15" t="n"/>
      <c r="J294" s="15" t="n"/>
      <c r="K294" s="15" t="n"/>
    </row>
    <row r="295">
      <c r="A295" s="15" t="n"/>
      <c r="B295" s="15" t="n"/>
      <c r="C295" s="15" t="n"/>
      <c r="D295" s="15" t="n"/>
      <c r="E295" s="15" t="n"/>
      <c r="F295" s="15" t="n"/>
      <c r="G295" s="15" t="n"/>
      <c r="H295" s="15" t="n"/>
      <c r="I295" s="15" t="n"/>
      <c r="J295" s="15" t="n"/>
      <c r="K295" s="15" t="n"/>
    </row>
    <row r="296">
      <c r="A296" s="15" t="n"/>
      <c r="B296" s="15" t="n"/>
      <c r="C296" s="15" t="n"/>
      <c r="D296" s="15" t="n"/>
      <c r="E296" s="15" t="n"/>
      <c r="F296" s="15" t="n"/>
      <c r="G296" s="15" t="n"/>
      <c r="H296" s="15" t="n"/>
      <c r="I296" s="15" t="n"/>
      <c r="J296" s="15" t="n"/>
      <c r="K296" s="15" t="n"/>
    </row>
    <row r="297">
      <c r="A297" s="15" t="n"/>
      <c r="B297" s="15" t="n"/>
      <c r="C297" s="15" t="n"/>
      <c r="D297" s="15" t="n"/>
      <c r="E297" s="15" t="n"/>
      <c r="F297" s="15" t="n"/>
      <c r="G297" s="15" t="n"/>
      <c r="H297" s="15" t="n"/>
      <c r="I297" s="15" t="n"/>
      <c r="J297" s="15" t="n"/>
      <c r="K297" s="15" t="n"/>
    </row>
    <row r="298">
      <c r="A298" s="15" t="n"/>
      <c r="B298" s="15" t="n"/>
      <c r="C298" s="15" t="n"/>
      <c r="D298" s="15" t="n"/>
      <c r="E298" s="15" t="n"/>
      <c r="F298" s="15" t="n"/>
      <c r="G298" s="15" t="n"/>
      <c r="H298" s="15" t="n"/>
      <c r="I298" s="15" t="n"/>
      <c r="J298" s="15" t="n"/>
      <c r="K298" s="15" t="n"/>
    </row>
    <row r="299">
      <c r="A299" s="15" t="n"/>
      <c r="B299" s="15" t="n"/>
      <c r="C299" s="15" t="n"/>
      <c r="D299" s="15" t="n"/>
      <c r="E299" s="15" t="n"/>
      <c r="F299" s="15" t="n"/>
      <c r="G299" s="15" t="n"/>
      <c r="H299" s="15" t="n"/>
      <c r="I299" s="15" t="n"/>
      <c r="J299" s="15" t="n"/>
      <c r="K299" s="15" t="n"/>
    </row>
    <row r="300">
      <c r="A300" s="15" t="n"/>
      <c r="B300" s="15" t="n"/>
      <c r="C300" s="15" t="n"/>
      <c r="D300" s="15" t="n"/>
      <c r="E300" s="15" t="n"/>
      <c r="F300" s="15" t="n"/>
      <c r="G300" s="15" t="n"/>
      <c r="H300" s="15" t="n"/>
      <c r="I300" s="15" t="n"/>
      <c r="J300" s="15" t="n"/>
      <c r="K300" s="15" t="n"/>
    </row>
    <row r="301">
      <c r="A301" s="15" t="n"/>
      <c r="B301" s="15" t="n"/>
      <c r="C301" s="15" t="n"/>
      <c r="D301" s="15" t="n"/>
      <c r="E301" s="15" t="n"/>
      <c r="F301" s="15" t="n"/>
      <c r="G301" s="15" t="n"/>
      <c r="H301" s="15" t="n"/>
      <c r="I301" s="15" t="n"/>
      <c r="J301" s="15" t="n"/>
      <c r="K301" s="15" t="n"/>
    </row>
    <row r="302">
      <c r="A302" s="15" t="n"/>
      <c r="B302" s="15" t="n"/>
      <c r="C302" s="15" t="n"/>
      <c r="D302" s="15" t="n"/>
      <c r="E302" s="15" t="n"/>
      <c r="F302" s="15" t="n"/>
      <c r="G302" s="15" t="n"/>
      <c r="H302" s="15" t="n"/>
      <c r="I302" s="15" t="n"/>
      <c r="J302" s="15" t="n"/>
      <c r="K302" s="15" t="n"/>
    </row>
  </sheetData>
  <autoFilter ref="A2:K302"/>
  <mergeCells count="1">
    <mergeCell ref="A1:K1"/>
  </mergeCells>
  <conditionalFormatting sqref="E3:E302">
    <cfRule type="cellIs" priority="1" operator="equal" dxfId="0">
      <formula>"Yes"</formula>
    </cfRule>
  </conditionalFormatting>
  <conditionalFormatting sqref="F3:F302">
    <cfRule type="cellIs" priority="2" operator="equal" dxfId="0">
      <formula>"Yes"</formula>
    </cfRule>
  </conditionalFormatting>
  <conditionalFormatting sqref="H3:H302">
    <cfRule type="cellIs" priority="3" operator="equal" dxfId="6">
      <formula>"No"</formula>
    </cfRule>
    <cfRule type="cellIs" priority="4" operator="equal" dxfId="8">
      <formula>"Partly"</formula>
    </cfRule>
  </conditionalFormatting>
  <conditionalFormatting sqref="A3:K302">
    <cfRule type="expression" priority="5" dxfId="5">
      <formula>MOD(ROW(),2)=0</formula>
    </cfRule>
  </conditionalFormatting>
  <dataValidations count="5">
    <dataValidation sqref="D3:D302" showDropDown="0" showInputMessage="0" showErrorMessage="0" allowBlank="1" errorTitle="Not in list" error="Pick a value from the list." type="list">
      <formula1>"ChatGPT,Perplexity,Claude,Gemini,Google AI Mode,Google AI Overview,Microsoft Copilot,Other"</formula1>
    </dataValidation>
    <dataValidation sqref="E3:E302" showDropDown="0" showInputMessage="0" showErrorMessage="0" allowBlank="1" errorTitle="Not in list" error="Pick a value from the list." type="list">
      <formula1>"Yes,No"</formula1>
    </dataValidation>
    <dataValidation sqref="F3:F302" showDropDown="0" showInputMessage="0" showErrorMessage="0" allowBlank="1" errorTitle="Not in list" error="Pick a value from the list." type="list">
      <formula1>"Yes,No"</formula1>
    </dataValidation>
    <dataValidation sqref="H3:H302" showDropDown="0" showInputMessage="0" showErrorMessage="0" allowBlank="1" errorTitle="Not in list" error="Pick a value from the list." type="list">
      <formula1>"Yes,Partly,No,Not mentioned"</formula1>
    </dataValidation>
    <dataValidation sqref="I3:I302" showDropDown="0" showInputMessage="0" showErrorMessage="0" allowBlank="1" errorTitle="Not in list" error="Pick a value from the list." type="list">
      <formula1>"Primary recommendation,Listed among several,Passing mention,Not present"</formula1>
    </dataValidation>
  </dataValidations>
  <printOptions gridLines="0"/>
  <pageMargins left="0.75" right="0.75" top="1" bottom="1" header="0.5" footer="0.5"/>
  <pageSetup orientation="landscape" fitToHeight="0" fitToWidth="1"/>
</worksheet>
</file>

<file path=xl/worksheets/sheet5.xml><?xml version="1.0" encoding="utf-8"?>
<worksheet xmlns="http://schemas.openxmlformats.org/spreadsheetml/2006/main">
  <sheetPr>
    <tabColor rgb="00FFDE59"/>
    <outlinePr summaryBelow="1" summaryRight="1"/>
    <pageSetUpPr fitToPage="1"/>
  </sheetPr>
  <dimension ref="B2:J39"/>
  <sheetViews>
    <sheetView showGridLines="0" workbookViewId="0">
      <selection activeCell="A1" sqref="A1"/>
    </sheetView>
  </sheetViews>
  <sheetFormatPr baseColWidth="8" defaultRowHeight="15"/>
  <cols>
    <col width="3" customWidth="1" min="1" max="1"/>
    <col width="30" customWidth="1" min="2" max="2"/>
    <col width="10" customWidth="1" min="3" max="3"/>
    <col width="10" customWidth="1" min="4" max="4"/>
    <col width="13" customWidth="1" min="5" max="5"/>
    <col width="13" customWidth="1" min="6" max="6"/>
    <col width="10" customWidth="1" min="7" max="7"/>
    <col width="12" customWidth="1" min="8" max="8"/>
    <col width="28" customWidth="1" min="9" max="9"/>
    <col width="16" customWidth="1" min="10" max="10"/>
  </cols>
  <sheetData>
    <row r="2">
      <c r="B2" s="19" t="inlineStr">
        <is>
          <t>Progress</t>
        </is>
      </c>
    </row>
    <row r="3">
      <c r="B3" s="20" t="inlineStr">
        <is>
          <t>Updates automatically as you change the Status column. Formulas use COUNTIF / COUNTIFS, so they work in Google Sheets and Excel.</t>
        </is>
      </c>
    </row>
    <row r="5">
      <c r="B5" s="21" t="inlineStr">
        <is>
          <t>Checks</t>
        </is>
      </c>
      <c r="C5" s="22">
        <f>COUNTA('Checklist'!$C$2:$C$60)</f>
        <v/>
      </c>
    </row>
    <row r="6">
      <c r="B6" s="21" t="inlineStr">
        <is>
          <t>Done</t>
        </is>
      </c>
      <c r="C6" s="22">
        <f>COUNTIF('Checklist'!$H$2:$H$60,"Done")</f>
        <v/>
      </c>
    </row>
    <row r="7">
      <c r="B7" s="21" t="inlineStr">
        <is>
          <t>In progress</t>
        </is>
      </c>
      <c r="C7" s="22">
        <f>COUNTIF('Checklist'!$H$2:$H$60,"In progress")</f>
        <v/>
      </c>
    </row>
    <row r="8">
      <c r="B8" s="21" t="inlineStr">
        <is>
          <t>Not started</t>
        </is>
      </c>
      <c r="C8" s="22">
        <f>COUNTIF('Checklist'!$H$2:$H$60,"Not started")</f>
        <v/>
      </c>
    </row>
    <row r="9">
      <c r="B9" s="21" t="inlineStr">
        <is>
          <t>N/A</t>
        </is>
      </c>
      <c r="C9" s="22">
        <f>COUNTIF('Checklist'!$H$2:$H$60,"N/A")</f>
        <v/>
      </c>
    </row>
    <row r="10">
      <c r="B10" s="21" t="inlineStr">
        <is>
          <t>% complete (Done / applicable)</t>
        </is>
      </c>
      <c r="C10" s="23">
        <f>IFERROR(C6/(C5-C9),0)</f>
        <v/>
      </c>
      <c r="D10" s="24">
        <f>REPT("█",ROUND(C10*20,0))&amp;REPT("░",20-ROUND(C10*20,0))</f>
        <v/>
      </c>
    </row>
    <row r="11">
      <c r="B11" s="21" t="inlineStr">
        <is>
          <t>Open High-priority checks</t>
        </is>
      </c>
      <c r="C11" s="25">
        <f>COUNTIFS('Checklist'!$F$2:$F$60,"High",'Checklist'!$H$2:$H$60,"&lt;&gt;Done",'Checklist'!$H$2:$H$60,"&lt;&gt;N/A")</f>
        <v/>
      </c>
    </row>
    <row r="13" ht="28" customHeight="1">
      <c r="B13" s="13" t="inlineStr">
        <is>
          <t>Area</t>
        </is>
      </c>
      <c r="C13" s="13" t="inlineStr">
        <is>
          <t>Checks</t>
        </is>
      </c>
      <c r="D13" s="13" t="inlineStr">
        <is>
          <t>Done</t>
        </is>
      </c>
      <c r="E13" s="13" t="inlineStr">
        <is>
          <t>In progress</t>
        </is>
      </c>
      <c r="F13" s="13" t="inlineStr">
        <is>
          <t>Not started</t>
        </is>
      </c>
      <c r="G13" s="13" t="inlineStr">
        <is>
          <t>N/A</t>
        </is>
      </c>
      <c r="H13" s="13" t="inlineStr">
        <is>
          <t>% done</t>
        </is>
      </c>
      <c r="I13" s="13" t="inlineStr">
        <is>
          <t>Open High</t>
        </is>
      </c>
    </row>
    <row r="14">
      <c r="B14" s="21" t="inlineStr">
        <is>
          <t>1. Crawl access</t>
        </is>
      </c>
      <c r="C14" s="22">
        <f>COUNTIF('Checklist'!$B$2:$B$60,$B14)</f>
        <v/>
      </c>
      <c r="D14" s="22">
        <f>COUNTIFS('Checklist'!$B$2:$B$60,$B14,'Checklist'!$H$2:$H$60,"Done")</f>
        <v/>
      </c>
      <c r="E14" s="22">
        <f>COUNTIFS('Checklist'!$B$2:$B$60,$B14,'Checklist'!$H$2:$H$60,"In progress")</f>
        <v/>
      </c>
      <c r="F14" s="22">
        <f>COUNTIFS('Checklist'!$B$2:$B$60,$B14,'Checklist'!$H$2:$H$60,"Not started")</f>
        <v/>
      </c>
      <c r="G14" s="22">
        <f>COUNTIFS('Checklist'!$B$2:$B$60,$B14,'Checklist'!$H$2:$H$60,"N/A")</f>
        <v/>
      </c>
      <c r="H14" s="26">
        <f>IFERROR(D14/(C14-G14),0)</f>
        <v/>
      </c>
      <c r="I14" s="22">
        <f>COUNTIFS('Checklist'!$B$2:$B$60,$B14,'Checklist'!$F$2:$F$60,"High",'Checklist'!$H$2:$H$60,"&lt;&gt;Done",'Checklist'!$H$2:$H$60,"&lt;&gt;N/A")</f>
        <v/>
      </c>
      <c r="J14" s="27">
        <f>REPT("█",ROUND(H14*10,0))&amp;REPT("░",10-ROUND(H14*10,0))</f>
        <v/>
      </c>
    </row>
    <row r="15">
      <c r="B15" s="21" t="inlineStr">
        <is>
          <t>2. Indexing &amp; eligibility</t>
        </is>
      </c>
      <c r="C15" s="22">
        <f>COUNTIF('Checklist'!$B$2:$B$60,$B15)</f>
        <v/>
      </c>
      <c r="D15" s="22">
        <f>COUNTIFS('Checklist'!$B$2:$B$60,$B15,'Checklist'!$H$2:$H$60,"Done")</f>
        <v/>
      </c>
      <c r="E15" s="22">
        <f>COUNTIFS('Checklist'!$B$2:$B$60,$B15,'Checklist'!$H$2:$H$60,"In progress")</f>
        <v/>
      </c>
      <c r="F15" s="22">
        <f>COUNTIFS('Checklist'!$B$2:$B$60,$B15,'Checklist'!$H$2:$H$60,"Not started")</f>
        <v/>
      </c>
      <c r="G15" s="22">
        <f>COUNTIFS('Checklist'!$B$2:$B$60,$B15,'Checklist'!$H$2:$H$60,"N/A")</f>
        <v/>
      </c>
      <c r="H15" s="26">
        <f>IFERROR(D15/(C15-G15),0)</f>
        <v/>
      </c>
      <c r="I15" s="22">
        <f>COUNTIFS('Checklist'!$B$2:$B$60,$B15,'Checklist'!$F$2:$F$60,"High",'Checklist'!$H$2:$H$60,"&lt;&gt;Done",'Checklist'!$H$2:$H$60,"&lt;&gt;N/A")</f>
        <v/>
      </c>
      <c r="J15" s="27">
        <f>REPT("█",ROUND(H15*10,0))&amp;REPT("░",10-ROUND(H15*10,0))</f>
        <v/>
      </c>
    </row>
    <row r="16">
      <c r="B16" s="21" t="inlineStr">
        <is>
          <t>3. Entity clarity</t>
        </is>
      </c>
      <c r="C16" s="22">
        <f>COUNTIF('Checklist'!$B$2:$B$60,$B16)</f>
        <v/>
      </c>
      <c r="D16" s="22">
        <f>COUNTIFS('Checklist'!$B$2:$B$60,$B16,'Checklist'!$H$2:$H$60,"Done")</f>
        <v/>
      </c>
      <c r="E16" s="22">
        <f>COUNTIFS('Checklist'!$B$2:$B$60,$B16,'Checklist'!$H$2:$H$60,"In progress")</f>
        <v/>
      </c>
      <c r="F16" s="22">
        <f>COUNTIFS('Checklist'!$B$2:$B$60,$B16,'Checklist'!$H$2:$H$60,"Not started")</f>
        <v/>
      </c>
      <c r="G16" s="22">
        <f>COUNTIFS('Checklist'!$B$2:$B$60,$B16,'Checklist'!$H$2:$H$60,"N/A")</f>
        <v/>
      </c>
      <c r="H16" s="26">
        <f>IFERROR(D16/(C16-G16),0)</f>
        <v/>
      </c>
      <c r="I16" s="22">
        <f>COUNTIFS('Checklist'!$B$2:$B$60,$B16,'Checklist'!$F$2:$F$60,"High",'Checklist'!$H$2:$H$60,"&lt;&gt;Done",'Checklist'!$H$2:$H$60,"&lt;&gt;N/A")</f>
        <v/>
      </c>
      <c r="J16" s="27">
        <f>REPT("█",ROUND(H16*10,0))&amp;REPT("░",10-ROUND(H16*10,0))</f>
        <v/>
      </c>
    </row>
    <row r="17">
      <c r="B17" s="21" t="inlineStr">
        <is>
          <t>4. Chunk extractability</t>
        </is>
      </c>
      <c r="C17" s="22">
        <f>COUNTIF('Checklist'!$B$2:$B$60,$B17)</f>
        <v/>
      </c>
      <c r="D17" s="22">
        <f>COUNTIFS('Checklist'!$B$2:$B$60,$B17,'Checklist'!$H$2:$H$60,"Done")</f>
        <v/>
      </c>
      <c r="E17" s="22">
        <f>COUNTIFS('Checklist'!$B$2:$B$60,$B17,'Checklist'!$H$2:$H$60,"In progress")</f>
        <v/>
      </c>
      <c r="F17" s="22">
        <f>COUNTIFS('Checklist'!$B$2:$B$60,$B17,'Checklist'!$H$2:$H$60,"Not started")</f>
        <v/>
      </c>
      <c r="G17" s="22">
        <f>COUNTIFS('Checklist'!$B$2:$B$60,$B17,'Checklist'!$H$2:$H$60,"N/A")</f>
        <v/>
      </c>
      <c r="H17" s="26">
        <f>IFERROR(D17/(C17-G17),0)</f>
        <v/>
      </c>
      <c r="I17" s="22">
        <f>COUNTIFS('Checklist'!$B$2:$B$60,$B17,'Checklist'!$F$2:$F$60,"High",'Checklist'!$H$2:$H$60,"&lt;&gt;Done",'Checklist'!$H$2:$H$60,"&lt;&gt;N/A")</f>
        <v/>
      </c>
      <c r="J17" s="27">
        <f>REPT("█",ROUND(H17*10,0))&amp;REPT("░",10-ROUND(H17*10,0))</f>
        <v/>
      </c>
    </row>
    <row r="18">
      <c r="B18" s="21" t="inlineStr">
        <is>
          <t>5. Claim quality</t>
        </is>
      </c>
      <c r="C18" s="22">
        <f>COUNTIF('Checklist'!$B$2:$B$60,$B18)</f>
        <v/>
      </c>
      <c r="D18" s="22">
        <f>COUNTIFS('Checklist'!$B$2:$B$60,$B18,'Checklist'!$H$2:$H$60,"Done")</f>
        <v/>
      </c>
      <c r="E18" s="22">
        <f>COUNTIFS('Checklist'!$B$2:$B$60,$B18,'Checklist'!$H$2:$H$60,"In progress")</f>
        <v/>
      </c>
      <c r="F18" s="22">
        <f>COUNTIFS('Checklist'!$B$2:$B$60,$B18,'Checklist'!$H$2:$H$60,"Not started")</f>
        <v/>
      </c>
      <c r="G18" s="22">
        <f>COUNTIFS('Checklist'!$B$2:$B$60,$B18,'Checklist'!$H$2:$H$60,"N/A")</f>
        <v/>
      </c>
      <c r="H18" s="26">
        <f>IFERROR(D18/(C18-G18),0)</f>
        <v/>
      </c>
      <c r="I18" s="22">
        <f>COUNTIFS('Checklist'!$B$2:$B$60,$B18,'Checklist'!$F$2:$F$60,"High",'Checklist'!$H$2:$H$60,"&lt;&gt;Done",'Checklist'!$H$2:$H$60,"&lt;&gt;N/A")</f>
        <v/>
      </c>
      <c r="J18" s="27">
        <f>REPT("█",ROUND(H18*10,0))&amp;REPT("░",10-ROUND(H18*10,0))</f>
        <v/>
      </c>
    </row>
    <row r="19">
      <c r="B19" s="21" t="inlineStr">
        <is>
          <t>6. Structured data</t>
        </is>
      </c>
      <c r="C19" s="22">
        <f>COUNTIF('Checklist'!$B$2:$B$60,$B19)</f>
        <v/>
      </c>
      <c r="D19" s="22">
        <f>COUNTIFS('Checklist'!$B$2:$B$60,$B19,'Checklist'!$H$2:$H$60,"Done")</f>
        <v/>
      </c>
      <c r="E19" s="22">
        <f>COUNTIFS('Checklist'!$B$2:$B$60,$B19,'Checklist'!$H$2:$H$60,"In progress")</f>
        <v/>
      </c>
      <c r="F19" s="22">
        <f>COUNTIFS('Checklist'!$B$2:$B$60,$B19,'Checklist'!$H$2:$H$60,"Not started")</f>
        <v/>
      </c>
      <c r="G19" s="22">
        <f>COUNTIFS('Checklist'!$B$2:$B$60,$B19,'Checklist'!$H$2:$H$60,"N/A")</f>
        <v/>
      </c>
      <c r="H19" s="26">
        <f>IFERROR(D19/(C19-G19),0)</f>
        <v/>
      </c>
      <c r="I19" s="22">
        <f>COUNTIFS('Checklist'!$B$2:$B$60,$B19,'Checklist'!$F$2:$F$60,"High",'Checklist'!$H$2:$H$60,"&lt;&gt;Done",'Checklist'!$H$2:$H$60,"&lt;&gt;N/A")</f>
        <v/>
      </c>
      <c r="J19" s="27">
        <f>REPT("█",ROUND(H19*10,0))&amp;REPT("░",10-ROUND(H19*10,0))</f>
        <v/>
      </c>
    </row>
    <row r="20">
      <c r="B20" s="21" t="inlineStr">
        <is>
          <t>7. Trust &amp; corroboration</t>
        </is>
      </c>
      <c r="C20" s="22">
        <f>COUNTIF('Checklist'!$B$2:$B$60,$B20)</f>
        <v/>
      </c>
      <c r="D20" s="22">
        <f>COUNTIFS('Checklist'!$B$2:$B$60,$B20,'Checklist'!$H$2:$H$60,"Done")</f>
        <v/>
      </c>
      <c r="E20" s="22">
        <f>COUNTIFS('Checklist'!$B$2:$B$60,$B20,'Checklist'!$H$2:$H$60,"In progress")</f>
        <v/>
      </c>
      <c r="F20" s="22">
        <f>COUNTIFS('Checklist'!$B$2:$B$60,$B20,'Checklist'!$H$2:$H$60,"Not started")</f>
        <v/>
      </c>
      <c r="G20" s="22">
        <f>COUNTIFS('Checklist'!$B$2:$B$60,$B20,'Checklist'!$H$2:$H$60,"N/A")</f>
        <v/>
      </c>
      <c r="H20" s="26">
        <f>IFERROR(D20/(C20-G20),0)</f>
        <v/>
      </c>
      <c r="I20" s="22">
        <f>COUNTIFS('Checklist'!$B$2:$B$60,$B20,'Checklist'!$F$2:$F$60,"High",'Checklist'!$H$2:$H$60,"&lt;&gt;Done",'Checklist'!$H$2:$H$60,"&lt;&gt;N/A")</f>
        <v/>
      </c>
      <c r="J20" s="27">
        <f>REPT("█",ROUND(H20*10,0))&amp;REPT("░",10-ROUND(H20*10,0))</f>
        <v/>
      </c>
    </row>
    <row r="21">
      <c r="B21" s="21" t="inlineStr">
        <is>
          <t>8. Measurement</t>
        </is>
      </c>
      <c r="C21" s="22">
        <f>COUNTIF('Checklist'!$B$2:$B$60,$B21)</f>
        <v/>
      </c>
      <c r="D21" s="22">
        <f>COUNTIFS('Checklist'!$B$2:$B$60,$B21,'Checklist'!$H$2:$H$60,"Done")</f>
        <v/>
      </c>
      <c r="E21" s="22">
        <f>COUNTIFS('Checklist'!$B$2:$B$60,$B21,'Checklist'!$H$2:$H$60,"In progress")</f>
        <v/>
      </c>
      <c r="F21" s="22">
        <f>COUNTIFS('Checklist'!$B$2:$B$60,$B21,'Checklist'!$H$2:$H$60,"Not started")</f>
        <v/>
      </c>
      <c r="G21" s="22">
        <f>COUNTIFS('Checklist'!$B$2:$B$60,$B21,'Checklist'!$H$2:$H$60,"N/A")</f>
        <v/>
      </c>
      <c r="H21" s="26">
        <f>IFERROR(D21/(C21-G21),0)</f>
        <v/>
      </c>
      <c r="I21" s="22">
        <f>COUNTIFS('Checklist'!$B$2:$B$60,$B21,'Checklist'!$F$2:$F$60,"High",'Checklist'!$H$2:$H$60,"&lt;&gt;Done",'Checklist'!$H$2:$H$60,"&lt;&gt;N/A")</f>
        <v/>
      </c>
      <c r="J21" s="27">
        <f>REPT("█",ROUND(H21*10,0))&amp;REPT("░",10-ROUND(H21*10,0))</f>
        <v/>
      </c>
    </row>
    <row r="23">
      <c r="B23" s="28" t="inlineStr">
        <is>
          <t>Priority</t>
        </is>
      </c>
      <c r="C23" s="28" t="inlineStr">
        <is>
          <t>Checks</t>
        </is>
      </c>
      <c r="D23" s="28" t="inlineStr">
        <is>
          <t>Done</t>
        </is>
      </c>
      <c r="E23" s="28" t="inlineStr">
        <is>
          <t>Open</t>
        </is>
      </c>
      <c r="F23" s="28" t="inlineStr">
        <is>
          <t>% done</t>
        </is>
      </c>
    </row>
    <row r="24">
      <c r="B24" s="21" t="inlineStr">
        <is>
          <t>High</t>
        </is>
      </c>
      <c r="C24" s="22">
        <f>COUNTIF('Checklist'!$F$2:$F$60,$B24)</f>
        <v/>
      </c>
      <c r="D24" s="22">
        <f>COUNTIFS('Checklist'!$F$2:$F$60,$B24,'Checklist'!$H$2:$H$60,"Done")</f>
        <v/>
      </c>
      <c r="E24" s="22">
        <f>COUNTIFS('Checklist'!$F$2:$F$60,$B24,'Checklist'!$H$2:$H$60,"&lt;&gt;Done",'Checklist'!$H$2:$H$60,"&lt;&gt;N/A")</f>
        <v/>
      </c>
      <c r="F24" s="26">
        <f>IFERROR(D24/(C24-COUNTIFS('Checklist'!$F$2:$F$60,$B24,'Checklist'!$H$2:$H$60,"N/A")),0)</f>
        <v/>
      </c>
    </row>
    <row r="25">
      <c r="B25" s="21" t="inlineStr">
        <is>
          <t>Medium</t>
        </is>
      </c>
      <c r="C25" s="22">
        <f>COUNTIF('Checklist'!$F$2:$F$60,$B25)</f>
        <v/>
      </c>
      <c r="D25" s="22">
        <f>COUNTIFS('Checklist'!$F$2:$F$60,$B25,'Checklist'!$H$2:$H$60,"Done")</f>
        <v/>
      </c>
      <c r="E25" s="22">
        <f>COUNTIFS('Checklist'!$F$2:$F$60,$B25,'Checklist'!$H$2:$H$60,"&lt;&gt;Done",'Checklist'!$H$2:$H$60,"&lt;&gt;N/A")</f>
        <v/>
      </c>
      <c r="F25" s="26">
        <f>IFERROR(D25/(C25-COUNTIFS('Checklist'!$F$2:$F$60,$B25,'Checklist'!$H$2:$H$60,"N/A")),0)</f>
        <v/>
      </c>
    </row>
    <row r="26">
      <c r="B26" s="21" t="inlineStr">
        <is>
          <t>Low</t>
        </is>
      </c>
      <c r="C26" s="22">
        <f>COUNTIF('Checklist'!$F$2:$F$60,$B26)</f>
        <v/>
      </c>
      <c r="D26" s="22">
        <f>COUNTIFS('Checklist'!$F$2:$F$60,$B26,'Checklist'!$H$2:$H$60,"Done")</f>
        <v/>
      </c>
      <c r="E26" s="22">
        <f>COUNTIFS('Checklist'!$F$2:$F$60,$B26,'Checklist'!$H$2:$H$60,"&lt;&gt;Done",'Checklist'!$H$2:$H$60,"&lt;&gt;N/A")</f>
        <v/>
      </c>
      <c r="F26" s="26">
        <f>IFERROR(D26/(C26-COUNTIFS('Checklist'!$F$2:$F$60,$B26,'Checklist'!$H$2:$H$60,"N/A")),0)</f>
        <v/>
      </c>
    </row>
    <row r="28">
      <c r="B28" s="29" t="inlineStr">
        <is>
          <t>AI visibility (from the Prompt tracker)</t>
        </is>
      </c>
    </row>
    <row r="29" ht="28" customHeight="1">
      <c r="B29" s="13" t="inlineStr">
        <is>
          <t>Assistant</t>
        </is>
      </c>
      <c r="C29" s="13" t="inlineStr">
        <is>
          <t>Runs logged</t>
        </is>
      </c>
      <c r="D29" s="13" t="inlineStr">
        <is>
          <t>Mentioned</t>
        </is>
      </c>
      <c r="E29" s="13" t="inlineStr">
        <is>
          <t>Mention rate</t>
        </is>
      </c>
      <c r="F29" s="13" t="inlineStr">
        <is>
          <t>Cited with link</t>
        </is>
      </c>
      <c r="G29" s="13" t="inlineStr">
        <is>
          <t>Citation rate</t>
        </is>
      </c>
      <c r="H29" s="13" t="inlineStr">
        <is>
          <t>Accurate</t>
        </is>
      </c>
      <c r="I29" s="13" t="inlineStr">
        <is>
          <t>Accuracy rate</t>
        </is>
      </c>
    </row>
    <row r="30">
      <c r="B30" s="21" t="inlineStr">
        <is>
          <t>All assistants</t>
        </is>
      </c>
      <c r="C30" s="30">
        <f>COUNTIF('Prompt tracker'!$E$3:$E$302,"Yes")+COUNTIF('Prompt tracker'!$E$3:$E$302,"No")</f>
        <v/>
      </c>
      <c r="D30" s="30">
        <f>COUNTIF('Prompt tracker'!$E$3:$E$302,"Yes")</f>
        <v/>
      </c>
      <c r="E30" s="31">
        <f>IFERROR(D30/C30,0)</f>
        <v/>
      </c>
      <c r="F30" s="30">
        <f>COUNTIF('Prompt tracker'!$F$3:$F$302,"Yes")</f>
        <v/>
      </c>
      <c r="G30" s="31">
        <f>IFERROR(F30/C30,0)</f>
        <v/>
      </c>
      <c r="H30" s="30">
        <f>COUNTIF('Prompt tracker'!$H$3:$H$302,"Yes")</f>
        <v/>
      </c>
      <c r="I30" s="31">
        <f>IFERROR(H30/D30,0)</f>
        <v/>
      </c>
    </row>
    <row r="31">
      <c r="B31" s="21" t="inlineStr">
        <is>
          <t>ChatGPT</t>
        </is>
      </c>
      <c r="C31" s="22">
        <f>COUNTIFS('Prompt tracker'!$D$3:$D$302,$B31,'Prompt tracker'!$E$3:$E$302,"Yes")+COUNTIFS('Prompt tracker'!$D$3:$D$302,$B31,'Prompt tracker'!$E$3:$E$302,"No")</f>
        <v/>
      </c>
      <c r="D31" s="22">
        <f>COUNTIFS('Prompt tracker'!$D$3:$D$302,$B31,'Prompt tracker'!$E$3:$E$302,"Yes")</f>
        <v/>
      </c>
      <c r="E31" s="26">
        <f>IFERROR(D31/C31,0)</f>
        <v/>
      </c>
      <c r="F31" s="22">
        <f>COUNTIFS('Prompt tracker'!$D$3:$D$302,$B31,'Prompt tracker'!$F$3:$F$302,"Yes")</f>
        <v/>
      </c>
      <c r="G31" s="26">
        <f>IFERROR(F31/C31,0)</f>
        <v/>
      </c>
      <c r="H31" s="22">
        <f>COUNTIFS('Prompt tracker'!$D$3:$D$302,$B31,'Prompt tracker'!$H$3:$H$302,"Yes")</f>
        <v/>
      </c>
      <c r="I31" s="26">
        <f>IFERROR(H31/D31,0)</f>
        <v/>
      </c>
    </row>
    <row r="32">
      <c r="B32" s="21" t="inlineStr">
        <is>
          <t>Perplexity</t>
        </is>
      </c>
      <c r="C32" s="22">
        <f>COUNTIFS('Prompt tracker'!$D$3:$D$302,$B32,'Prompt tracker'!$E$3:$E$302,"Yes")+COUNTIFS('Prompt tracker'!$D$3:$D$302,$B32,'Prompt tracker'!$E$3:$E$302,"No")</f>
        <v/>
      </c>
      <c r="D32" s="22">
        <f>COUNTIFS('Prompt tracker'!$D$3:$D$302,$B32,'Prompt tracker'!$E$3:$E$302,"Yes")</f>
        <v/>
      </c>
      <c r="E32" s="26">
        <f>IFERROR(D32/C32,0)</f>
        <v/>
      </c>
      <c r="F32" s="22">
        <f>COUNTIFS('Prompt tracker'!$D$3:$D$302,$B32,'Prompt tracker'!$F$3:$F$302,"Yes")</f>
        <v/>
      </c>
      <c r="G32" s="26">
        <f>IFERROR(F32/C32,0)</f>
        <v/>
      </c>
      <c r="H32" s="22">
        <f>COUNTIFS('Prompt tracker'!$D$3:$D$302,$B32,'Prompt tracker'!$H$3:$H$302,"Yes")</f>
        <v/>
      </c>
      <c r="I32" s="26">
        <f>IFERROR(H32/D32,0)</f>
        <v/>
      </c>
    </row>
    <row r="33">
      <c r="B33" s="21" t="inlineStr">
        <is>
          <t>Claude</t>
        </is>
      </c>
      <c r="C33" s="22">
        <f>COUNTIFS('Prompt tracker'!$D$3:$D$302,$B33,'Prompt tracker'!$E$3:$E$302,"Yes")+COUNTIFS('Prompt tracker'!$D$3:$D$302,$B33,'Prompt tracker'!$E$3:$E$302,"No")</f>
        <v/>
      </c>
      <c r="D33" s="22">
        <f>COUNTIFS('Prompt tracker'!$D$3:$D$302,$B33,'Prompt tracker'!$E$3:$E$302,"Yes")</f>
        <v/>
      </c>
      <c r="E33" s="26">
        <f>IFERROR(D33/C33,0)</f>
        <v/>
      </c>
      <c r="F33" s="22">
        <f>COUNTIFS('Prompt tracker'!$D$3:$D$302,$B33,'Prompt tracker'!$F$3:$F$302,"Yes")</f>
        <v/>
      </c>
      <c r="G33" s="26">
        <f>IFERROR(F33/C33,0)</f>
        <v/>
      </c>
      <c r="H33" s="22">
        <f>COUNTIFS('Prompt tracker'!$D$3:$D$302,$B33,'Prompt tracker'!$H$3:$H$302,"Yes")</f>
        <v/>
      </c>
      <c r="I33" s="26">
        <f>IFERROR(H33/D33,0)</f>
        <v/>
      </c>
    </row>
    <row r="34">
      <c r="B34" s="21" t="inlineStr">
        <is>
          <t>Gemini</t>
        </is>
      </c>
      <c r="C34" s="22">
        <f>COUNTIFS('Prompt tracker'!$D$3:$D$302,$B34,'Prompt tracker'!$E$3:$E$302,"Yes")+COUNTIFS('Prompt tracker'!$D$3:$D$302,$B34,'Prompt tracker'!$E$3:$E$302,"No")</f>
        <v/>
      </c>
      <c r="D34" s="22">
        <f>COUNTIFS('Prompt tracker'!$D$3:$D$302,$B34,'Prompt tracker'!$E$3:$E$302,"Yes")</f>
        <v/>
      </c>
      <c r="E34" s="26">
        <f>IFERROR(D34/C34,0)</f>
        <v/>
      </c>
      <c r="F34" s="22">
        <f>COUNTIFS('Prompt tracker'!$D$3:$D$302,$B34,'Prompt tracker'!$F$3:$F$302,"Yes")</f>
        <v/>
      </c>
      <c r="G34" s="26">
        <f>IFERROR(F34/C34,0)</f>
        <v/>
      </c>
      <c r="H34" s="22">
        <f>COUNTIFS('Prompt tracker'!$D$3:$D$302,$B34,'Prompt tracker'!$H$3:$H$302,"Yes")</f>
        <v/>
      </c>
      <c r="I34" s="26">
        <f>IFERROR(H34/D34,0)</f>
        <v/>
      </c>
    </row>
    <row r="35">
      <c r="B35" s="21" t="inlineStr">
        <is>
          <t>Google AI Mode</t>
        </is>
      </c>
      <c r="C35" s="22">
        <f>COUNTIFS('Prompt tracker'!$D$3:$D$302,$B35,'Prompt tracker'!$E$3:$E$302,"Yes")+COUNTIFS('Prompt tracker'!$D$3:$D$302,$B35,'Prompt tracker'!$E$3:$E$302,"No")</f>
        <v/>
      </c>
      <c r="D35" s="22">
        <f>COUNTIFS('Prompt tracker'!$D$3:$D$302,$B35,'Prompt tracker'!$E$3:$E$302,"Yes")</f>
        <v/>
      </c>
      <c r="E35" s="26">
        <f>IFERROR(D35/C35,0)</f>
        <v/>
      </c>
      <c r="F35" s="22">
        <f>COUNTIFS('Prompt tracker'!$D$3:$D$302,$B35,'Prompt tracker'!$F$3:$F$302,"Yes")</f>
        <v/>
      </c>
      <c r="G35" s="26">
        <f>IFERROR(F35/C35,0)</f>
        <v/>
      </c>
      <c r="H35" s="22">
        <f>COUNTIFS('Prompt tracker'!$D$3:$D$302,$B35,'Prompt tracker'!$H$3:$H$302,"Yes")</f>
        <v/>
      </c>
      <c r="I35" s="26">
        <f>IFERROR(H35/D35,0)</f>
        <v/>
      </c>
    </row>
    <row r="36">
      <c r="B36" s="21" t="inlineStr">
        <is>
          <t>Google AI Overview</t>
        </is>
      </c>
      <c r="C36" s="22">
        <f>COUNTIFS('Prompt tracker'!$D$3:$D$302,$B36,'Prompt tracker'!$E$3:$E$302,"Yes")+COUNTIFS('Prompt tracker'!$D$3:$D$302,$B36,'Prompt tracker'!$E$3:$E$302,"No")</f>
        <v/>
      </c>
      <c r="D36" s="22">
        <f>COUNTIFS('Prompt tracker'!$D$3:$D$302,$B36,'Prompt tracker'!$E$3:$E$302,"Yes")</f>
        <v/>
      </c>
      <c r="E36" s="26">
        <f>IFERROR(D36/C36,0)</f>
        <v/>
      </c>
      <c r="F36" s="22">
        <f>COUNTIFS('Prompt tracker'!$D$3:$D$302,$B36,'Prompt tracker'!$F$3:$F$302,"Yes")</f>
        <v/>
      </c>
      <c r="G36" s="26">
        <f>IFERROR(F36/C36,0)</f>
        <v/>
      </c>
      <c r="H36" s="22">
        <f>COUNTIFS('Prompt tracker'!$D$3:$D$302,$B36,'Prompt tracker'!$H$3:$H$302,"Yes")</f>
        <v/>
      </c>
      <c r="I36" s="26">
        <f>IFERROR(H36/D36,0)</f>
        <v/>
      </c>
    </row>
    <row r="37">
      <c r="B37" s="21" t="inlineStr">
        <is>
          <t>Microsoft Copilot</t>
        </is>
      </c>
      <c r="C37" s="22">
        <f>COUNTIFS('Prompt tracker'!$D$3:$D$302,$B37,'Prompt tracker'!$E$3:$E$302,"Yes")+COUNTIFS('Prompt tracker'!$D$3:$D$302,$B37,'Prompt tracker'!$E$3:$E$302,"No")</f>
        <v/>
      </c>
      <c r="D37" s="22">
        <f>COUNTIFS('Prompt tracker'!$D$3:$D$302,$B37,'Prompt tracker'!$E$3:$E$302,"Yes")</f>
        <v/>
      </c>
      <c r="E37" s="26">
        <f>IFERROR(D37/C37,0)</f>
        <v/>
      </c>
      <c r="F37" s="22">
        <f>COUNTIFS('Prompt tracker'!$D$3:$D$302,$B37,'Prompt tracker'!$F$3:$F$302,"Yes")</f>
        <v/>
      </c>
      <c r="G37" s="26">
        <f>IFERROR(F37/C37,0)</f>
        <v/>
      </c>
      <c r="H37" s="22">
        <f>COUNTIFS('Prompt tracker'!$D$3:$D$302,$B37,'Prompt tracker'!$H$3:$H$302,"Yes")</f>
        <v/>
      </c>
      <c r="I37" s="26">
        <f>IFERROR(H37/D37,0)</f>
        <v/>
      </c>
    </row>
    <row r="38">
      <c r="B38" s="21" t="inlineStr">
        <is>
          <t>Other</t>
        </is>
      </c>
      <c r="C38" s="22">
        <f>COUNTIFS('Prompt tracker'!$D$3:$D$302,$B38,'Prompt tracker'!$E$3:$E$302,"Yes")+COUNTIFS('Prompt tracker'!$D$3:$D$302,$B38,'Prompt tracker'!$E$3:$E$302,"No")</f>
        <v/>
      </c>
      <c r="D38" s="22">
        <f>COUNTIFS('Prompt tracker'!$D$3:$D$302,$B38,'Prompt tracker'!$E$3:$E$302,"Yes")</f>
        <v/>
      </c>
      <c r="E38" s="26">
        <f>IFERROR(D38/C38,0)</f>
        <v/>
      </c>
      <c r="F38" s="22">
        <f>COUNTIFS('Prompt tracker'!$D$3:$D$302,$B38,'Prompt tracker'!$F$3:$F$302,"Yes")</f>
        <v/>
      </c>
      <c r="G38" s="26">
        <f>IFERROR(F38/C38,0)</f>
        <v/>
      </c>
      <c r="H38" s="22">
        <f>COUNTIFS('Prompt tracker'!$D$3:$D$302,$B38,'Prompt tracker'!$H$3:$H$302,"Yes")</f>
        <v/>
      </c>
      <c r="I38" s="26">
        <f>IFERROR(H38/D38,0)</f>
        <v/>
      </c>
    </row>
    <row r="39">
      <c r="B39" s="20" t="inlineStr">
        <is>
          <t>Mention rate = runs where you were named / runs logged. Citation rate = runs with a link to your site / runs logged. Accuracy rate = accurate descriptions / runs where you were named.</t>
        </is>
      </c>
    </row>
  </sheetData>
  <mergeCells count="1">
    <mergeCell ref="D10:H10"/>
  </mergeCells>
  <conditionalFormatting sqref="B14:J21">
    <cfRule type="expression" priority="1" dxfId="5">
      <formula>MOD(ROW(),2)=0</formula>
    </cfRule>
  </conditionalFormatting>
  <conditionalFormatting sqref="I14:I21">
    <cfRule type="cellIs" priority="2" operator="greaterThan" dxfId="4">
      <formula>0</formula>
    </cfRule>
  </conditionalFormatting>
  <conditionalFormatting sqref="B24:B26">
    <cfRule type="cellIs" priority="3" operator="equal" dxfId="4" stopIfTrue="1">
      <formula>"High"</formula>
    </cfRule>
    <cfRule type="cellIs" priority="4" operator="equal" dxfId="3" stopIfTrue="1">
      <formula>"Low"</formula>
    </cfRule>
  </conditionalFormatting>
  <conditionalFormatting sqref="B30:I38">
    <cfRule type="expression" priority="5" dxfId="5">
      <formula>MOD(ROW(),2)=0</formula>
    </cfRule>
  </conditionalFormatting>
  <printOptions gridLines="0"/>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2026-10-24T10:53:43Z</dcterms:created>
  <dcterms:modified xmlns:dcterms="http://purl.org/dc/terms/" xmlns:xsi="http://www.w3.org/2001/XMLSchema-instance" xsi:type="dcterms:W3CDTF">2026-10-24T10:53:44Z</dcterms:modified>
</cp:coreProperties>
</file>