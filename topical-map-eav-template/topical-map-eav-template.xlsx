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Entity" sheetId="2" state="visible" r:id="rId2"/>
    <sheet name="Attributes" sheetId="3" state="visible" r:id="rId3"/>
    <sheet name="Values" sheetId="4" state="visible" r:id="rId4"/>
    <sheet name="Topical Map" sheetId="5" state="visible" r:id="rId5"/>
    <sheet name="Combinations" sheetId="6" state="visible" r:id="rId6"/>
    <sheet name="Dashboard" sheetId="7" state="visible" r:id="rId7"/>
    <sheet name="Lists" sheetId="8" state="visible" r:id="rId8"/>
  </sheets>
  <definedNames>
    <definedName name="_xlnm._FilterDatabase" localSheetId="2" hidden="1">'Attributes'!$A$2:$P$52</definedName>
    <definedName name="_xlnm._FilterDatabase" localSheetId="3" hidden="1">'Values'!$A$2:$O$502</definedName>
    <definedName name="_xlnm._FilterDatabase" localSheetId="4" hidden="1">'Topical Map'!$A$2:$O$553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Inter"/>
      <b val="1"/>
      <color rgb="00251046"/>
      <sz val="18"/>
    </font>
    <font>
      <name val="Inter"/>
      <b val="1"/>
      <color rgb="00FFFFFF"/>
      <sz val="10"/>
    </font>
    <font>
      <name val="Inter"/>
      <i val="1"/>
      <color rgb="006B6880"/>
      <sz val="9"/>
    </font>
    <font>
      <name val="Inter"/>
      <b val="1"/>
      <color rgb="001A0B32"/>
      <sz val="10"/>
    </font>
    <font>
      <name val="Inter"/>
      <color rgb="001A0B32"/>
      <sz val="10"/>
    </font>
    <font>
      <name val="Inter"/>
      <b val="1"/>
      <color rgb="008448EF"/>
      <sz val="11"/>
    </font>
    <font>
      <name val="Inter"/>
      <b val="1"/>
      <color rgb="00251046"/>
      <sz val="11"/>
    </font>
    <font>
      <name val="Inter"/>
      <b val="1"/>
      <color rgb="00251046"/>
      <sz val="9"/>
    </font>
    <font>
      <name val="Inter"/>
      <b val="1"/>
      <color rgb="008448EF"/>
      <sz val="9"/>
    </font>
    <font>
      <name val="Inter"/>
      <b val="1"/>
      <color rgb="00B42318"/>
      <sz val="10"/>
    </font>
    <font>
      <name val="Inter"/>
      <color rgb="001A0B32"/>
      <sz val="9"/>
    </font>
    <font>
      <name val="Inter"/>
      <b val="1"/>
      <color rgb="00251046"/>
      <sz val="12"/>
    </font>
    <font>
      <name val="Inter"/>
      <i val="1"/>
      <color rgb="008448EF"/>
      <sz val="11"/>
    </font>
    <font>
      <name val="Inter"/>
      <b val="1"/>
      <color rgb="00251046"/>
      <sz val="10"/>
    </font>
    <font>
      <name val="Inter"/>
      <color rgb="008448EF"/>
      <sz val="10"/>
      <u val="single"/>
    </font>
  </fonts>
  <fills count="8">
    <fill>
      <patternFill/>
    </fill>
    <fill>
      <patternFill patternType="gray125"/>
    </fill>
    <fill>
      <patternFill patternType="solid">
        <fgColor rgb="00251046"/>
      </patternFill>
    </fill>
    <fill>
      <patternFill patternType="solid">
        <fgColor rgb="00FFDE59"/>
      </patternFill>
    </fill>
    <fill>
      <patternFill patternType="solid">
        <fgColor rgb="00F4F0FD"/>
      </patternFill>
    </fill>
    <fill>
      <patternFill patternType="solid">
        <fgColor rgb="00E7DDFD"/>
      </patternFill>
    </fill>
    <fill>
      <patternFill patternType="solid">
        <fgColor rgb="008448EF"/>
      </patternFill>
    </fill>
    <fill>
      <patternFill patternType="solid">
        <fgColor rgb="00FBE3E4"/>
      </patternFill>
    </fill>
  </fills>
  <borders count="2">
    <border>
      <left/>
      <right/>
      <top/>
      <bottom/>
      <diagonal/>
    </border>
    <border>
      <left style="thin">
        <color rgb="00D9D2EE"/>
      </left>
      <right style="thin">
        <color rgb="00D9D2EE"/>
      </right>
      <top style="thin">
        <color rgb="00D9D2EE"/>
      </top>
      <bottom style="thin">
        <color rgb="00D9D2EE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13" fillId="0" borderId="0" pivotButton="0" quotePrefix="0" xfId="0"/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12" fillId="0" borderId="0" pivotButton="0" quotePrefix="0" xfId="0"/>
    <xf numFmtId="0" fontId="2" fillId="2" borderId="0" pivotButton="0" quotePrefix="0" xfId="0"/>
    <xf numFmtId="0" fontId="5" fillId="0" borderId="0" pivotButton="0" quotePrefix="0" xfId="0"/>
    <xf numFmtId="0" fontId="2" fillId="6" borderId="0" pivotButton="0" quotePrefix="0" xfId="0"/>
    <xf numFmtId="0" fontId="14" fillId="4" borderId="0" pivotButton="0" quotePrefix="0" xfId="0"/>
    <xf numFmtId="0" fontId="14" fillId="3" borderId="0" pivotButton="0" quotePrefix="0" xfId="0"/>
    <xf numFmtId="0" fontId="14" fillId="7" borderId="0" pivotButton="0" quotePrefix="0" xfId="0"/>
    <xf numFmtId="0" fontId="15" fillId="0" borderId="0" pivotButton="0" quotePrefix="0" xfId="0"/>
    <xf numFmtId="0" fontId="3" fillId="0" borderId="0" applyAlignment="1" pivotButton="0" quotePrefix="0" xfId="0">
      <alignment vertical="top"/>
    </xf>
    <xf numFmtId="0" fontId="4" fillId="0" borderId="0" pivotButton="0" quotePrefix="0" xfId="0"/>
    <xf numFmtId="0" fontId="5" fillId="3" borderId="0" pivotButton="0" quotePrefix="0" xfId="0"/>
    <xf numFmtId="0" fontId="3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0" fillId="4" borderId="0" pivotButton="0" quotePrefix="0" xfId="0"/>
    <xf numFmtId="0" fontId="8" fillId="3" borderId="0" pivotButton="0" quotePrefix="0" xfId="0"/>
    <xf numFmtId="0" fontId="0" fillId="5" borderId="0" pivotButton="0" quotePrefix="0" xfId="0"/>
    <xf numFmtId="0" fontId="2" fillId="2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9" fontId="0" fillId="0" borderId="0" pivotButton="0" quotePrefix="0" xfId="0"/>
    <xf numFmtId="0" fontId="9" fillId="5" borderId="0" pivotButton="0" quotePrefix="0" xfId="0"/>
    <xf numFmtId="0" fontId="0" fillId="3" borderId="0" pivotButton="0" quotePrefix="0" xfId="0"/>
    <xf numFmtId="0" fontId="10" fillId="0" borderId="0" pivotButton="0" quotePrefix="0" xfId="0"/>
    <xf numFmtId="0" fontId="2" fillId="2" borderId="0" applyAlignment="1" pivotButton="0" quotePrefix="0" xfId="0">
      <alignment wrapText="1"/>
    </xf>
    <xf numFmtId="0" fontId="4" fillId="4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horizontal="center"/>
    </xf>
    <xf numFmtId="9" fontId="12" fillId="0" borderId="0" applyAlignment="1" pivotButton="0" quotePrefix="0" xfId="0">
      <alignment horizontal="center"/>
    </xf>
  </cellXfs>
  <cellStyles count="1">
    <cellStyle name="Normal" xfId="0" builtinId="0" hidden="0"/>
  </cellStyles>
  <dxfs count="7">
    <dxf>
      <fill>
        <patternFill patternType="solid">
          <fgColor rgb="00F4F0FD"/>
        </patternFill>
      </fill>
    </dxf>
    <dxf>
      <font>
        <b val="1"/>
      </font>
      <fill>
        <patternFill patternType="solid">
          <fgColor rgb="00FFDE59"/>
        </patternFill>
      </fill>
    </dxf>
    <dxf>
      <fill>
        <patternFill patternType="solid">
          <fgColor rgb="00FBE3E4"/>
        </patternFill>
      </fill>
    </dxf>
    <dxf>
      <font>
        <b val="1"/>
      </font>
      <fill>
        <patternFill patternType="solid">
          <fgColor rgb="00D9CCF9"/>
        </patternFill>
      </fill>
    </dxf>
    <dxf>
      <font>
        <b val="1"/>
      </font>
      <fill>
        <patternFill patternType="solid">
          <fgColor rgb="00F4F0FD"/>
        </patternFill>
      </fill>
    </dxf>
    <dxf>
      <fill>
        <patternFill patternType="solid">
          <fgColor rgb="00E3F5EA"/>
        </patternFill>
      </fill>
    </dxf>
    <dxf>
      <fill>
        <patternFill patternType="solid">
          <fgColor rgb="00FFDE5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lforseo.com/ml-fundamentals/what-is-the-eav-model-in-seo-a-practical-framework-for-semantic-keyword-research/" TargetMode="External" Id="rId1" /><Relationship Type="http://schemas.openxmlformats.org/officeDocument/2006/relationships/hyperlink" Target="https://www.mlforseo.com/courses/semantic-ml-enabled-keyword-research/" TargetMode="External" Id="rId2" /><Relationship Type="http://schemas.openxmlformats.org/officeDocument/2006/relationships/hyperlink" Target="https://www.mlforseo.com/machine-learning-implementation-guides/keyword-research/what-does-a-good-semantic-keyword-universe-actually-look-like/" TargetMode="External" Id="rId3" /><Relationship Type="http://schemas.openxmlformats.org/officeDocument/2006/relationships/hyperlink" Target="https://www.mlforseo.com/ml-fundamentals/what-is-a-knowledge-graph-how-to-use-it-for-smarter-keyword-strategy/" TargetMode="External" Id="rId4" /></Relationships>
</file>

<file path=xl/worksheets/sheet1.xml><?xml version="1.0" encoding="utf-8"?>
<worksheet xmlns="http://schemas.openxmlformats.org/spreadsheetml/2006/main">
  <sheetPr>
    <tabColor rgb="00251046"/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Topical Map Template + Generator (EAV-based)</t>
        </is>
      </c>
    </row>
    <row r="2">
      <c r="A2" s="2" t="inlineStr">
        <is>
          <t>Entity → attributes → values → pillar, cluster and supporting pages · by Lazarina Stoy · MLforSEO</t>
        </is>
      </c>
    </row>
    <row r="4">
      <c r="A4" s="3" t="inlineStr">
        <is>
          <t>What it does</t>
        </is>
      </c>
    </row>
    <row r="5">
      <c r="A5" s="4" t="inlineStr">
        <is>
          <t>You describe one central entity, the attributes people use to describe or filter it, and the values each attribute takes.</t>
        </is>
      </c>
    </row>
    <row r="6">
      <c r="A6" s="4" t="inlineStr">
        <is>
          <t>The Topical Map tab turns that into a pillar page, one cluster (hub) page per attribute and one supporting page per value,</t>
        </is>
      </c>
    </row>
    <row r="7">
      <c r="A7" s="4" t="inlineStr">
        <is>
          <t>with a suggested title, slug, intent, format, internal links (up, across and down), coverage against your existing URLs</t>
        </is>
      </c>
    </row>
    <row r="8">
      <c r="A8" s="4" t="inlineStr">
        <is>
          <t>and a priority score. Combinations crosses two attributes for long-tail ideas.</t>
        </is>
      </c>
    </row>
    <row r="9">
      <c r="A9" s="4" t="inlineStr"/>
    </row>
    <row r="10">
      <c r="A10" s="4" t="inlineStr">
        <is>
          <t>EAV (entity, attribute, variable or value) is a data-modelling pattern borrowed from database design. I use it here as a</t>
        </is>
      </c>
    </row>
    <row r="11">
      <c r="A11" s="4" t="inlineStr">
        <is>
          <t>planning lens: a structured way to list what your audience wants to know about an entity and to spot gaps. It is not a</t>
        </is>
      </c>
    </row>
    <row r="12">
      <c r="A12" s="4" t="inlineStr">
        <is>
          <t>claim about how any search engine ranks pages.</t>
        </is>
      </c>
    </row>
    <row r="14">
      <c r="A14" s="3" t="inlineStr">
        <is>
          <t>How to use it</t>
        </is>
      </c>
    </row>
    <row r="15">
      <c r="A15" s="4" t="inlineStr">
        <is>
          <t>1. Entity: name the central entity and adjust the three title patterns ({entity}, {attribute}, {value}).</t>
        </is>
      </c>
    </row>
    <row r="16">
      <c r="A16" s="4" t="inlineStr">
        <is>
          <t>2. Attributes: list every attribute your audience cares about. Mark each Finite, Finite with a cutoff, or Infinite.</t>
        </is>
      </c>
    </row>
    <row r="17">
      <c r="A17" s="4" t="inlineStr">
        <is>
          <t xml:space="preserve">   Infinite attributes (names, URLs, slogans) need a cutoff or should be excluded. Set relevance 1-3 and Include? Yes/No.</t>
        </is>
      </c>
    </row>
    <row r="18">
      <c r="A18" s="4" t="inlineStr">
        <is>
          <t>3. Values: one row per value. Mark sub-entities, and answer 'Real user benefit?' honestly: 'No' drops the value.</t>
        </is>
      </c>
    </row>
    <row r="19">
      <c r="A19" s="4" t="inlineStr">
        <is>
          <t xml:space="preserve">   Add the existing URL where you already cover it. Volumes are optional (autocomplete or Knowledge Graph notebooks help).</t>
        </is>
      </c>
    </row>
    <row r="20">
      <c r="A20" s="4" t="inlineStr">
        <is>
          <t>4. Topical Map: read it top to bottom. Gaps are yellow. Sort or filter by Priority to plan the next quarter.</t>
        </is>
      </c>
    </row>
    <row r="21">
      <c r="A21" s="4" t="inlineStr">
        <is>
          <t>5. When you're happy, copy the Topical Map and paste it as values into a new tab, so your edits stay put.</t>
        </is>
      </c>
    </row>
    <row r="22">
      <c r="A22" s="4" t="inlineStr">
        <is>
          <t>6. Combinations: pick two finite attributes and copy the pairs worth a page into your content brief.</t>
        </is>
      </c>
    </row>
    <row r="24">
      <c r="A24" s="3" t="inlineStr">
        <is>
          <t>How the map is built</t>
        </is>
      </c>
    </row>
    <row r="25">
      <c r="A25" s="4" t="inlineStr">
        <is>
          <t>Pillar: the central entity. Clusters: included attributes, in the order you listed them. Supporting: kept values.</t>
        </is>
      </c>
    </row>
    <row r="26">
      <c r="A26" s="4" t="inlineStr">
        <is>
          <t>Links up to: supporting pages link to their cluster page; cluster pages link to the pillar. Link every page to the pillar too.</t>
        </is>
      </c>
    </row>
    <row r="27">
      <c r="A27" s="4" t="inlineStr">
        <is>
          <t>Links across to: the next value in the same attribute (and the next cluster), so siblings link to each other in a loop.</t>
        </is>
      </c>
    </row>
    <row r="28">
      <c r="A28" s="4" t="inlineStr">
        <is>
          <t>Priority: pillar 100; cluster = relevance x 25 (+10 if it's a gap); supporting = relevance x 20 + volume points (max 20)</t>
        </is>
      </c>
    </row>
    <row r="29">
      <c r="A29" s="4" t="inlineStr">
        <is>
          <t xml:space="preserve">   + 10 if it's a gap + 5 if you marked real user benefit 'Yes'. Edit the weights in the formula if you prefer others.</t>
        </is>
      </c>
    </row>
    <row r="30">
      <c r="A30" s="4" t="inlineStr">
        <is>
          <t>Capacity: 50 attributes and 500 values. Titles and slugs are suggestions, so edit them once you copy the map as values.</t>
        </is>
      </c>
    </row>
    <row r="32">
      <c r="A32" s="5" t="inlineStr">
        <is>
          <t>Legend</t>
        </is>
      </c>
    </row>
    <row r="33">
      <c r="A33" s="6" t="inlineStr">
        <is>
          <t>Dark header</t>
        </is>
      </c>
      <c r="B33" s="7" t="inlineStr">
        <is>
          <t>Input column: paste or type here.</t>
        </is>
      </c>
    </row>
    <row r="34">
      <c r="A34" s="8" t="inlineStr">
        <is>
          <t>Purple header</t>
        </is>
      </c>
      <c r="B34" s="7" t="inlineStr">
        <is>
          <t>Calculated column: formulas, please don't type over them.</t>
        </is>
      </c>
    </row>
    <row r="35">
      <c r="A35" s="9" t="inlineStr">
        <is>
          <t>Lavender band</t>
        </is>
      </c>
      <c r="B35" s="7" t="inlineStr">
        <is>
          <t>Readability banding and paste zones.</t>
        </is>
      </c>
    </row>
    <row r="36">
      <c r="A36" s="10" t="inlineStr">
        <is>
          <t>Yellow cell</t>
        </is>
      </c>
      <c r="B36" s="7" t="inlineStr">
        <is>
          <t>A flag that needs a human look, or an editable setting.</t>
        </is>
      </c>
    </row>
    <row r="37">
      <c r="A37" s="11" t="inlineStr">
        <is>
          <t>Soft red</t>
        </is>
      </c>
      <c r="B37" s="7" t="inlineStr">
        <is>
          <t>A stronger warning (for example cannibalisation or a prune decision).</t>
        </is>
      </c>
    </row>
    <row r="38">
      <c r="A38" s="5" t="inlineStr">
        <is>
          <t>Credits</t>
        </is>
      </c>
    </row>
    <row r="39">
      <c r="A39" s="7" t="inlineStr">
        <is>
          <t>Template by Lazarina Stoy · MLforSEO (mlforseo.com). Free to use and adapt; please keep this credit.</t>
        </is>
      </c>
    </row>
    <row r="40">
      <c r="A40" s="12" t="inlineStr">
        <is>
          <t>Read: What is the EAV model in SEO? (MLforSEO)</t>
        </is>
      </c>
    </row>
    <row r="41">
      <c r="A41" s="12" t="inlineStr">
        <is>
          <t>Course: Semantic ML-enabled Keyword Research (MLforSEO Academy)</t>
        </is>
      </c>
    </row>
    <row r="42">
      <c r="A42" s="12" t="inlineStr">
        <is>
          <t>Read: What does a good semantic keyword universe look like? (MLforSEO)</t>
        </is>
      </c>
    </row>
    <row r="43">
      <c r="A43" s="12" t="inlineStr">
        <is>
          <t>Read: What is a knowledge graph? How to use it for keyword strategy (MLforSEO)</t>
        </is>
      </c>
    </row>
  </sheetData>
  <hyperlinks>
    <hyperlink xmlns:r="http://schemas.openxmlformats.org/officeDocument/2006/relationships" ref="A40" r:id="rId1"/>
    <hyperlink xmlns:r="http://schemas.openxmlformats.org/officeDocument/2006/relationships" ref="A41" r:id="rId2"/>
    <hyperlink xmlns:r="http://schemas.openxmlformats.org/officeDocument/2006/relationships" ref="A42" r:id="rId3"/>
    <hyperlink xmlns:r="http://schemas.openxmlformats.org/officeDocument/2006/relationships" ref="A4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80" customWidth="1" min="3" max="3"/>
  </cols>
  <sheetData>
    <row r="1">
      <c r="A1" s="1" t="inlineStr">
        <is>
          <t>1. Entity: start with one central entity</t>
        </is>
      </c>
    </row>
    <row r="2">
      <c r="A2" s="13" t="inlineStr">
        <is>
          <t>Yellow cells are yours. Patterns use {entity}, {attribute} and {value} as placeholders.</t>
        </is>
      </c>
    </row>
    <row r="3">
      <c r="A3" s="14" t="inlineStr">
        <is>
          <t>Central entity</t>
        </is>
      </c>
      <c r="B3" s="15" t="inlineStr">
        <is>
          <t>Running shoes</t>
        </is>
      </c>
      <c r="C3" s="16" t="inlineStr">
        <is>
          <t>The one entity the map is about: your main product category, service or topic.</t>
        </is>
      </c>
    </row>
    <row r="4">
      <c r="A4" s="14" t="inlineStr">
        <is>
          <t>Entity type</t>
        </is>
      </c>
      <c r="B4" s="15" t="inlineStr">
        <is>
          <t>Product</t>
        </is>
      </c>
      <c r="C4" s="16" t="inlineStr">
        <is>
          <t>Person, Place, Organisation, Product, Event, Creative work or Concept.</t>
        </is>
      </c>
    </row>
    <row r="5">
      <c r="A5" s="14" t="inlineStr">
        <is>
          <t>Site root URL</t>
        </is>
      </c>
      <c r="B5" s="15" t="inlineStr">
        <is>
          <t>https://www.stride-example.com/</t>
        </is>
      </c>
      <c r="C5" s="16" t="inlineStr">
        <is>
          <t>Used only for reference.</t>
        </is>
      </c>
    </row>
    <row r="6">
      <c r="A6" s="14" t="inlineStr">
        <is>
          <t>Pillar page URL (if it exists)</t>
        </is>
      </c>
      <c r="B6" s="15" t="inlineStr">
        <is>
          <t>https://www.stride-example.com/running-shoes/</t>
        </is>
      </c>
      <c r="C6" s="16" t="inlineStr">
        <is>
          <t>Leave blank if the pillar is still a gap.</t>
        </is>
      </c>
    </row>
    <row r="7">
      <c r="A7" s="14" t="inlineStr">
        <is>
          <t>Pillar title pattern</t>
        </is>
      </c>
      <c r="B7" s="15" t="inlineStr">
        <is>
          <t>{entity}: the complete guide</t>
        </is>
      </c>
      <c r="C7" s="16" t="inlineStr">
        <is>
          <t>{entity} is replaced by the central entity.</t>
        </is>
      </c>
    </row>
    <row r="8">
      <c r="A8" s="14" t="inlineStr">
        <is>
          <t>Cluster title pattern (default)</t>
        </is>
      </c>
      <c r="B8" s="15" t="inlineStr">
        <is>
          <t>{entity} by {attribute}</t>
        </is>
      </c>
      <c r="C8" s="16" t="inlineStr">
        <is>
          <t>Used when an attribute has no cluster title of its own.</t>
        </is>
      </c>
    </row>
    <row r="9">
      <c r="A9" s="14" t="inlineStr">
        <is>
          <t>Supporting title pattern (default)</t>
        </is>
      </c>
      <c r="B9" s="15" t="inlineStr">
        <is>
          <t>{entity} for {value}</t>
        </is>
      </c>
      <c r="C9" s="16" t="inlineStr">
        <is>
          <t>Used when an attribute has no pattern of its own.</t>
        </is>
      </c>
    </row>
    <row r="10">
      <c r="A10" s="14" t="inlineStr">
        <is>
          <t>Audience / notes</t>
        </is>
      </c>
      <c r="B10" s="15" t="inlineStr">
        <is>
          <t>Recreational and club runners in the UK</t>
        </is>
      </c>
      <c r="C10" s="16" t="inlineStr"/>
    </row>
    <row r="13">
      <c r="A13" s="17" t="inlineStr">
        <is>
          <t>Calculated</t>
        </is>
      </c>
    </row>
    <row r="14">
      <c r="A14" t="inlineStr">
        <is>
          <t>Attributes included</t>
        </is>
      </c>
      <c r="B14" s="18">
        <f>MAX(Attributes!$P$3:$P$52)</f>
        <v/>
      </c>
    </row>
    <row r="15">
      <c r="A15" t="inlineStr">
        <is>
          <t>Values kept</t>
        </is>
      </c>
      <c r="B15" s="18">
        <f>MAX(Values!$J$3:$J$502)</f>
        <v/>
      </c>
    </row>
    <row r="16">
      <c r="A16" t="inlineStr">
        <is>
          <t>Rows on the topical map</t>
        </is>
      </c>
      <c r="B16" s="18">
        <f>1+B14+B15</f>
        <v/>
      </c>
    </row>
  </sheetData>
  <dataValidations count="1">
    <dataValidation sqref="B4" showDropDown="0" showInputMessage="0" showErrorMessage="1" allowBlank="1" type="list" errorStyle="stop">
      <formula1>"Person,Place,Organisation,Product,Event,Creative work,Concept"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0" customWidth="1" min="2" max="2"/>
    <col width="30" customWidth="1" min="3" max="3"/>
    <col width="15" customWidth="1" min="4" max="4"/>
    <col width="12" customWidth="1" min="5" max="5"/>
    <col width="9" customWidth="1" min="6" max="6"/>
    <col width="30" customWidth="1" min="7" max="7"/>
    <col width="24" customWidth="1" min="8" max="8"/>
    <col width="36" customWidth="1" min="9" max="9"/>
    <col width="34" customWidth="1" min="10" max="10"/>
    <col width="9" customWidth="1" min="11" max="11"/>
    <col width="9" customWidth="1" min="12" max="12"/>
    <col width="9" customWidth="1" min="13" max="13"/>
    <col width="10" customWidth="1" min="14" max="14"/>
    <col width="44" customWidth="1" min="15" max="15"/>
    <col width="9" customWidth="1" min="16" max="16"/>
  </cols>
  <sheetData>
    <row r="1">
      <c r="A1" s="19" t="inlineStr">
        <is>
          <t>2. ATTRIBUTES: the ways people describe or filter the entity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1" t="inlineStr">
        <is>
          <t>SAMPLE: fictional running shoe shop. Clear A-J and add your own.</t>
        </is>
      </c>
      <c r="L1" s="22" t="n"/>
      <c r="M1" s="22" t="n"/>
      <c r="N1" s="22" t="n"/>
      <c r="O1" s="22" t="n"/>
      <c r="P1" s="22" t="n"/>
    </row>
    <row r="2" ht="34" customHeight="1">
      <c r="A2" s="23" t="inlineStr">
        <is>
          <t>Attribute</t>
        </is>
      </c>
      <c r="B2" s="23" t="inlineStr">
        <is>
          <t>Attribute type</t>
        </is>
      </c>
      <c r="C2" s="23" t="inlineStr">
        <is>
          <t>Cutoff rule</t>
        </is>
      </c>
      <c r="D2" s="23" t="inlineStr">
        <is>
          <t>Typical intent</t>
        </is>
      </c>
      <c r="E2" s="23" t="inlineStr">
        <is>
          <t>Business relevance (1-3)</t>
        </is>
      </c>
      <c r="F2" s="23" t="inlineStr">
        <is>
          <t>Include?</t>
        </is>
      </c>
      <c r="G2" s="23" t="inlineStr">
        <is>
          <t>Cluster page title (optional)</t>
        </is>
      </c>
      <c r="H2" s="23" t="inlineStr">
        <is>
          <t>Supporting title pattern (optional)</t>
        </is>
      </c>
      <c r="I2" s="23" t="inlineStr">
        <is>
          <t>Cluster / hub page URL (if it exists)</t>
        </is>
      </c>
      <c r="J2" s="23" t="inlineStr">
        <is>
          <t>Notes</t>
        </is>
      </c>
      <c r="K2" s="24" t="inlineStr">
        <is>
          <t>Values listed</t>
        </is>
      </c>
      <c r="L2" s="24" t="inlineStr">
        <is>
          <t>Values kept</t>
        </is>
      </c>
      <c r="M2" s="24" t="inlineStr">
        <is>
          <t>Values covered</t>
        </is>
      </c>
      <c r="N2" s="24" t="inlineStr">
        <is>
          <t>Coverage</t>
        </is>
      </c>
      <c r="O2" s="24" t="inlineStr">
        <is>
          <t>Check</t>
        </is>
      </c>
      <c r="P2" s="24" t="inlineStr">
        <is>
          <t>Map order (helper)</t>
        </is>
      </c>
    </row>
    <row r="3">
      <c r="A3" t="inlineStr">
        <is>
          <t>Terrain</t>
        </is>
      </c>
      <c r="B3" t="inlineStr">
        <is>
          <t>Finite</t>
        </is>
      </c>
      <c r="D3" t="inlineStr">
        <is>
          <t>Commercial</t>
        </is>
      </c>
      <c r="E3" t="n">
        <v>3</v>
      </c>
      <c r="F3" t="inlineStr">
        <is>
          <t>Yes</t>
        </is>
      </c>
      <c r="H3" t="inlineStr">
        <is>
          <t>{value} {entity}</t>
        </is>
      </c>
      <c r="K3">
        <f>IF(A3="","",COUNTIF(Values!$A$3:$A$502,SUBSTITUTE(SUBSTITUTE(A3,"?","~?"),"*","~*")))</f>
        <v/>
      </c>
      <c r="L3">
        <f>IF(A3="","",COUNTIFS(Values!$A$3:$A$502,SUBSTITUTE(SUBSTITUTE(A3,"?","~?"),"*","~*"),Values!$I$3:$I$502,"Yes"))</f>
        <v/>
      </c>
      <c r="M3">
        <f>IF(A3="","",SUMPRODUCT((Values!$A$3:$A$502=A3)*(Values!$I$3:$I$502="Yes")*(LEN(Values!$F$3:$F$502)&gt;0)))</f>
        <v/>
      </c>
      <c r="N3" s="25">
        <f>IF(A3="","",IF(L3=0,"",M3/L3))</f>
        <v/>
      </c>
      <c r="O3">
        <f>IF(A3="","",IF(AND(B3="Infinite",F3="Yes"),"Infinite attribute included: add a cutoff or exclude it",IF(AND(B3="Finite with a cutoff",C3=""),"Add the cutoff rule",IF(AND(F3="Yes",L3=0),"No values kept yet",""))))</f>
        <v/>
      </c>
      <c r="P3">
        <f>IF(AND(A3&lt;&gt;"",F3="Yes"),SUMPRODUCT(($F$3:F3="Yes")*(LEN($A$3:A3)&gt;0)),"")</f>
        <v/>
      </c>
    </row>
    <row r="4">
      <c r="A4" t="inlineStr">
        <is>
          <t>Distance</t>
        </is>
      </c>
      <c r="B4" t="inlineStr">
        <is>
          <t>Finite</t>
        </is>
      </c>
      <c r="D4" t="inlineStr">
        <is>
          <t>Commercial</t>
        </is>
      </c>
      <c r="E4" t="n">
        <v>3</v>
      </c>
      <c r="F4" t="inlineStr">
        <is>
          <t>Yes</t>
        </is>
      </c>
      <c r="H4" t="inlineStr">
        <is>
          <t>{entity} for {value}</t>
        </is>
      </c>
      <c r="K4">
        <f>IF(A4="","",COUNTIF(Values!$A$3:$A$502,SUBSTITUTE(SUBSTITUTE(A4,"?","~?"),"*","~*")))</f>
        <v/>
      </c>
      <c r="L4">
        <f>IF(A4="","",COUNTIFS(Values!$A$3:$A$502,SUBSTITUTE(SUBSTITUTE(A4,"?","~?"),"*","~*"),Values!$I$3:$I$502,"Yes"))</f>
        <v/>
      </c>
      <c r="M4">
        <f>IF(A4="","",SUMPRODUCT((Values!$A$3:$A$502=A4)*(Values!$I$3:$I$502="Yes")*(LEN(Values!$F$3:$F$502)&gt;0)))</f>
        <v/>
      </c>
      <c r="N4" s="25">
        <f>IF(A4="","",IF(L4=0,"",M4/L4))</f>
        <v/>
      </c>
      <c r="O4">
        <f>IF(A4="","",IF(AND(B4="Infinite",F4="Yes"),"Infinite attribute included: add a cutoff or exclude it",IF(AND(B4="Finite with a cutoff",C4=""),"Add the cutoff rule",IF(AND(F4="Yes",L4=0),"No values kept yet",""))))</f>
        <v/>
      </c>
      <c r="P4">
        <f>IF(AND(A4&lt;&gt;"",F4="Yes"),SUMPRODUCT(($F$3:F4="Yes")*(LEN($A$3:A4)&gt;0)),"")</f>
        <v/>
      </c>
    </row>
    <row r="5">
      <c r="A5" t="inlineStr">
        <is>
          <t>Foot type</t>
        </is>
      </c>
      <c r="B5" t="inlineStr">
        <is>
          <t>Finite</t>
        </is>
      </c>
      <c r="D5" t="inlineStr">
        <is>
          <t>Commercial</t>
        </is>
      </c>
      <c r="E5" t="n">
        <v>3</v>
      </c>
      <c r="F5" t="inlineStr">
        <is>
          <t>Yes</t>
        </is>
      </c>
      <c r="G5" t="inlineStr">
        <is>
          <t>Running shoes for every foot type</t>
        </is>
      </c>
      <c r="H5" t="inlineStr">
        <is>
          <t>{entity} for {value}</t>
        </is>
      </c>
      <c r="K5">
        <f>IF(A5="","",COUNTIF(Values!$A$3:$A$502,SUBSTITUTE(SUBSTITUTE(A5,"?","~?"),"*","~*")))</f>
        <v/>
      </c>
      <c r="L5">
        <f>IF(A5="","",COUNTIFS(Values!$A$3:$A$502,SUBSTITUTE(SUBSTITUTE(A5,"?","~?"),"*","~*"),Values!$I$3:$I$502,"Yes"))</f>
        <v/>
      </c>
      <c r="M5">
        <f>IF(A5="","",SUMPRODUCT((Values!$A$3:$A$502=A5)*(Values!$I$3:$I$502="Yes")*(LEN(Values!$F$3:$F$502)&gt;0)))</f>
        <v/>
      </c>
      <c r="N5" s="25">
        <f>IF(A5="","",IF(L5=0,"",M5/L5))</f>
        <v/>
      </c>
      <c r="O5">
        <f>IF(A5="","",IF(AND(B5="Infinite",F5="Yes"),"Infinite attribute included: add a cutoff or exclude it",IF(AND(B5="Finite with a cutoff",C5=""),"Add the cutoff rule",IF(AND(F5="Yes",L5=0),"No values kept yet",""))))</f>
        <v/>
      </c>
      <c r="P5">
        <f>IF(AND(A5&lt;&gt;"",F5="Yes"),SUMPRODUCT(($F$3:F5="Yes")*(LEN($A$3:A5)&gt;0)),"")</f>
        <v/>
      </c>
    </row>
    <row r="6">
      <c r="A6" t="inlineStr">
        <is>
          <t>Cushioning</t>
        </is>
      </c>
      <c r="B6" t="inlineStr">
        <is>
          <t>Finite</t>
        </is>
      </c>
      <c r="D6" t="inlineStr">
        <is>
          <t>Informational</t>
        </is>
      </c>
      <c r="E6" t="n">
        <v>2</v>
      </c>
      <c r="F6" t="inlineStr">
        <is>
          <t>Yes</t>
        </is>
      </c>
      <c r="H6" t="inlineStr">
        <is>
          <t>{value} {entity}</t>
        </is>
      </c>
      <c r="K6">
        <f>IF(A6="","",COUNTIF(Values!$A$3:$A$502,SUBSTITUTE(SUBSTITUTE(A6,"?","~?"),"*","~*")))</f>
        <v/>
      </c>
      <c r="L6">
        <f>IF(A6="","",COUNTIFS(Values!$A$3:$A$502,SUBSTITUTE(SUBSTITUTE(A6,"?","~?"),"*","~*"),Values!$I$3:$I$502,"Yes"))</f>
        <v/>
      </c>
      <c r="M6">
        <f>IF(A6="","",SUMPRODUCT((Values!$A$3:$A$502=A6)*(Values!$I$3:$I$502="Yes")*(LEN(Values!$F$3:$F$502)&gt;0)))</f>
        <v/>
      </c>
      <c r="N6" s="25">
        <f>IF(A6="","",IF(L6=0,"",M6/L6))</f>
        <v/>
      </c>
      <c r="O6">
        <f>IF(A6="","",IF(AND(B6="Infinite",F6="Yes"),"Infinite attribute included: add a cutoff or exclude it",IF(AND(B6="Finite with a cutoff",C6=""),"Add the cutoff rule",IF(AND(F6="Yes",L6=0),"No values kept yet",""))))</f>
        <v/>
      </c>
      <c r="P6">
        <f>IF(AND(A6&lt;&gt;"",F6="Yes"),SUMPRODUCT(($F$3:F6="Yes")*(LEN($A$3:A6)&gt;0)),"")</f>
        <v/>
      </c>
    </row>
    <row r="7">
      <c r="A7" t="inlineStr">
        <is>
          <t>Brand</t>
        </is>
      </c>
      <c r="B7" t="inlineStr">
        <is>
          <t>Finite with a cutoff</t>
        </is>
      </c>
      <c r="C7" t="inlineStr">
        <is>
          <t>Brands we stock (12)</t>
        </is>
      </c>
      <c r="D7" t="inlineStr">
        <is>
          <t>Commercial</t>
        </is>
      </c>
      <c r="E7" t="n">
        <v>2</v>
      </c>
      <c r="F7" t="inlineStr">
        <is>
          <t>Yes</t>
        </is>
      </c>
      <c r="G7" t="inlineStr">
        <is>
          <t>Running shoe brands</t>
        </is>
      </c>
      <c r="H7" t="inlineStr">
        <is>
          <t>{value} {entity}</t>
        </is>
      </c>
      <c r="I7" t="inlineStr">
        <is>
          <t>https://www.stride-example.com/brands/</t>
        </is>
      </c>
      <c r="K7">
        <f>IF(A7="","",COUNTIF(Values!$A$3:$A$502,SUBSTITUTE(SUBSTITUTE(A7,"?","~?"),"*","~*")))</f>
        <v/>
      </c>
      <c r="L7">
        <f>IF(A7="","",COUNTIFS(Values!$A$3:$A$502,SUBSTITUTE(SUBSTITUTE(A7,"?","~?"),"*","~*"),Values!$I$3:$I$502,"Yes"))</f>
        <v/>
      </c>
      <c r="M7">
        <f>IF(A7="","",SUMPRODUCT((Values!$A$3:$A$502=A7)*(Values!$I$3:$I$502="Yes")*(LEN(Values!$F$3:$F$502)&gt;0)))</f>
        <v/>
      </c>
      <c r="N7" s="25">
        <f>IF(A7="","",IF(L7=0,"",M7/L7))</f>
        <v/>
      </c>
      <c r="O7">
        <f>IF(A7="","",IF(AND(B7="Infinite",F7="Yes"),"Infinite attribute included: add a cutoff or exclude it",IF(AND(B7="Finite with a cutoff",C7=""),"Add the cutoff rule",IF(AND(F7="Yes",L7=0),"No values kept yet",""))))</f>
        <v/>
      </c>
      <c r="P7">
        <f>IF(AND(A7&lt;&gt;"",F7="Yes"),SUMPRODUCT(($F$3:F7="Yes")*(LEN($A$3:A7)&gt;0)),"")</f>
        <v/>
      </c>
    </row>
    <row r="8">
      <c r="A8" t="inlineStr">
        <is>
          <t>Runner level</t>
        </is>
      </c>
      <c r="B8" t="inlineStr">
        <is>
          <t>Finite</t>
        </is>
      </c>
      <c r="D8" t="inlineStr">
        <is>
          <t>Informational</t>
        </is>
      </c>
      <c r="E8" t="n">
        <v>2</v>
      </c>
      <c r="F8" t="inlineStr">
        <is>
          <t>Yes</t>
        </is>
      </c>
      <c r="H8" t="inlineStr">
        <is>
          <t>{entity} for {value}</t>
        </is>
      </c>
      <c r="K8">
        <f>IF(A8="","",COUNTIF(Values!$A$3:$A$502,SUBSTITUTE(SUBSTITUTE(A8,"?","~?"),"*","~*")))</f>
        <v/>
      </c>
      <c r="L8">
        <f>IF(A8="","",COUNTIFS(Values!$A$3:$A$502,SUBSTITUTE(SUBSTITUTE(A8,"?","~?"),"*","~*"),Values!$I$3:$I$502,"Yes"))</f>
        <v/>
      </c>
      <c r="M8">
        <f>IF(A8="","",SUMPRODUCT((Values!$A$3:$A$502=A8)*(Values!$I$3:$I$502="Yes")*(LEN(Values!$F$3:$F$502)&gt;0)))</f>
        <v/>
      </c>
      <c r="N8" s="25">
        <f>IF(A8="","",IF(L8=0,"",M8/L8))</f>
        <v/>
      </c>
      <c r="O8">
        <f>IF(A8="","",IF(AND(B8="Infinite",F8="Yes"),"Infinite attribute included: add a cutoff or exclude it",IF(AND(B8="Finite with a cutoff",C8=""),"Add the cutoff rule",IF(AND(F8="Yes",L8=0),"No values kept yet",""))))</f>
        <v/>
      </c>
      <c r="P8">
        <f>IF(AND(A8&lt;&gt;"",F8="Yes"),SUMPRODUCT(($F$3:F8="Yes")*(LEN($A$3:A8)&gt;0)),"")</f>
        <v/>
      </c>
    </row>
    <row r="9">
      <c r="A9" t="inlineStr">
        <is>
          <t>Price</t>
        </is>
      </c>
      <c r="B9" t="inlineStr">
        <is>
          <t>Finite with a cutoff</t>
        </is>
      </c>
      <c r="C9" t="inlineStr">
        <is>
          <t>Three bands: under £80, £80-£140, over £140</t>
        </is>
      </c>
      <c r="D9" t="inlineStr">
        <is>
          <t>Transactional</t>
        </is>
      </c>
      <c r="E9" t="n">
        <v>1</v>
      </c>
      <c r="F9" t="inlineStr">
        <is>
          <t>Yes</t>
        </is>
      </c>
      <c r="H9" t="inlineStr">
        <is>
          <t>{entity} {value}</t>
        </is>
      </c>
      <c r="K9">
        <f>IF(A9="","",COUNTIF(Values!$A$3:$A$502,SUBSTITUTE(SUBSTITUTE(A9,"?","~?"),"*","~*")))</f>
        <v/>
      </c>
      <c r="L9">
        <f>IF(A9="","",COUNTIFS(Values!$A$3:$A$502,SUBSTITUTE(SUBSTITUTE(A9,"?","~?"),"*","~*"),Values!$I$3:$I$502,"Yes"))</f>
        <v/>
      </c>
      <c r="M9">
        <f>IF(A9="","",SUMPRODUCT((Values!$A$3:$A$502=A9)*(Values!$I$3:$I$502="Yes")*(LEN(Values!$F$3:$F$502)&gt;0)))</f>
        <v/>
      </c>
      <c r="N9" s="25">
        <f>IF(A9="","",IF(L9=0,"",M9/L9))</f>
        <v/>
      </c>
      <c r="O9">
        <f>IF(A9="","",IF(AND(B9="Infinite",F9="Yes"),"Infinite attribute included: add a cutoff or exclude it",IF(AND(B9="Finite with a cutoff",C9=""),"Add the cutoff rule",IF(AND(F9="Yes",L9=0),"No values kept yet",""))))</f>
        <v/>
      </c>
      <c r="P9">
        <f>IF(AND(A9&lt;&gt;"",F9="Yes"),SUMPRODUCT(($F$3:F9="Yes")*(LEN($A$3:A9)&gt;0)),"")</f>
        <v/>
      </c>
    </row>
    <row r="10">
      <c r="A10" t="inlineStr">
        <is>
          <t>Runner name</t>
        </is>
      </c>
      <c r="B10" t="inlineStr">
        <is>
          <t>Infinite</t>
        </is>
      </c>
      <c r="D10" t="inlineStr">
        <is>
          <t>Navigational</t>
        </is>
      </c>
      <c r="E10" t="n">
        <v>1</v>
      </c>
      <c r="F10" t="inlineStr">
        <is>
          <t>No</t>
        </is>
      </c>
      <c r="J10" t="inlineStr">
        <is>
          <t>Excluded: a page per runner has no reason to exist</t>
        </is>
      </c>
      <c r="K10">
        <f>IF(A10="","",COUNTIF(Values!$A$3:$A$502,SUBSTITUTE(SUBSTITUTE(A10,"?","~?"),"*","~*")))</f>
        <v/>
      </c>
      <c r="L10">
        <f>IF(A10="","",COUNTIFS(Values!$A$3:$A$502,SUBSTITUTE(SUBSTITUTE(A10,"?","~?"),"*","~*"),Values!$I$3:$I$502,"Yes"))</f>
        <v/>
      </c>
      <c r="M10">
        <f>IF(A10="","",SUMPRODUCT((Values!$A$3:$A$502=A10)*(Values!$I$3:$I$502="Yes")*(LEN(Values!$F$3:$F$502)&gt;0)))</f>
        <v/>
      </c>
      <c r="N10" s="25">
        <f>IF(A10="","",IF(L10=0,"",M10/L10))</f>
        <v/>
      </c>
      <c r="O10">
        <f>IF(A10="","",IF(AND(B10="Infinite",F10="Yes"),"Infinite attribute included: add a cutoff or exclude it",IF(AND(B10="Finite with a cutoff",C10=""),"Add the cutoff rule",IF(AND(F10="Yes",L10=0),"No values kept yet",""))))</f>
        <v/>
      </c>
      <c r="P10">
        <f>IF(AND(A10&lt;&gt;"",F10="Yes"),SUMPRODUCT(($F$3:F10="Yes")*(LEN($A$3:A10)&gt;0)),"")</f>
        <v/>
      </c>
    </row>
    <row r="11">
      <c r="K11">
        <f>IF(A11="","",COUNTIF(Values!$A$3:$A$502,SUBSTITUTE(SUBSTITUTE(A11,"?","~?"),"*","~*")))</f>
        <v/>
      </c>
      <c r="L11">
        <f>IF(A11="","",COUNTIFS(Values!$A$3:$A$502,SUBSTITUTE(SUBSTITUTE(A11,"?","~?"),"*","~*"),Values!$I$3:$I$502,"Yes"))</f>
        <v/>
      </c>
      <c r="M11">
        <f>IF(A11="","",SUMPRODUCT((Values!$A$3:$A$502=A11)*(Values!$I$3:$I$502="Yes")*(LEN(Values!$F$3:$F$502)&gt;0)))</f>
        <v/>
      </c>
      <c r="N11" s="25">
        <f>IF(A11="","",IF(L11=0,"",M11/L11))</f>
        <v/>
      </c>
      <c r="O11">
        <f>IF(A11="","",IF(AND(B11="Infinite",F11="Yes"),"Infinite attribute included: add a cutoff or exclude it",IF(AND(B11="Finite with a cutoff",C11=""),"Add the cutoff rule",IF(AND(F11="Yes",L11=0),"No values kept yet",""))))</f>
        <v/>
      </c>
      <c r="P11">
        <f>IF(AND(A11&lt;&gt;"",F11="Yes"),SUMPRODUCT(($F$3:F11="Yes")*(LEN($A$3:A11)&gt;0)),"")</f>
        <v/>
      </c>
    </row>
    <row r="12">
      <c r="K12">
        <f>IF(A12="","",COUNTIF(Values!$A$3:$A$502,SUBSTITUTE(SUBSTITUTE(A12,"?","~?"),"*","~*")))</f>
        <v/>
      </c>
      <c r="L12">
        <f>IF(A12="","",COUNTIFS(Values!$A$3:$A$502,SUBSTITUTE(SUBSTITUTE(A12,"?","~?"),"*","~*"),Values!$I$3:$I$502,"Yes"))</f>
        <v/>
      </c>
      <c r="M12">
        <f>IF(A12="","",SUMPRODUCT((Values!$A$3:$A$502=A12)*(Values!$I$3:$I$502="Yes")*(LEN(Values!$F$3:$F$502)&gt;0)))</f>
        <v/>
      </c>
      <c r="N12" s="25">
        <f>IF(A12="","",IF(L12=0,"",M12/L12))</f>
        <v/>
      </c>
      <c r="O12">
        <f>IF(A12="","",IF(AND(B12="Infinite",F12="Yes"),"Infinite attribute included: add a cutoff or exclude it",IF(AND(B12="Finite with a cutoff",C12=""),"Add the cutoff rule",IF(AND(F12="Yes",L12=0),"No values kept yet",""))))</f>
        <v/>
      </c>
      <c r="P12">
        <f>IF(AND(A12&lt;&gt;"",F12="Yes"),SUMPRODUCT(($F$3:F12="Yes")*(LEN($A$3:A12)&gt;0)),"")</f>
        <v/>
      </c>
    </row>
    <row r="13">
      <c r="K13">
        <f>IF(A13="","",COUNTIF(Values!$A$3:$A$502,SUBSTITUTE(SUBSTITUTE(A13,"?","~?"),"*","~*")))</f>
        <v/>
      </c>
      <c r="L13">
        <f>IF(A13="","",COUNTIFS(Values!$A$3:$A$502,SUBSTITUTE(SUBSTITUTE(A13,"?","~?"),"*","~*"),Values!$I$3:$I$502,"Yes"))</f>
        <v/>
      </c>
      <c r="M13">
        <f>IF(A13="","",SUMPRODUCT((Values!$A$3:$A$502=A13)*(Values!$I$3:$I$502="Yes")*(LEN(Values!$F$3:$F$502)&gt;0)))</f>
        <v/>
      </c>
      <c r="N13" s="25">
        <f>IF(A13="","",IF(L13=0,"",M13/L13))</f>
        <v/>
      </c>
      <c r="O13">
        <f>IF(A13="","",IF(AND(B13="Infinite",F13="Yes"),"Infinite attribute included: add a cutoff or exclude it",IF(AND(B13="Finite with a cutoff",C13=""),"Add the cutoff rule",IF(AND(F13="Yes",L13=0),"No values kept yet",""))))</f>
        <v/>
      </c>
      <c r="P13">
        <f>IF(AND(A13&lt;&gt;"",F13="Yes"),SUMPRODUCT(($F$3:F13="Yes")*(LEN($A$3:A13)&gt;0)),"")</f>
        <v/>
      </c>
    </row>
    <row r="14">
      <c r="K14">
        <f>IF(A14="","",COUNTIF(Values!$A$3:$A$502,SUBSTITUTE(SUBSTITUTE(A14,"?","~?"),"*","~*")))</f>
        <v/>
      </c>
      <c r="L14">
        <f>IF(A14="","",COUNTIFS(Values!$A$3:$A$502,SUBSTITUTE(SUBSTITUTE(A14,"?","~?"),"*","~*"),Values!$I$3:$I$502,"Yes"))</f>
        <v/>
      </c>
      <c r="M14">
        <f>IF(A14="","",SUMPRODUCT((Values!$A$3:$A$502=A14)*(Values!$I$3:$I$502="Yes")*(LEN(Values!$F$3:$F$502)&gt;0)))</f>
        <v/>
      </c>
      <c r="N14" s="25">
        <f>IF(A14="","",IF(L14=0,"",M14/L14))</f>
        <v/>
      </c>
      <c r="O14">
        <f>IF(A14="","",IF(AND(B14="Infinite",F14="Yes"),"Infinite attribute included: add a cutoff or exclude it",IF(AND(B14="Finite with a cutoff",C14=""),"Add the cutoff rule",IF(AND(F14="Yes",L14=0),"No values kept yet",""))))</f>
        <v/>
      </c>
      <c r="P14">
        <f>IF(AND(A14&lt;&gt;"",F14="Yes"),SUMPRODUCT(($F$3:F14="Yes")*(LEN($A$3:A14)&gt;0)),"")</f>
        <v/>
      </c>
    </row>
    <row r="15">
      <c r="K15">
        <f>IF(A15="","",COUNTIF(Values!$A$3:$A$502,SUBSTITUTE(SUBSTITUTE(A15,"?","~?"),"*","~*")))</f>
        <v/>
      </c>
      <c r="L15">
        <f>IF(A15="","",COUNTIFS(Values!$A$3:$A$502,SUBSTITUTE(SUBSTITUTE(A15,"?","~?"),"*","~*"),Values!$I$3:$I$502,"Yes"))</f>
        <v/>
      </c>
      <c r="M15">
        <f>IF(A15="","",SUMPRODUCT((Values!$A$3:$A$502=A15)*(Values!$I$3:$I$502="Yes")*(LEN(Values!$F$3:$F$502)&gt;0)))</f>
        <v/>
      </c>
      <c r="N15" s="25">
        <f>IF(A15="","",IF(L15=0,"",M15/L15))</f>
        <v/>
      </c>
      <c r="O15">
        <f>IF(A15="","",IF(AND(B15="Infinite",F15="Yes"),"Infinite attribute included: add a cutoff or exclude it",IF(AND(B15="Finite with a cutoff",C15=""),"Add the cutoff rule",IF(AND(F15="Yes",L15=0),"No values kept yet",""))))</f>
        <v/>
      </c>
      <c r="P15">
        <f>IF(AND(A15&lt;&gt;"",F15="Yes"),SUMPRODUCT(($F$3:F15="Yes")*(LEN($A$3:A15)&gt;0)),"")</f>
        <v/>
      </c>
    </row>
    <row r="16">
      <c r="K16">
        <f>IF(A16="","",COUNTIF(Values!$A$3:$A$502,SUBSTITUTE(SUBSTITUTE(A16,"?","~?"),"*","~*")))</f>
        <v/>
      </c>
      <c r="L16">
        <f>IF(A16="","",COUNTIFS(Values!$A$3:$A$502,SUBSTITUTE(SUBSTITUTE(A16,"?","~?"),"*","~*"),Values!$I$3:$I$502,"Yes"))</f>
        <v/>
      </c>
      <c r="M16">
        <f>IF(A16="","",SUMPRODUCT((Values!$A$3:$A$502=A16)*(Values!$I$3:$I$502="Yes")*(LEN(Values!$F$3:$F$502)&gt;0)))</f>
        <v/>
      </c>
      <c r="N16" s="25">
        <f>IF(A16="","",IF(L16=0,"",M16/L16))</f>
        <v/>
      </c>
      <c r="O16">
        <f>IF(A16="","",IF(AND(B16="Infinite",F16="Yes"),"Infinite attribute included: add a cutoff or exclude it",IF(AND(B16="Finite with a cutoff",C16=""),"Add the cutoff rule",IF(AND(F16="Yes",L16=0),"No values kept yet",""))))</f>
        <v/>
      </c>
      <c r="P16">
        <f>IF(AND(A16&lt;&gt;"",F16="Yes"),SUMPRODUCT(($F$3:F16="Yes")*(LEN($A$3:A16)&gt;0)),"")</f>
        <v/>
      </c>
    </row>
    <row r="17">
      <c r="K17">
        <f>IF(A17="","",COUNTIF(Values!$A$3:$A$502,SUBSTITUTE(SUBSTITUTE(A17,"?","~?"),"*","~*")))</f>
        <v/>
      </c>
      <c r="L17">
        <f>IF(A17="","",COUNTIFS(Values!$A$3:$A$502,SUBSTITUTE(SUBSTITUTE(A17,"?","~?"),"*","~*"),Values!$I$3:$I$502,"Yes"))</f>
        <v/>
      </c>
      <c r="M17">
        <f>IF(A17="","",SUMPRODUCT((Values!$A$3:$A$502=A17)*(Values!$I$3:$I$502="Yes")*(LEN(Values!$F$3:$F$502)&gt;0)))</f>
        <v/>
      </c>
      <c r="N17" s="25">
        <f>IF(A17="","",IF(L17=0,"",M17/L17))</f>
        <v/>
      </c>
      <c r="O17">
        <f>IF(A17="","",IF(AND(B17="Infinite",F17="Yes"),"Infinite attribute included: add a cutoff or exclude it",IF(AND(B17="Finite with a cutoff",C17=""),"Add the cutoff rule",IF(AND(F17="Yes",L17=0),"No values kept yet",""))))</f>
        <v/>
      </c>
      <c r="P17">
        <f>IF(AND(A17&lt;&gt;"",F17="Yes"),SUMPRODUCT(($F$3:F17="Yes")*(LEN($A$3:A17)&gt;0)),"")</f>
        <v/>
      </c>
    </row>
    <row r="18">
      <c r="K18">
        <f>IF(A18="","",COUNTIF(Values!$A$3:$A$502,SUBSTITUTE(SUBSTITUTE(A18,"?","~?"),"*","~*")))</f>
        <v/>
      </c>
      <c r="L18">
        <f>IF(A18="","",COUNTIFS(Values!$A$3:$A$502,SUBSTITUTE(SUBSTITUTE(A18,"?","~?"),"*","~*"),Values!$I$3:$I$502,"Yes"))</f>
        <v/>
      </c>
      <c r="M18">
        <f>IF(A18="","",SUMPRODUCT((Values!$A$3:$A$502=A18)*(Values!$I$3:$I$502="Yes")*(LEN(Values!$F$3:$F$502)&gt;0)))</f>
        <v/>
      </c>
      <c r="N18" s="25">
        <f>IF(A18="","",IF(L18=0,"",M18/L18))</f>
        <v/>
      </c>
      <c r="O18">
        <f>IF(A18="","",IF(AND(B18="Infinite",F18="Yes"),"Infinite attribute included: add a cutoff or exclude it",IF(AND(B18="Finite with a cutoff",C18=""),"Add the cutoff rule",IF(AND(F18="Yes",L18=0),"No values kept yet",""))))</f>
        <v/>
      </c>
      <c r="P18">
        <f>IF(AND(A18&lt;&gt;"",F18="Yes"),SUMPRODUCT(($F$3:F18="Yes")*(LEN($A$3:A18)&gt;0)),"")</f>
        <v/>
      </c>
    </row>
    <row r="19">
      <c r="K19">
        <f>IF(A19="","",COUNTIF(Values!$A$3:$A$502,SUBSTITUTE(SUBSTITUTE(A19,"?","~?"),"*","~*")))</f>
        <v/>
      </c>
      <c r="L19">
        <f>IF(A19="","",COUNTIFS(Values!$A$3:$A$502,SUBSTITUTE(SUBSTITUTE(A19,"?","~?"),"*","~*"),Values!$I$3:$I$502,"Yes"))</f>
        <v/>
      </c>
      <c r="M19">
        <f>IF(A19="","",SUMPRODUCT((Values!$A$3:$A$502=A19)*(Values!$I$3:$I$502="Yes")*(LEN(Values!$F$3:$F$502)&gt;0)))</f>
        <v/>
      </c>
      <c r="N19" s="25">
        <f>IF(A19="","",IF(L19=0,"",M19/L19))</f>
        <v/>
      </c>
      <c r="O19">
        <f>IF(A19="","",IF(AND(B19="Infinite",F19="Yes"),"Infinite attribute included: add a cutoff or exclude it",IF(AND(B19="Finite with a cutoff",C19=""),"Add the cutoff rule",IF(AND(F19="Yes",L19=0),"No values kept yet",""))))</f>
        <v/>
      </c>
      <c r="P19">
        <f>IF(AND(A19&lt;&gt;"",F19="Yes"),SUMPRODUCT(($F$3:F19="Yes")*(LEN($A$3:A19)&gt;0)),"")</f>
        <v/>
      </c>
    </row>
    <row r="20">
      <c r="K20">
        <f>IF(A20="","",COUNTIF(Values!$A$3:$A$502,SUBSTITUTE(SUBSTITUTE(A20,"?","~?"),"*","~*")))</f>
        <v/>
      </c>
      <c r="L20">
        <f>IF(A20="","",COUNTIFS(Values!$A$3:$A$502,SUBSTITUTE(SUBSTITUTE(A20,"?","~?"),"*","~*"),Values!$I$3:$I$502,"Yes"))</f>
        <v/>
      </c>
      <c r="M20">
        <f>IF(A20="","",SUMPRODUCT((Values!$A$3:$A$502=A20)*(Values!$I$3:$I$502="Yes")*(LEN(Values!$F$3:$F$502)&gt;0)))</f>
        <v/>
      </c>
      <c r="N20" s="25">
        <f>IF(A20="","",IF(L20=0,"",M20/L20))</f>
        <v/>
      </c>
      <c r="O20">
        <f>IF(A20="","",IF(AND(B20="Infinite",F20="Yes"),"Infinite attribute included: add a cutoff or exclude it",IF(AND(B20="Finite with a cutoff",C20=""),"Add the cutoff rule",IF(AND(F20="Yes",L20=0),"No values kept yet",""))))</f>
        <v/>
      </c>
      <c r="P20">
        <f>IF(AND(A20&lt;&gt;"",F20="Yes"),SUMPRODUCT(($F$3:F20="Yes")*(LEN($A$3:A20)&gt;0)),"")</f>
        <v/>
      </c>
    </row>
    <row r="21">
      <c r="K21">
        <f>IF(A21="","",COUNTIF(Values!$A$3:$A$502,SUBSTITUTE(SUBSTITUTE(A21,"?","~?"),"*","~*")))</f>
        <v/>
      </c>
      <c r="L21">
        <f>IF(A21="","",COUNTIFS(Values!$A$3:$A$502,SUBSTITUTE(SUBSTITUTE(A21,"?","~?"),"*","~*"),Values!$I$3:$I$502,"Yes"))</f>
        <v/>
      </c>
      <c r="M21">
        <f>IF(A21="","",SUMPRODUCT((Values!$A$3:$A$502=A21)*(Values!$I$3:$I$502="Yes")*(LEN(Values!$F$3:$F$502)&gt;0)))</f>
        <v/>
      </c>
      <c r="N21" s="25">
        <f>IF(A21="","",IF(L21=0,"",M21/L21))</f>
        <v/>
      </c>
      <c r="O21">
        <f>IF(A21="","",IF(AND(B21="Infinite",F21="Yes"),"Infinite attribute included: add a cutoff or exclude it",IF(AND(B21="Finite with a cutoff",C21=""),"Add the cutoff rule",IF(AND(F21="Yes",L21=0),"No values kept yet",""))))</f>
        <v/>
      </c>
      <c r="P21">
        <f>IF(AND(A21&lt;&gt;"",F21="Yes"),SUMPRODUCT(($F$3:F21="Yes")*(LEN($A$3:A21)&gt;0)),"")</f>
        <v/>
      </c>
    </row>
    <row r="22">
      <c r="K22">
        <f>IF(A22="","",COUNTIF(Values!$A$3:$A$502,SUBSTITUTE(SUBSTITUTE(A22,"?","~?"),"*","~*")))</f>
        <v/>
      </c>
      <c r="L22">
        <f>IF(A22="","",COUNTIFS(Values!$A$3:$A$502,SUBSTITUTE(SUBSTITUTE(A22,"?","~?"),"*","~*"),Values!$I$3:$I$502,"Yes"))</f>
        <v/>
      </c>
      <c r="M22">
        <f>IF(A22="","",SUMPRODUCT((Values!$A$3:$A$502=A22)*(Values!$I$3:$I$502="Yes")*(LEN(Values!$F$3:$F$502)&gt;0)))</f>
        <v/>
      </c>
      <c r="N22" s="25">
        <f>IF(A22="","",IF(L22=0,"",M22/L22))</f>
        <v/>
      </c>
      <c r="O22">
        <f>IF(A22="","",IF(AND(B22="Infinite",F22="Yes"),"Infinite attribute included: add a cutoff or exclude it",IF(AND(B22="Finite with a cutoff",C22=""),"Add the cutoff rule",IF(AND(F22="Yes",L22=0),"No values kept yet",""))))</f>
        <v/>
      </c>
      <c r="P22">
        <f>IF(AND(A22&lt;&gt;"",F22="Yes"),SUMPRODUCT(($F$3:F22="Yes")*(LEN($A$3:A22)&gt;0)),"")</f>
        <v/>
      </c>
    </row>
    <row r="23">
      <c r="K23">
        <f>IF(A23="","",COUNTIF(Values!$A$3:$A$502,SUBSTITUTE(SUBSTITUTE(A23,"?","~?"),"*","~*")))</f>
        <v/>
      </c>
      <c r="L23">
        <f>IF(A23="","",COUNTIFS(Values!$A$3:$A$502,SUBSTITUTE(SUBSTITUTE(A23,"?","~?"),"*","~*"),Values!$I$3:$I$502,"Yes"))</f>
        <v/>
      </c>
      <c r="M23">
        <f>IF(A23="","",SUMPRODUCT((Values!$A$3:$A$502=A23)*(Values!$I$3:$I$502="Yes")*(LEN(Values!$F$3:$F$502)&gt;0)))</f>
        <v/>
      </c>
      <c r="N23" s="25">
        <f>IF(A23="","",IF(L23=0,"",M23/L23))</f>
        <v/>
      </c>
      <c r="O23">
        <f>IF(A23="","",IF(AND(B23="Infinite",F23="Yes"),"Infinite attribute included: add a cutoff or exclude it",IF(AND(B23="Finite with a cutoff",C23=""),"Add the cutoff rule",IF(AND(F23="Yes",L23=0),"No values kept yet",""))))</f>
        <v/>
      </c>
      <c r="P23">
        <f>IF(AND(A23&lt;&gt;"",F23="Yes"),SUMPRODUCT(($F$3:F23="Yes")*(LEN($A$3:A23)&gt;0)),"")</f>
        <v/>
      </c>
    </row>
    <row r="24">
      <c r="K24">
        <f>IF(A24="","",COUNTIF(Values!$A$3:$A$502,SUBSTITUTE(SUBSTITUTE(A24,"?","~?"),"*","~*")))</f>
        <v/>
      </c>
      <c r="L24">
        <f>IF(A24="","",COUNTIFS(Values!$A$3:$A$502,SUBSTITUTE(SUBSTITUTE(A24,"?","~?"),"*","~*"),Values!$I$3:$I$502,"Yes"))</f>
        <v/>
      </c>
      <c r="M24">
        <f>IF(A24="","",SUMPRODUCT((Values!$A$3:$A$502=A24)*(Values!$I$3:$I$502="Yes")*(LEN(Values!$F$3:$F$502)&gt;0)))</f>
        <v/>
      </c>
      <c r="N24" s="25">
        <f>IF(A24="","",IF(L24=0,"",M24/L24))</f>
        <v/>
      </c>
      <c r="O24">
        <f>IF(A24="","",IF(AND(B24="Infinite",F24="Yes"),"Infinite attribute included: add a cutoff or exclude it",IF(AND(B24="Finite with a cutoff",C24=""),"Add the cutoff rule",IF(AND(F24="Yes",L24=0),"No values kept yet",""))))</f>
        <v/>
      </c>
      <c r="P24">
        <f>IF(AND(A24&lt;&gt;"",F24="Yes"),SUMPRODUCT(($F$3:F24="Yes")*(LEN($A$3:A24)&gt;0)),"")</f>
        <v/>
      </c>
    </row>
    <row r="25">
      <c r="K25">
        <f>IF(A25="","",COUNTIF(Values!$A$3:$A$502,SUBSTITUTE(SUBSTITUTE(A25,"?","~?"),"*","~*")))</f>
        <v/>
      </c>
      <c r="L25">
        <f>IF(A25="","",COUNTIFS(Values!$A$3:$A$502,SUBSTITUTE(SUBSTITUTE(A25,"?","~?"),"*","~*"),Values!$I$3:$I$502,"Yes"))</f>
        <v/>
      </c>
      <c r="M25">
        <f>IF(A25="","",SUMPRODUCT((Values!$A$3:$A$502=A25)*(Values!$I$3:$I$502="Yes")*(LEN(Values!$F$3:$F$502)&gt;0)))</f>
        <v/>
      </c>
      <c r="N25" s="25">
        <f>IF(A25="","",IF(L25=0,"",M25/L25))</f>
        <v/>
      </c>
      <c r="O25">
        <f>IF(A25="","",IF(AND(B25="Infinite",F25="Yes"),"Infinite attribute included: add a cutoff or exclude it",IF(AND(B25="Finite with a cutoff",C25=""),"Add the cutoff rule",IF(AND(F25="Yes",L25=0),"No values kept yet",""))))</f>
        <v/>
      </c>
      <c r="P25">
        <f>IF(AND(A25&lt;&gt;"",F25="Yes"),SUMPRODUCT(($F$3:F25="Yes")*(LEN($A$3:A25)&gt;0)),"")</f>
        <v/>
      </c>
    </row>
    <row r="26">
      <c r="K26">
        <f>IF(A26="","",COUNTIF(Values!$A$3:$A$502,SUBSTITUTE(SUBSTITUTE(A26,"?","~?"),"*","~*")))</f>
        <v/>
      </c>
      <c r="L26">
        <f>IF(A26="","",COUNTIFS(Values!$A$3:$A$502,SUBSTITUTE(SUBSTITUTE(A26,"?","~?"),"*","~*"),Values!$I$3:$I$502,"Yes"))</f>
        <v/>
      </c>
      <c r="M26">
        <f>IF(A26="","",SUMPRODUCT((Values!$A$3:$A$502=A26)*(Values!$I$3:$I$502="Yes")*(LEN(Values!$F$3:$F$502)&gt;0)))</f>
        <v/>
      </c>
      <c r="N26" s="25">
        <f>IF(A26="","",IF(L26=0,"",M26/L26))</f>
        <v/>
      </c>
      <c r="O26">
        <f>IF(A26="","",IF(AND(B26="Infinite",F26="Yes"),"Infinite attribute included: add a cutoff or exclude it",IF(AND(B26="Finite with a cutoff",C26=""),"Add the cutoff rule",IF(AND(F26="Yes",L26=0),"No values kept yet",""))))</f>
        <v/>
      </c>
      <c r="P26">
        <f>IF(AND(A26&lt;&gt;"",F26="Yes"),SUMPRODUCT(($F$3:F26="Yes")*(LEN($A$3:A26)&gt;0)),"")</f>
        <v/>
      </c>
    </row>
    <row r="27">
      <c r="K27">
        <f>IF(A27="","",COUNTIF(Values!$A$3:$A$502,SUBSTITUTE(SUBSTITUTE(A27,"?","~?"),"*","~*")))</f>
        <v/>
      </c>
      <c r="L27">
        <f>IF(A27="","",COUNTIFS(Values!$A$3:$A$502,SUBSTITUTE(SUBSTITUTE(A27,"?","~?"),"*","~*"),Values!$I$3:$I$502,"Yes"))</f>
        <v/>
      </c>
      <c r="M27">
        <f>IF(A27="","",SUMPRODUCT((Values!$A$3:$A$502=A27)*(Values!$I$3:$I$502="Yes")*(LEN(Values!$F$3:$F$502)&gt;0)))</f>
        <v/>
      </c>
      <c r="N27" s="25">
        <f>IF(A27="","",IF(L27=0,"",M27/L27))</f>
        <v/>
      </c>
      <c r="O27">
        <f>IF(A27="","",IF(AND(B27="Infinite",F27="Yes"),"Infinite attribute included: add a cutoff or exclude it",IF(AND(B27="Finite with a cutoff",C27=""),"Add the cutoff rule",IF(AND(F27="Yes",L27=0),"No values kept yet",""))))</f>
        <v/>
      </c>
      <c r="P27">
        <f>IF(AND(A27&lt;&gt;"",F27="Yes"),SUMPRODUCT(($F$3:F27="Yes")*(LEN($A$3:A27)&gt;0)),"")</f>
        <v/>
      </c>
    </row>
    <row r="28">
      <c r="K28">
        <f>IF(A28="","",COUNTIF(Values!$A$3:$A$502,SUBSTITUTE(SUBSTITUTE(A28,"?","~?"),"*","~*")))</f>
        <v/>
      </c>
      <c r="L28">
        <f>IF(A28="","",COUNTIFS(Values!$A$3:$A$502,SUBSTITUTE(SUBSTITUTE(A28,"?","~?"),"*","~*"),Values!$I$3:$I$502,"Yes"))</f>
        <v/>
      </c>
      <c r="M28">
        <f>IF(A28="","",SUMPRODUCT((Values!$A$3:$A$502=A28)*(Values!$I$3:$I$502="Yes")*(LEN(Values!$F$3:$F$502)&gt;0)))</f>
        <v/>
      </c>
      <c r="N28" s="25">
        <f>IF(A28="","",IF(L28=0,"",M28/L28))</f>
        <v/>
      </c>
      <c r="O28">
        <f>IF(A28="","",IF(AND(B28="Infinite",F28="Yes"),"Infinite attribute included: add a cutoff or exclude it",IF(AND(B28="Finite with a cutoff",C28=""),"Add the cutoff rule",IF(AND(F28="Yes",L28=0),"No values kept yet",""))))</f>
        <v/>
      </c>
      <c r="P28">
        <f>IF(AND(A28&lt;&gt;"",F28="Yes"),SUMPRODUCT(($F$3:F28="Yes")*(LEN($A$3:A28)&gt;0)),"")</f>
        <v/>
      </c>
    </row>
    <row r="29">
      <c r="K29">
        <f>IF(A29="","",COUNTIF(Values!$A$3:$A$502,SUBSTITUTE(SUBSTITUTE(A29,"?","~?"),"*","~*")))</f>
        <v/>
      </c>
      <c r="L29">
        <f>IF(A29="","",COUNTIFS(Values!$A$3:$A$502,SUBSTITUTE(SUBSTITUTE(A29,"?","~?"),"*","~*"),Values!$I$3:$I$502,"Yes"))</f>
        <v/>
      </c>
      <c r="M29">
        <f>IF(A29="","",SUMPRODUCT((Values!$A$3:$A$502=A29)*(Values!$I$3:$I$502="Yes")*(LEN(Values!$F$3:$F$502)&gt;0)))</f>
        <v/>
      </c>
      <c r="N29" s="25">
        <f>IF(A29="","",IF(L29=0,"",M29/L29))</f>
        <v/>
      </c>
      <c r="O29">
        <f>IF(A29="","",IF(AND(B29="Infinite",F29="Yes"),"Infinite attribute included: add a cutoff or exclude it",IF(AND(B29="Finite with a cutoff",C29=""),"Add the cutoff rule",IF(AND(F29="Yes",L29=0),"No values kept yet",""))))</f>
        <v/>
      </c>
      <c r="P29">
        <f>IF(AND(A29&lt;&gt;"",F29="Yes"),SUMPRODUCT(($F$3:F29="Yes")*(LEN($A$3:A29)&gt;0)),"")</f>
        <v/>
      </c>
    </row>
    <row r="30">
      <c r="K30">
        <f>IF(A30="","",COUNTIF(Values!$A$3:$A$502,SUBSTITUTE(SUBSTITUTE(A30,"?","~?"),"*","~*")))</f>
        <v/>
      </c>
      <c r="L30">
        <f>IF(A30="","",COUNTIFS(Values!$A$3:$A$502,SUBSTITUTE(SUBSTITUTE(A30,"?","~?"),"*","~*"),Values!$I$3:$I$502,"Yes"))</f>
        <v/>
      </c>
      <c r="M30">
        <f>IF(A30="","",SUMPRODUCT((Values!$A$3:$A$502=A30)*(Values!$I$3:$I$502="Yes")*(LEN(Values!$F$3:$F$502)&gt;0)))</f>
        <v/>
      </c>
      <c r="N30" s="25">
        <f>IF(A30="","",IF(L30=0,"",M30/L30))</f>
        <v/>
      </c>
      <c r="O30">
        <f>IF(A30="","",IF(AND(B30="Infinite",F30="Yes"),"Infinite attribute included: add a cutoff or exclude it",IF(AND(B30="Finite with a cutoff",C30=""),"Add the cutoff rule",IF(AND(F30="Yes",L30=0),"No values kept yet",""))))</f>
        <v/>
      </c>
      <c r="P30">
        <f>IF(AND(A30&lt;&gt;"",F30="Yes"),SUMPRODUCT(($F$3:F30="Yes")*(LEN($A$3:A30)&gt;0)),"")</f>
        <v/>
      </c>
    </row>
    <row r="31">
      <c r="K31">
        <f>IF(A31="","",COUNTIF(Values!$A$3:$A$502,SUBSTITUTE(SUBSTITUTE(A31,"?","~?"),"*","~*")))</f>
        <v/>
      </c>
      <c r="L31">
        <f>IF(A31="","",COUNTIFS(Values!$A$3:$A$502,SUBSTITUTE(SUBSTITUTE(A31,"?","~?"),"*","~*"),Values!$I$3:$I$502,"Yes"))</f>
        <v/>
      </c>
      <c r="M31">
        <f>IF(A31="","",SUMPRODUCT((Values!$A$3:$A$502=A31)*(Values!$I$3:$I$502="Yes")*(LEN(Values!$F$3:$F$502)&gt;0)))</f>
        <v/>
      </c>
      <c r="N31" s="25">
        <f>IF(A31="","",IF(L31=0,"",M31/L31))</f>
        <v/>
      </c>
      <c r="O31">
        <f>IF(A31="","",IF(AND(B31="Infinite",F31="Yes"),"Infinite attribute included: add a cutoff or exclude it",IF(AND(B31="Finite with a cutoff",C31=""),"Add the cutoff rule",IF(AND(F31="Yes",L31=0),"No values kept yet",""))))</f>
        <v/>
      </c>
      <c r="P31">
        <f>IF(AND(A31&lt;&gt;"",F31="Yes"),SUMPRODUCT(($F$3:F31="Yes")*(LEN($A$3:A31)&gt;0)),"")</f>
        <v/>
      </c>
    </row>
    <row r="32">
      <c r="K32">
        <f>IF(A32="","",COUNTIF(Values!$A$3:$A$502,SUBSTITUTE(SUBSTITUTE(A32,"?","~?"),"*","~*")))</f>
        <v/>
      </c>
      <c r="L32">
        <f>IF(A32="","",COUNTIFS(Values!$A$3:$A$502,SUBSTITUTE(SUBSTITUTE(A32,"?","~?"),"*","~*"),Values!$I$3:$I$502,"Yes"))</f>
        <v/>
      </c>
      <c r="M32">
        <f>IF(A32="","",SUMPRODUCT((Values!$A$3:$A$502=A32)*(Values!$I$3:$I$502="Yes")*(LEN(Values!$F$3:$F$502)&gt;0)))</f>
        <v/>
      </c>
      <c r="N32" s="25">
        <f>IF(A32="","",IF(L32=0,"",M32/L32))</f>
        <v/>
      </c>
      <c r="O32">
        <f>IF(A32="","",IF(AND(B32="Infinite",F32="Yes"),"Infinite attribute included: add a cutoff or exclude it",IF(AND(B32="Finite with a cutoff",C32=""),"Add the cutoff rule",IF(AND(F32="Yes",L32=0),"No values kept yet",""))))</f>
        <v/>
      </c>
      <c r="P32">
        <f>IF(AND(A32&lt;&gt;"",F32="Yes"),SUMPRODUCT(($F$3:F32="Yes")*(LEN($A$3:A32)&gt;0)),"")</f>
        <v/>
      </c>
    </row>
    <row r="33">
      <c r="K33">
        <f>IF(A33="","",COUNTIF(Values!$A$3:$A$502,SUBSTITUTE(SUBSTITUTE(A33,"?","~?"),"*","~*")))</f>
        <v/>
      </c>
      <c r="L33">
        <f>IF(A33="","",COUNTIFS(Values!$A$3:$A$502,SUBSTITUTE(SUBSTITUTE(A33,"?","~?"),"*","~*"),Values!$I$3:$I$502,"Yes"))</f>
        <v/>
      </c>
      <c r="M33">
        <f>IF(A33="","",SUMPRODUCT((Values!$A$3:$A$502=A33)*(Values!$I$3:$I$502="Yes")*(LEN(Values!$F$3:$F$502)&gt;0)))</f>
        <v/>
      </c>
      <c r="N33" s="25">
        <f>IF(A33="","",IF(L33=0,"",M33/L33))</f>
        <v/>
      </c>
      <c r="O33">
        <f>IF(A33="","",IF(AND(B33="Infinite",F33="Yes"),"Infinite attribute included: add a cutoff or exclude it",IF(AND(B33="Finite with a cutoff",C33=""),"Add the cutoff rule",IF(AND(F33="Yes",L33=0),"No values kept yet",""))))</f>
        <v/>
      </c>
      <c r="P33">
        <f>IF(AND(A33&lt;&gt;"",F33="Yes"),SUMPRODUCT(($F$3:F33="Yes")*(LEN($A$3:A33)&gt;0)),"")</f>
        <v/>
      </c>
    </row>
    <row r="34">
      <c r="K34">
        <f>IF(A34="","",COUNTIF(Values!$A$3:$A$502,SUBSTITUTE(SUBSTITUTE(A34,"?","~?"),"*","~*")))</f>
        <v/>
      </c>
      <c r="L34">
        <f>IF(A34="","",COUNTIFS(Values!$A$3:$A$502,SUBSTITUTE(SUBSTITUTE(A34,"?","~?"),"*","~*"),Values!$I$3:$I$502,"Yes"))</f>
        <v/>
      </c>
      <c r="M34">
        <f>IF(A34="","",SUMPRODUCT((Values!$A$3:$A$502=A34)*(Values!$I$3:$I$502="Yes")*(LEN(Values!$F$3:$F$502)&gt;0)))</f>
        <v/>
      </c>
      <c r="N34" s="25">
        <f>IF(A34="","",IF(L34=0,"",M34/L34))</f>
        <v/>
      </c>
      <c r="O34">
        <f>IF(A34="","",IF(AND(B34="Infinite",F34="Yes"),"Infinite attribute included: add a cutoff or exclude it",IF(AND(B34="Finite with a cutoff",C34=""),"Add the cutoff rule",IF(AND(F34="Yes",L34=0),"No values kept yet",""))))</f>
        <v/>
      </c>
      <c r="P34">
        <f>IF(AND(A34&lt;&gt;"",F34="Yes"),SUMPRODUCT(($F$3:F34="Yes")*(LEN($A$3:A34)&gt;0)),"")</f>
        <v/>
      </c>
    </row>
    <row r="35">
      <c r="K35">
        <f>IF(A35="","",COUNTIF(Values!$A$3:$A$502,SUBSTITUTE(SUBSTITUTE(A35,"?","~?"),"*","~*")))</f>
        <v/>
      </c>
      <c r="L35">
        <f>IF(A35="","",COUNTIFS(Values!$A$3:$A$502,SUBSTITUTE(SUBSTITUTE(A35,"?","~?"),"*","~*"),Values!$I$3:$I$502,"Yes"))</f>
        <v/>
      </c>
      <c r="M35">
        <f>IF(A35="","",SUMPRODUCT((Values!$A$3:$A$502=A35)*(Values!$I$3:$I$502="Yes")*(LEN(Values!$F$3:$F$502)&gt;0)))</f>
        <v/>
      </c>
      <c r="N35" s="25">
        <f>IF(A35="","",IF(L35=0,"",M35/L35))</f>
        <v/>
      </c>
      <c r="O35">
        <f>IF(A35="","",IF(AND(B35="Infinite",F35="Yes"),"Infinite attribute included: add a cutoff or exclude it",IF(AND(B35="Finite with a cutoff",C35=""),"Add the cutoff rule",IF(AND(F35="Yes",L35=0),"No values kept yet",""))))</f>
        <v/>
      </c>
      <c r="P35">
        <f>IF(AND(A35&lt;&gt;"",F35="Yes"),SUMPRODUCT(($F$3:F35="Yes")*(LEN($A$3:A35)&gt;0)),"")</f>
        <v/>
      </c>
    </row>
    <row r="36">
      <c r="K36">
        <f>IF(A36="","",COUNTIF(Values!$A$3:$A$502,SUBSTITUTE(SUBSTITUTE(A36,"?","~?"),"*","~*")))</f>
        <v/>
      </c>
      <c r="L36">
        <f>IF(A36="","",COUNTIFS(Values!$A$3:$A$502,SUBSTITUTE(SUBSTITUTE(A36,"?","~?"),"*","~*"),Values!$I$3:$I$502,"Yes"))</f>
        <v/>
      </c>
      <c r="M36">
        <f>IF(A36="","",SUMPRODUCT((Values!$A$3:$A$502=A36)*(Values!$I$3:$I$502="Yes")*(LEN(Values!$F$3:$F$502)&gt;0)))</f>
        <v/>
      </c>
      <c r="N36" s="25">
        <f>IF(A36="","",IF(L36=0,"",M36/L36))</f>
        <v/>
      </c>
      <c r="O36">
        <f>IF(A36="","",IF(AND(B36="Infinite",F36="Yes"),"Infinite attribute included: add a cutoff or exclude it",IF(AND(B36="Finite with a cutoff",C36=""),"Add the cutoff rule",IF(AND(F36="Yes",L36=0),"No values kept yet",""))))</f>
        <v/>
      </c>
      <c r="P36">
        <f>IF(AND(A36&lt;&gt;"",F36="Yes"),SUMPRODUCT(($F$3:F36="Yes")*(LEN($A$3:A36)&gt;0)),"")</f>
        <v/>
      </c>
    </row>
    <row r="37">
      <c r="K37">
        <f>IF(A37="","",COUNTIF(Values!$A$3:$A$502,SUBSTITUTE(SUBSTITUTE(A37,"?","~?"),"*","~*")))</f>
        <v/>
      </c>
      <c r="L37">
        <f>IF(A37="","",COUNTIFS(Values!$A$3:$A$502,SUBSTITUTE(SUBSTITUTE(A37,"?","~?"),"*","~*"),Values!$I$3:$I$502,"Yes"))</f>
        <v/>
      </c>
      <c r="M37">
        <f>IF(A37="","",SUMPRODUCT((Values!$A$3:$A$502=A37)*(Values!$I$3:$I$502="Yes")*(LEN(Values!$F$3:$F$502)&gt;0)))</f>
        <v/>
      </c>
      <c r="N37" s="25">
        <f>IF(A37="","",IF(L37=0,"",M37/L37))</f>
        <v/>
      </c>
      <c r="O37">
        <f>IF(A37="","",IF(AND(B37="Infinite",F37="Yes"),"Infinite attribute included: add a cutoff or exclude it",IF(AND(B37="Finite with a cutoff",C37=""),"Add the cutoff rule",IF(AND(F37="Yes",L37=0),"No values kept yet",""))))</f>
        <v/>
      </c>
      <c r="P37">
        <f>IF(AND(A37&lt;&gt;"",F37="Yes"),SUMPRODUCT(($F$3:F37="Yes")*(LEN($A$3:A37)&gt;0)),"")</f>
        <v/>
      </c>
    </row>
    <row r="38">
      <c r="K38">
        <f>IF(A38="","",COUNTIF(Values!$A$3:$A$502,SUBSTITUTE(SUBSTITUTE(A38,"?","~?"),"*","~*")))</f>
        <v/>
      </c>
      <c r="L38">
        <f>IF(A38="","",COUNTIFS(Values!$A$3:$A$502,SUBSTITUTE(SUBSTITUTE(A38,"?","~?"),"*","~*"),Values!$I$3:$I$502,"Yes"))</f>
        <v/>
      </c>
      <c r="M38">
        <f>IF(A38="","",SUMPRODUCT((Values!$A$3:$A$502=A38)*(Values!$I$3:$I$502="Yes")*(LEN(Values!$F$3:$F$502)&gt;0)))</f>
        <v/>
      </c>
      <c r="N38" s="25">
        <f>IF(A38="","",IF(L38=0,"",M38/L38))</f>
        <v/>
      </c>
      <c r="O38">
        <f>IF(A38="","",IF(AND(B38="Infinite",F38="Yes"),"Infinite attribute included: add a cutoff or exclude it",IF(AND(B38="Finite with a cutoff",C38=""),"Add the cutoff rule",IF(AND(F38="Yes",L38=0),"No values kept yet",""))))</f>
        <v/>
      </c>
      <c r="P38">
        <f>IF(AND(A38&lt;&gt;"",F38="Yes"),SUMPRODUCT(($F$3:F38="Yes")*(LEN($A$3:A38)&gt;0)),"")</f>
        <v/>
      </c>
    </row>
    <row r="39">
      <c r="K39">
        <f>IF(A39="","",COUNTIF(Values!$A$3:$A$502,SUBSTITUTE(SUBSTITUTE(A39,"?","~?"),"*","~*")))</f>
        <v/>
      </c>
      <c r="L39">
        <f>IF(A39="","",COUNTIFS(Values!$A$3:$A$502,SUBSTITUTE(SUBSTITUTE(A39,"?","~?"),"*","~*"),Values!$I$3:$I$502,"Yes"))</f>
        <v/>
      </c>
      <c r="M39">
        <f>IF(A39="","",SUMPRODUCT((Values!$A$3:$A$502=A39)*(Values!$I$3:$I$502="Yes")*(LEN(Values!$F$3:$F$502)&gt;0)))</f>
        <v/>
      </c>
      <c r="N39" s="25">
        <f>IF(A39="","",IF(L39=0,"",M39/L39))</f>
        <v/>
      </c>
      <c r="O39">
        <f>IF(A39="","",IF(AND(B39="Infinite",F39="Yes"),"Infinite attribute included: add a cutoff or exclude it",IF(AND(B39="Finite with a cutoff",C39=""),"Add the cutoff rule",IF(AND(F39="Yes",L39=0),"No values kept yet",""))))</f>
        <v/>
      </c>
      <c r="P39">
        <f>IF(AND(A39&lt;&gt;"",F39="Yes"),SUMPRODUCT(($F$3:F39="Yes")*(LEN($A$3:A39)&gt;0)),"")</f>
        <v/>
      </c>
    </row>
    <row r="40">
      <c r="K40">
        <f>IF(A40="","",COUNTIF(Values!$A$3:$A$502,SUBSTITUTE(SUBSTITUTE(A40,"?","~?"),"*","~*")))</f>
        <v/>
      </c>
      <c r="L40">
        <f>IF(A40="","",COUNTIFS(Values!$A$3:$A$502,SUBSTITUTE(SUBSTITUTE(A40,"?","~?"),"*","~*"),Values!$I$3:$I$502,"Yes"))</f>
        <v/>
      </c>
      <c r="M40">
        <f>IF(A40="","",SUMPRODUCT((Values!$A$3:$A$502=A40)*(Values!$I$3:$I$502="Yes")*(LEN(Values!$F$3:$F$502)&gt;0)))</f>
        <v/>
      </c>
      <c r="N40" s="25">
        <f>IF(A40="","",IF(L40=0,"",M40/L40))</f>
        <v/>
      </c>
      <c r="O40">
        <f>IF(A40="","",IF(AND(B40="Infinite",F40="Yes"),"Infinite attribute included: add a cutoff or exclude it",IF(AND(B40="Finite with a cutoff",C40=""),"Add the cutoff rule",IF(AND(F40="Yes",L40=0),"No values kept yet",""))))</f>
        <v/>
      </c>
      <c r="P40">
        <f>IF(AND(A40&lt;&gt;"",F40="Yes"),SUMPRODUCT(($F$3:F40="Yes")*(LEN($A$3:A40)&gt;0)),"")</f>
        <v/>
      </c>
    </row>
    <row r="41">
      <c r="K41">
        <f>IF(A41="","",COUNTIF(Values!$A$3:$A$502,SUBSTITUTE(SUBSTITUTE(A41,"?","~?"),"*","~*")))</f>
        <v/>
      </c>
      <c r="L41">
        <f>IF(A41="","",COUNTIFS(Values!$A$3:$A$502,SUBSTITUTE(SUBSTITUTE(A41,"?","~?"),"*","~*"),Values!$I$3:$I$502,"Yes"))</f>
        <v/>
      </c>
      <c r="M41">
        <f>IF(A41="","",SUMPRODUCT((Values!$A$3:$A$502=A41)*(Values!$I$3:$I$502="Yes")*(LEN(Values!$F$3:$F$502)&gt;0)))</f>
        <v/>
      </c>
      <c r="N41" s="25">
        <f>IF(A41="","",IF(L41=0,"",M41/L41))</f>
        <v/>
      </c>
      <c r="O41">
        <f>IF(A41="","",IF(AND(B41="Infinite",F41="Yes"),"Infinite attribute included: add a cutoff or exclude it",IF(AND(B41="Finite with a cutoff",C41=""),"Add the cutoff rule",IF(AND(F41="Yes",L41=0),"No values kept yet",""))))</f>
        <v/>
      </c>
      <c r="P41">
        <f>IF(AND(A41&lt;&gt;"",F41="Yes"),SUMPRODUCT(($F$3:F41="Yes")*(LEN($A$3:A41)&gt;0)),"")</f>
        <v/>
      </c>
    </row>
    <row r="42">
      <c r="K42">
        <f>IF(A42="","",COUNTIF(Values!$A$3:$A$502,SUBSTITUTE(SUBSTITUTE(A42,"?","~?"),"*","~*")))</f>
        <v/>
      </c>
      <c r="L42">
        <f>IF(A42="","",COUNTIFS(Values!$A$3:$A$502,SUBSTITUTE(SUBSTITUTE(A42,"?","~?"),"*","~*"),Values!$I$3:$I$502,"Yes"))</f>
        <v/>
      </c>
      <c r="M42">
        <f>IF(A42="","",SUMPRODUCT((Values!$A$3:$A$502=A42)*(Values!$I$3:$I$502="Yes")*(LEN(Values!$F$3:$F$502)&gt;0)))</f>
        <v/>
      </c>
      <c r="N42" s="25">
        <f>IF(A42="","",IF(L42=0,"",M42/L42))</f>
        <v/>
      </c>
      <c r="O42">
        <f>IF(A42="","",IF(AND(B42="Infinite",F42="Yes"),"Infinite attribute included: add a cutoff or exclude it",IF(AND(B42="Finite with a cutoff",C42=""),"Add the cutoff rule",IF(AND(F42="Yes",L42=0),"No values kept yet",""))))</f>
        <v/>
      </c>
      <c r="P42">
        <f>IF(AND(A42&lt;&gt;"",F42="Yes"),SUMPRODUCT(($F$3:F42="Yes")*(LEN($A$3:A42)&gt;0)),"")</f>
        <v/>
      </c>
    </row>
    <row r="43">
      <c r="K43">
        <f>IF(A43="","",COUNTIF(Values!$A$3:$A$502,SUBSTITUTE(SUBSTITUTE(A43,"?","~?"),"*","~*")))</f>
        <v/>
      </c>
      <c r="L43">
        <f>IF(A43="","",COUNTIFS(Values!$A$3:$A$502,SUBSTITUTE(SUBSTITUTE(A43,"?","~?"),"*","~*"),Values!$I$3:$I$502,"Yes"))</f>
        <v/>
      </c>
      <c r="M43">
        <f>IF(A43="","",SUMPRODUCT((Values!$A$3:$A$502=A43)*(Values!$I$3:$I$502="Yes")*(LEN(Values!$F$3:$F$502)&gt;0)))</f>
        <v/>
      </c>
      <c r="N43" s="25">
        <f>IF(A43="","",IF(L43=0,"",M43/L43))</f>
        <v/>
      </c>
      <c r="O43">
        <f>IF(A43="","",IF(AND(B43="Infinite",F43="Yes"),"Infinite attribute included: add a cutoff or exclude it",IF(AND(B43="Finite with a cutoff",C43=""),"Add the cutoff rule",IF(AND(F43="Yes",L43=0),"No values kept yet",""))))</f>
        <v/>
      </c>
      <c r="P43">
        <f>IF(AND(A43&lt;&gt;"",F43="Yes"),SUMPRODUCT(($F$3:F43="Yes")*(LEN($A$3:A43)&gt;0)),"")</f>
        <v/>
      </c>
    </row>
    <row r="44">
      <c r="K44">
        <f>IF(A44="","",COUNTIF(Values!$A$3:$A$502,SUBSTITUTE(SUBSTITUTE(A44,"?","~?"),"*","~*")))</f>
        <v/>
      </c>
      <c r="L44">
        <f>IF(A44="","",COUNTIFS(Values!$A$3:$A$502,SUBSTITUTE(SUBSTITUTE(A44,"?","~?"),"*","~*"),Values!$I$3:$I$502,"Yes"))</f>
        <v/>
      </c>
      <c r="M44">
        <f>IF(A44="","",SUMPRODUCT((Values!$A$3:$A$502=A44)*(Values!$I$3:$I$502="Yes")*(LEN(Values!$F$3:$F$502)&gt;0)))</f>
        <v/>
      </c>
      <c r="N44" s="25">
        <f>IF(A44="","",IF(L44=0,"",M44/L44))</f>
        <v/>
      </c>
      <c r="O44">
        <f>IF(A44="","",IF(AND(B44="Infinite",F44="Yes"),"Infinite attribute included: add a cutoff or exclude it",IF(AND(B44="Finite with a cutoff",C44=""),"Add the cutoff rule",IF(AND(F44="Yes",L44=0),"No values kept yet",""))))</f>
        <v/>
      </c>
      <c r="P44">
        <f>IF(AND(A44&lt;&gt;"",F44="Yes"),SUMPRODUCT(($F$3:F44="Yes")*(LEN($A$3:A44)&gt;0)),"")</f>
        <v/>
      </c>
    </row>
    <row r="45">
      <c r="K45">
        <f>IF(A45="","",COUNTIF(Values!$A$3:$A$502,SUBSTITUTE(SUBSTITUTE(A45,"?","~?"),"*","~*")))</f>
        <v/>
      </c>
      <c r="L45">
        <f>IF(A45="","",COUNTIFS(Values!$A$3:$A$502,SUBSTITUTE(SUBSTITUTE(A45,"?","~?"),"*","~*"),Values!$I$3:$I$502,"Yes"))</f>
        <v/>
      </c>
      <c r="M45">
        <f>IF(A45="","",SUMPRODUCT((Values!$A$3:$A$502=A45)*(Values!$I$3:$I$502="Yes")*(LEN(Values!$F$3:$F$502)&gt;0)))</f>
        <v/>
      </c>
      <c r="N45" s="25">
        <f>IF(A45="","",IF(L45=0,"",M45/L45))</f>
        <v/>
      </c>
      <c r="O45">
        <f>IF(A45="","",IF(AND(B45="Infinite",F45="Yes"),"Infinite attribute included: add a cutoff or exclude it",IF(AND(B45="Finite with a cutoff",C45=""),"Add the cutoff rule",IF(AND(F45="Yes",L45=0),"No values kept yet",""))))</f>
        <v/>
      </c>
      <c r="P45">
        <f>IF(AND(A45&lt;&gt;"",F45="Yes"),SUMPRODUCT(($F$3:F45="Yes")*(LEN($A$3:A45)&gt;0)),"")</f>
        <v/>
      </c>
    </row>
    <row r="46">
      <c r="K46">
        <f>IF(A46="","",COUNTIF(Values!$A$3:$A$502,SUBSTITUTE(SUBSTITUTE(A46,"?","~?"),"*","~*")))</f>
        <v/>
      </c>
      <c r="L46">
        <f>IF(A46="","",COUNTIFS(Values!$A$3:$A$502,SUBSTITUTE(SUBSTITUTE(A46,"?","~?"),"*","~*"),Values!$I$3:$I$502,"Yes"))</f>
        <v/>
      </c>
      <c r="M46">
        <f>IF(A46="","",SUMPRODUCT((Values!$A$3:$A$502=A46)*(Values!$I$3:$I$502="Yes")*(LEN(Values!$F$3:$F$502)&gt;0)))</f>
        <v/>
      </c>
      <c r="N46" s="25">
        <f>IF(A46="","",IF(L46=0,"",M46/L46))</f>
        <v/>
      </c>
      <c r="O46">
        <f>IF(A46="","",IF(AND(B46="Infinite",F46="Yes"),"Infinite attribute included: add a cutoff or exclude it",IF(AND(B46="Finite with a cutoff",C46=""),"Add the cutoff rule",IF(AND(F46="Yes",L46=0),"No values kept yet",""))))</f>
        <v/>
      </c>
      <c r="P46">
        <f>IF(AND(A46&lt;&gt;"",F46="Yes"),SUMPRODUCT(($F$3:F46="Yes")*(LEN($A$3:A46)&gt;0)),"")</f>
        <v/>
      </c>
    </row>
    <row r="47">
      <c r="K47">
        <f>IF(A47="","",COUNTIF(Values!$A$3:$A$502,SUBSTITUTE(SUBSTITUTE(A47,"?","~?"),"*","~*")))</f>
        <v/>
      </c>
      <c r="L47">
        <f>IF(A47="","",COUNTIFS(Values!$A$3:$A$502,SUBSTITUTE(SUBSTITUTE(A47,"?","~?"),"*","~*"),Values!$I$3:$I$502,"Yes"))</f>
        <v/>
      </c>
      <c r="M47">
        <f>IF(A47="","",SUMPRODUCT((Values!$A$3:$A$502=A47)*(Values!$I$3:$I$502="Yes")*(LEN(Values!$F$3:$F$502)&gt;0)))</f>
        <v/>
      </c>
      <c r="N47" s="25">
        <f>IF(A47="","",IF(L47=0,"",M47/L47))</f>
        <v/>
      </c>
      <c r="O47">
        <f>IF(A47="","",IF(AND(B47="Infinite",F47="Yes"),"Infinite attribute included: add a cutoff or exclude it",IF(AND(B47="Finite with a cutoff",C47=""),"Add the cutoff rule",IF(AND(F47="Yes",L47=0),"No values kept yet",""))))</f>
        <v/>
      </c>
      <c r="P47">
        <f>IF(AND(A47&lt;&gt;"",F47="Yes"),SUMPRODUCT(($F$3:F47="Yes")*(LEN($A$3:A47)&gt;0)),"")</f>
        <v/>
      </c>
    </row>
    <row r="48">
      <c r="K48">
        <f>IF(A48="","",COUNTIF(Values!$A$3:$A$502,SUBSTITUTE(SUBSTITUTE(A48,"?","~?"),"*","~*")))</f>
        <v/>
      </c>
      <c r="L48">
        <f>IF(A48="","",COUNTIFS(Values!$A$3:$A$502,SUBSTITUTE(SUBSTITUTE(A48,"?","~?"),"*","~*"),Values!$I$3:$I$502,"Yes"))</f>
        <v/>
      </c>
      <c r="M48">
        <f>IF(A48="","",SUMPRODUCT((Values!$A$3:$A$502=A48)*(Values!$I$3:$I$502="Yes")*(LEN(Values!$F$3:$F$502)&gt;0)))</f>
        <v/>
      </c>
      <c r="N48" s="25">
        <f>IF(A48="","",IF(L48=0,"",M48/L48))</f>
        <v/>
      </c>
      <c r="O48">
        <f>IF(A48="","",IF(AND(B48="Infinite",F48="Yes"),"Infinite attribute included: add a cutoff or exclude it",IF(AND(B48="Finite with a cutoff",C48=""),"Add the cutoff rule",IF(AND(F48="Yes",L48=0),"No values kept yet",""))))</f>
        <v/>
      </c>
      <c r="P48">
        <f>IF(AND(A48&lt;&gt;"",F48="Yes"),SUMPRODUCT(($F$3:F48="Yes")*(LEN($A$3:A48)&gt;0)),"")</f>
        <v/>
      </c>
    </row>
    <row r="49">
      <c r="K49">
        <f>IF(A49="","",COUNTIF(Values!$A$3:$A$502,SUBSTITUTE(SUBSTITUTE(A49,"?","~?"),"*","~*")))</f>
        <v/>
      </c>
      <c r="L49">
        <f>IF(A49="","",COUNTIFS(Values!$A$3:$A$502,SUBSTITUTE(SUBSTITUTE(A49,"?","~?"),"*","~*"),Values!$I$3:$I$502,"Yes"))</f>
        <v/>
      </c>
      <c r="M49">
        <f>IF(A49="","",SUMPRODUCT((Values!$A$3:$A$502=A49)*(Values!$I$3:$I$502="Yes")*(LEN(Values!$F$3:$F$502)&gt;0)))</f>
        <v/>
      </c>
      <c r="N49" s="25">
        <f>IF(A49="","",IF(L49=0,"",M49/L49))</f>
        <v/>
      </c>
      <c r="O49">
        <f>IF(A49="","",IF(AND(B49="Infinite",F49="Yes"),"Infinite attribute included: add a cutoff or exclude it",IF(AND(B49="Finite with a cutoff",C49=""),"Add the cutoff rule",IF(AND(F49="Yes",L49=0),"No values kept yet",""))))</f>
        <v/>
      </c>
      <c r="P49">
        <f>IF(AND(A49&lt;&gt;"",F49="Yes"),SUMPRODUCT(($F$3:F49="Yes")*(LEN($A$3:A49)&gt;0)),"")</f>
        <v/>
      </c>
    </row>
    <row r="50">
      <c r="K50">
        <f>IF(A50="","",COUNTIF(Values!$A$3:$A$502,SUBSTITUTE(SUBSTITUTE(A50,"?","~?"),"*","~*")))</f>
        <v/>
      </c>
      <c r="L50">
        <f>IF(A50="","",COUNTIFS(Values!$A$3:$A$502,SUBSTITUTE(SUBSTITUTE(A50,"?","~?"),"*","~*"),Values!$I$3:$I$502,"Yes"))</f>
        <v/>
      </c>
      <c r="M50">
        <f>IF(A50="","",SUMPRODUCT((Values!$A$3:$A$502=A50)*(Values!$I$3:$I$502="Yes")*(LEN(Values!$F$3:$F$502)&gt;0)))</f>
        <v/>
      </c>
      <c r="N50" s="25">
        <f>IF(A50="","",IF(L50=0,"",M50/L50))</f>
        <v/>
      </c>
      <c r="O50">
        <f>IF(A50="","",IF(AND(B50="Infinite",F50="Yes"),"Infinite attribute included: add a cutoff or exclude it",IF(AND(B50="Finite with a cutoff",C50=""),"Add the cutoff rule",IF(AND(F50="Yes",L50=0),"No values kept yet",""))))</f>
        <v/>
      </c>
      <c r="P50">
        <f>IF(AND(A50&lt;&gt;"",F50="Yes"),SUMPRODUCT(($F$3:F50="Yes")*(LEN($A$3:A50)&gt;0)),"")</f>
        <v/>
      </c>
    </row>
    <row r="51">
      <c r="K51">
        <f>IF(A51="","",COUNTIF(Values!$A$3:$A$502,SUBSTITUTE(SUBSTITUTE(A51,"?","~?"),"*","~*")))</f>
        <v/>
      </c>
      <c r="L51">
        <f>IF(A51="","",COUNTIFS(Values!$A$3:$A$502,SUBSTITUTE(SUBSTITUTE(A51,"?","~?"),"*","~*"),Values!$I$3:$I$502,"Yes"))</f>
        <v/>
      </c>
      <c r="M51">
        <f>IF(A51="","",SUMPRODUCT((Values!$A$3:$A$502=A51)*(Values!$I$3:$I$502="Yes")*(LEN(Values!$F$3:$F$502)&gt;0)))</f>
        <v/>
      </c>
      <c r="N51" s="25">
        <f>IF(A51="","",IF(L51=0,"",M51/L51))</f>
        <v/>
      </c>
      <c r="O51">
        <f>IF(A51="","",IF(AND(B51="Infinite",F51="Yes"),"Infinite attribute included: add a cutoff or exclude it",IF(AND(B51="Finite with a cutoff",C51=""),"Add the cutoff rule",IF(AND(F51="Yes",L51=0),"No values kept yet",""))))</f>
        <v/>
      </c>
      <c r="P51">
        <f>IF(AND(A51&lt;&gt;"",F51="Yes"),SUMPRODUCT(($F$3:F51="Yes")*(LEN($A$3:A51)&gt;0)),"")</f>
        <v/>
      </c>
    </row>
    <row r="52">
      <c r="K52">
        <f>IF(A52="","",COUNTIF(Values!$A$3:$A$502,SUBSTITUTE(SUBSTITUTE(A52,"?","~?"),"*","~*")))</f>
        <v/>
      </c>
      <c r="L52">
        <f>IF(A52="","",COUNTIFS(Values!$A$3:$A$502,SUBSTITUTE(SUBSTITUTE(A52,"?","~?"),"*","~*"),Values!$I$3:$I$502,"Yes"))</f>
        <v/>
      </c>
      <c r="M52">
        <f>IF(A52="","",SUMPRODUCT((Values!$A$3:$A$502=A52)*(Values!$I$3:$I$502="Yes")*(LEN(Values!$F$3:$F$502)&gt;0)))</f>
        <v/>
      </c>
      <c r="N52" s="25">
        <f>IF(A52="","",IF(L52=0,"",M52/L52))</f>
        <v/>
      </c>
      <c r="O52">
        <f>IF(A52="","",IF(AND(B52="Infinite",F52="Yes"),"Infinite attribute included: add a cutoff or exclude it",IF(AND(B52="Finite with a cutoff",C52=""),"Add the cutoff rule",IF(AND(F52="Yes",L52=0),"No values kept yet",""))))</f>
        <v/>
      </c>
      <c r="P52">
        <f>IF(AND(A52&lt;&gt;"",F52="Yes"),SUMPRODUCT(($F$3:F52="Yes")*(LEN($A$3:A52)&gt;0)),"")</f>
        <v/>
      </c>
    </row>
  </sheetData>
  <autoFilter ref="A2:P52"/>
  <conditionalFormatting sqref="A3:J52">
    <cfRule type="expression" priority="1" dxfId="0">
      <formula>AND($A3&lt;&gt;"",MOD(ROW(),2)=0)</formula>
    </cfRule>
  </conditionalFormatting>
  <conditionalFormatting sqref="O3:O52">
    <cfRule type="expression" priority="2" dxfId="1">
      <formula>$O3&lt;&gt;""</formula>
    </cfRule>
  </conditionalFormatting>
  <conditionalFormatting sqref="F3:F52">
    <cfRule type="expression" priority="3" dxfId="2">
      <formula>$F3="No"</formula>
    </cfRule>
  </conditionalFormatting>
  <dataValidations count="4">
    <dataValidation sqref="B3:B52" showDropDown="0" showInputMessage="0" showErrorMessage="1" allowBlank="1" type="list" errorStyle="stop">
      <formula1>"Finite,Finite with a cutoff,Infinite"</formula1>
    </dataValidation>
    <dataValidation sqref="D3:D52" showDropDown="0" showInputMessage="0" showErrorMessage="1" allowBlank="1" type="list" errorStyle="stop">
      <formula1>"Informational,Commercial,Transactional,Navigational"</formula1>
    </dataValidation>
    <dataValidation sqref="E3:E52" showDropDown="0" showInputMessage="0" showErrorMessage="1" allowBlank="1" type="list" errorStyle="stop">
      <formula1>"1,2,3"</formula1>
    </dataValidation>
    <dataValidation sqref="F3:F52" showDropDown="0" showInputMessage="0" showErrorMessage="1" allowBlank="1" type="list" errorStyle="stop">
      <formula1>"Yes,No"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6" customWidth="1" min="2" max="2"/>
    <col width="13" customWidth="1" min="3" max="3"/>
    <col width="13" customWidth="1" min="4" max="4"/>
    <col width="12" customWidth="1" min="5" max="5"/>
    <col width="40" customWidth="1" min="6" max="6"/>
    <col width="36" customWidth="1" min="7" max="7"/>
    <col width="12" customWidth="1" min="8" max="8"/>
    <col width="8" customWidth="1" min="9" max="9"/>
    <col width="9" customWidth="1" min="10" max="10"/>
    <col width="9" customWidth="1" min="11" max="11"/>
    <col width="20" customWidth="1" min="12" max="12"/>
    <col width="9" customWidth="1" min="13" max="13"/>
    <col width="20" customWidth="1" min="14" max="14"/>
    <col width="9" customWidth="1" min="15" max="15"/>
  </cols>
  <sheetData>
    <row r="1">
      <c r="A1" s="19" t="inlineStr">
        <is>
          <t>3. VALUES: the specific values each attribute takes (sub-entities welcome)</t>
        </is>
      </c>
      <c r="B1" s="20" t="n"/>
      <c r="C1" s="20" t="n"/>
      <c r="D1" s="20" t="n"/>
      <c r="E1" s="20" t="n"/>
      <c r="F1" s="20" t="n"/>
      <c r="G1" s="20" t="n"/>
      <c r="H1" s="21" t="inlineStr">
        <is>
          <t>SAMPLE values. Clear A-G and add your own (one value per row).</t>
        </is>
      </c>
      <c r="I1" s="22" t="n"/>
      <c r="J1" s="22" t="n"/>
      <c r="K1" s="22" t="n"/>
      <c r="L1" s="22" t="n"/>
      <c r="M1" s="22" t="n"/>
      <c r="N1" s="22" t="n"/>
      <c r="O1" s="22" t="n"/>
    </row>
    <row r="2" ht="34" customHeight="1">
      <c r="A2" s="23" t="inlineStr">
        <is>
          <t>Attribute</t>
        </is>
      </c>
      <c r="B2" s="23" t="inlineStr">
        <is>
          <t>Value / sub-entity</t>
        </is>
      </c>
      <c r="C2" s="23" t="inlineStr">
        <is>
          <t>Is it an entity itself?</t>
        </is>
      </c>
      <c r="D2" s="23" t="inlineStr">
        <is>
          <t>Real user benefit?</t>
        </is>
      </c>
      <c r="E2" s="23" t="inlineStr">
        <is>
          <t>Search volume (optional)</t>
        </is>
      </c>
      <c r="F2" s="23" t="inlineStr">
        <is>
          <t>Existing URL (coverage)</t>
        </is>
      </c>
      <c r="G2" s="23" t="inlineStr">
        <is>
          <t>Notes</t>
        </is>
      </c>
      <c r="H2" s="24" t="inlineStr">
        <is>
          <t>Attribute included?</t>
        </is>
      </c>
      <c r="I2" s="24" t="inlineStr">
        <is>
          <t>Keep?</t>
        </is>
      </c>
      <c r="J2" s="24" t="inlineStr">
        <is>
          <t>Map order (helper)</t>
        </is>
      </c>
      <c r="K2" s="24" t="inlineStr">
        <is>
          <t>Position in attribute</t>
        </is>
      </c>
      <c r="L2" s="24" t="inlineStr">
        <is>
          <t>Key (helper)</t>
        </is>
      </c>
      <c r="M2" s="24" t="inlineStr">
        <is>
          <t>Kept in attribute</t>
        </is>
      </c>
      <c r="N2" s="24" t="inlineStr">
        <is>
          <t>Sibling value</t>
        </is>
      </c>
      <c r="O2" s="24" t="inlineStr">
        <is>
          <t>Sibling map order (helper)</t>
        </is>
      </c>
    </row>
    <row r="3">
      <c r="A3" t="inlineStr">
        <is>
          <t>Terrain</t>
        </is>
      </c>
      <c r="B3" t="inlineStr">
        <is>
          <t>road</t>
        </is>
      </c>
      <c r="C3" t="inlineStr">
        <is>
          <t>No</t>
        </is>
      </c>
      <c r="D3" t="inlineStr">
        <is>
          <t>Yes</t>
        </is>
      </c>
      <c r="E3" t="n">
        <v>6600</v>
      </c>
      <c r="F3" t="inlineStr">
        <is>
          <t>https://www.stride-example.com/road-running-shoes/</t>
        </is>
      </c>
      <c r="H3">
        <f>IF(A3="","",IFERROR(INDEX(Attributes!$F$3:$F$52,MATCH(A3,Attributes!$A$3:$A$52,0))&amp;"","Unknown attribute"))</f>
        <v/>
      </c>
      <c r="I3">
        <f>IF(OR(A3="",B3=""),"",IF(AND(H3="Yes",D3&lt;&gt;"No"),"Yes","No"))</f>
        <v/>
      </c>
      <c r="J3">
        <f>IF(I3="Yes",COUNTIF($I$3:I3,"Yes"),"")</f>
        <v/>
      </c>
      <c r="K3">
        <f>IF(I3&lt;&gt;"Yes","",COUNTIFS($A$3:A3,SUBSTITUTE(SUBSTITUTE(A3,"?","~?"),"*","~*"),$I$3:I3,"Yes"))</f>
        <v/>
      </c>
      <c r="L3">
        <f>IF(K3="","",A3&amp;"|"&amp;K3)</f>
        <v/>
      </c>
      <c r="M3">
        <f>IF(I3&lt;&gt;"Yes","",COUNTIFS(Values!$A$3:$A$502,SUBSTITUTE(SUBSTITUTE(A3,"?","~?"),"*","~*"),Values!$I$3:$I$502,"Yes"))</f>
        <v/>
      </c>
      <c r="N3">
        <f>IF(I3&lt;&gt;"Yes","",IF(M3&lt;2,"",INDEX(Values!$B$3:$B$502,MATCH(A3&amp;"|"&amp;IF(K3=M3,1,K3+1),Values!$L$3:$L$502,0))))</f>
        <v/>
      </c>
      <c r="O3">
        <f>IF(N3="","",INDEX(Values!$J$3:$J$502,MATCH(A3&amp;"|"&amp;IF(K3=M3,1,K3+1),Values!$L$3:$L$502,0)))</f>
        <v/>
      </c>
    </row>
    <row r="4">
      <c r="A4" t="inlineStr">
        <is>
          <t>Terrain</t>
        </is>
      </c>
      <c r="B4" t="inlineStr">
        <is>
          <t>trail</t>
        </is>
      </c>
      <c r="C4" t="inlineStr">
        <is>
          <t>No</t>
        </is>
      </c>
      <c r="D4" t="inlineStr">
        <is>
          <t>Yes</t>
        </is>
      </c>
      <c r="E4" t="n">
        <v>9900</v>
      </c>
      <c r="F4" t="inlineStr">
        <is>
          <t>https://www.stride-example.com/trail-running-shoes/</t>
        </is>
      </c>
      <c r="H4">
        <f>IF(A4="","",IFERROR(INDEX(Attributes!$F$3:$F$52,MATCH(A4,Attributes!$A$3:$A$52,0))&amp;"","Unknown attribute"))</f>
        <v/>
      </c>
      <c r="I4">
        <f>IF(OR(A4="",B4=""),"",IF(AND(H4="Yes",D4&lt;&gt;"No"),"Yes","No"))</f>
        <v/>
      </c>
      <c r="J4">
        <f>IF(I4="Yes",COUNTIF($I$3:I4,"Yes"),"")</f>
        <v/>
      </c>
      <c r="K4">
        <f>IF(I4&lt;&gt;"Yes","",COUNTIFS($A$3:A4,SUBSTITUTE(SUBSTITUTE(A4,"?","~?"),"*","~*"),$I$3:I4,"Yes"))</f>
        <v/>
      </c>
      <c r="L4">
        <f>IF(K4="","",A4&amp;"|"&amp;K4)</f>
        <v/>
      </c>
      <c r="M4">
        <f>IF(I4&lt;&gt;"Yes","",COUNTIFS(Values!$A$3:$A$502,SUBSTITUTE(SUBSTITUTE(A4,"?","~?"),"*","~*"),Values!$I$3:$I$502,"Yes"))</f>
        <v/>
      </c>
      <c r="N4">
        <f>IF(I4&lt;&gt;"Yes","",IF(M4&lt;2,"",INDEX(Values!$B$3:$B$502,MATCH(A4&amp;"|"&amp;IF(K4=M4,1,K4+1),Values!$L$3:$L$502,0))))</f>
        <v/>
      </c>
      <c r="O4">
        <f>IF(N4="","",INDEX(Values!$J$3:$J$502,MATCH(A4&amp;"|"&amp;IF(K4=M4,1,K4+1),Values!$L$3:$L$502,0)))</f>
        <v/>
      </c>
    </row>
    <row r="5">
      <c r="A5" t="inlineStr">
        <is>
          <t>Terrain</t>
        </is>
      </c>
      <c r="B5" t="inlineStr">
        <is>
          <t>track</t>
        </is>
      </c>
      <c r="C5" t="inlineStr">
        <is>
          <t>No</t>
        </is>
      </c>
      <c r="D5" t="inlineStr">
        <is>
          <t>Yes</t>
        </is>
      </c>
      <c r="E5" t="n">
        <v>320</v>
      </c>
      <c r="H5">
        <f>IF(A5="","",IFERROR(INDEX(Attributes!$F$3:$F$52,MATCH(A5,Attributes!$A$3:$A$52,0))&amp;"","Unknown attribute"))</f>
        <v/>
      </c>
      <c r="I5">
        <f>IF(OR(A5="",B5=""),"",IF(AND(H5="Yes",D5&lt;&gt;"No"),"Yes","No"))</f>
        <v/>
      </c>
      <c r="J5">
        <f>IF(I5="Yes",COUNTIF($I$3:I5,"Yes"),"")</f>
        <v/>
      </c>
      <c r="K5">
        <f>IF(I5&lt;&gt;"Yes","",COUNTIFS($A$3:A5,SUBSTITUTE(SUBSTITUTE(A5,"?","~?"),"*","~*"),$I$3:I5,"Yes"))</f>
        <v/>
      </c>
      <c r="L5">
        <f>IF(K5="","",A5&amp;"|"&amp;K5)</f>
        <v/>
      </c>
      <c r="M5">
        <f>IF(I5&lt;&gt;"Yes","",COUNTIFS(Values!$A$3:$A$502,SUBSTITUTE(SUBSTITUTE(A5,"?","~?"),"*","~*"),Values!$I$3:$I$502,"Yes"))</f>
        <v/>
      </c>
      <c r="N5">
        <f>IF(I5&lt;&gt;"Yes","",IF(M5&lt;2,"",INDEX(Values!$B$3:$B$502,MATCH(A5&amp;"|"&amp;IF(K5=M5,1,K5+1),Values!$L$3:$L$502,0))))</f>
        <v/>
      </c>
      <c r="O5">
        <f>IF(N5="","",INDEX(Values!$J$3:$J$502,MATCH(A5&amp;"|"&amp;IF(K5=M5,1,K5+1),Values!$L$3:$L$502,0)))</f>
        <v/>
      </c>
    </row>
    <row r="6">
      <c r="A6" t="inlineStr">
        <is>
          <t>Terrain</t>
        </is>
      </c>
      <c r="B6" t="inlineStr">
        <is>
          <t>treadmill</t>
        </is>
      </c>
      <c r="C6" t="inlineStr">
        <is>
          <t>No</t>
        </is>
      </c>
      <c r="D6" t="inlineStr">
        <is>
          <t>Unsure</t>
        </is>
      </c>
      <c r="E6" t="n">
        <v>590</v>
      </c>
      <c r="G6" t="inlineStr">
        <is>
          <t>Check the SERP: mostly treadmill reviews?</t>
        </is>
      </c>
      <c r="H6">
        <f>IF(A6="","",IFERROR(INDEX(Attributes!$F$3:$F$52,MATCH(A6,Attributes!$A$3:$A$52,0))&amp;"","Unknown attribute"))</f>
        <v/>
      </c>
      <c r="I6">
        <f>IF(OR(A6="",B6=""),"",IF(AND(H6="Yes",D6&lt;&gt;"No"),"Yes","No"))</f>
        <v/>
      </c>
      <c r="J6">
        <f>IF(I6="Yes",COUNTIF($I$3:I6,"Yes"),"")</f>
        <v/>
      </c>
      <c r="K6">
        <f>IF(I6&lt;&gt;"Yes","",COUNTIFS($A$3:A6,SUBSTITUTE(SUBSTITUTE(A6,"?","~?"),"*","~*"),$I$3:I6,"Yes"))</f>
        <v/>
      </c>
      <c r="L6">
        <f>IF(K6="","",A6&amp;"|"&amp;K6)</f>
        <v/>
      </c>
      <c r="M6">
        <f>IF(I6&lt;&gt;"Yes","",COUNTIFS(Values!$A$3:$A$502,SUBSTITUTE(SUBSTITUTE(A6,"?","~?"),"*","~*"),Values!$I$3:$I$502,"Yes"))</f>
        <v/>
      </c>
      <c r="N6">
        <f>IF(I6&lt;&gt;"Yes","",IF(M6&lt;2,"",INDEX(Values!$B$3:$B$502,MATCH(A6&amp;"|"&amp;IF(K6=M6,1,K6+1),Values!$L$3:$L$502,0))))</f>
        <v/>
      </c>
      <c r="O6">
        <f>IF(N6="","",INDEX(Values!$J$3:$J$502,MATCH(A6&amp;"|"&amp;IF(K6=M6,1,K6+1),Values!$L$3:$L$502,0)))</f>
        <v/>
      </c>
    </row>
    <row r="7">
      <c r="A7" t="inlineStr">
        <is>
          <t>Distance</t>
        </is>
      </c>
      <c r="B7" t="inlineStr">
        <is>
          <t>5K</t>
        </is>
      </c>
      <c r="C7" t="inlineStr">
        <is>
          <t>No</t>
        </is>
      </c>
      <c r="D7" t="inlineStr">
        <is>
          <t>Yes</t>
        </is>
      </c>
      <c r="E7" t="n">
        <v>210</v>
      </c>
      <c r="H7">
        <f>IF(A7="","",IFERROR(INDEX(Attributes!$F$3:$F$52,MATCH(A7,Attributes!$A$3:$A$52,0))&amp;"","Unknown attribute"))</f>
        <v/>
      </c>
      <c r="I7">
        <f>IF(OR(A7="",B7=""),"",IF(AND(H7="Yes",D7&lt;&gt;"No"),"Yes","No"))</f>
        <v/>
      </c>
      <c r="J7">
        <f>IF(I7="Yes",COUNTIF($I$3:I7,"Yes"),"")</f>
        <v/>
      </c>
      <c r="K7">
        <f>IF(I7&lt;&gt;"Yes","",COUNTIFS($A$3:A7,SUBSTITUTE(SUBSTITUTE(A7,"?","~?"),"*","~*"),$I$3:I7,"Yes"))</f>
        <v/>
      </c>
      <c r="L7">
        <f>IF(K7="","",A7&amp;"|"&amp;K7)</f>
        <v/>
      </c>
      <c r="M7">
        <f>IF(I7&lt;&gt;"Yes","",COUNTIFS(Values!$A$3:$A$502,SUBSTITUTE(SUBSTITUTE(A7,"?","~?"),"*","~*"),Values!$I$3:$I$502,"Yes"))</f>
        <v/>
      </c>
      <c r="N7">
        <f>IF(I7&lt;&gt;"Yes","",IF(M7&lt;2,"",INDEX(Values!$B$3:$B$502,MATCH(A7&amp;"|"&amp;IF(K7=M7,1,K7+1),Values!$L$3:$L$502,0))))</f>
        <v/>
      </c>
      <c r="O7">
        <f>IF(N7="","",INDEX(Values!$J$3:$J$502,MATCH(A7&amp;"|"&amp;IF(K7=M7,1,K7+1),Values!$L$3:$L$502,0)))</f>
        <v/>
      </c>
    </row>
    <row r="8">
      <c r="A8" t="inlineStr">
        <is>
          <t>Distance</t>
        </is>
      </c>
      <c r="B8" t="inlineStr">
        <is>
          <t>half marathon</t>
        </is>
      </c>
      <c r="C8" t="inlineStr">
        <is>
          <t>No</t>
        </is>
      </c>
      <c r="D8" t="inlineStr">
        <is>
          <t>Yes</t>
        </is>
      </c>
      <c r="E8" t="n">
        <v>480</v>
      </c>
      <c r="H8">
        <f>IF(A8="","",IFERROR(INDEX(Attributes!$F$3:$F$52,MATCH(A8,Attributes!$A$3:$A$52,0))&amp;"","Unknown attribute"))</f>
        <v/>
      </c>
      <c r="I8">
        <f>IF(OR(A8="",B8=""),"",IF(AND(H8="Yes",D8&lt;&gt;"No"),"Yes","No"))</f>
        <v/>
      </c>
      <c r="J8">
        <f>IF(I8="Yes",COUNTIF($I$3:I8,"Yes"),"")</f>
        <v/>
      </c>
      <c r="K8">
        <f>IF(I8&lt;&gt;"Yes","",COUNTIFS($A$3:A8,SUBSTITUTE(SUBSTITUTE(A8,"?","~?"),"*","~*"),$I$3:I8,"Yes"))</f>
        <v/>
      </c>
      <c r="L8">
        <f>IF(K8="","",A8&amp;"|"&amp;K8)</f>
        <v/>
      </c>
      <c r="M8">
        <f>IF(I8&lt;&gt;"Yes","",COUNTIFS(Values!$A$3:$A$502,SUBSTITUTE(SUBSTITUTE(A8,"?","~?"),"*","~*"),Values!$I$3:$I$502,"Yes"))</f>
        <v/>
      </c>
      <c r="N8">
        <f>IF(I8&lt;&gt;"Yes","",IF(M8&lt;2,"",INDEX(Values!$B$3:$B$502,MATCH(A8&amp;"|"&amp;IF(K8=M8,1,K8+1),Values!$L$3:$L$502,0))))</f>
        <v/>
      </c>
      <c r="O8">
        <f>IF(N8="","",INDEX(Values!$J$3:$J$502,MATCH(A8&amp;"|"&amp;IF(K8=M8,1,K8+1),Values!$L$3:$L$502,0)))</f>
        <v/>
      </c>
    </row>
    <row r="9">
      <c r="A9" t="inlineStr">
        <is>
          <t>Distance</t>
        </is>
      </c>
      <c r="B9" t="inlineStr">
        <is>
          <t>marathon</t>
        </is>
      </c>
      <c r="C9" t="inlineStr">
        <is>
          <t>No</t>
        </is>
      </c>
      <c r="D9" t="inlineStr">
        <is>
          <t>Yes</t>
        </is>
      </c>
      <c r="E9" t="n">
        <v>2400</v>
      </c>
      <c r="F9" t="inlineStr">
        <is>
          <t>https://www.stride-example.com/marathon-running-shoes/</t>
        </is>
      </c>
      <c r="H9">
        <f>IF(A9="","",IFERROR(INDEX(Attributes!$F$3:$F$52,MATCH(A9,Attributes!$A$3:$A$52,0))&amp;"","Unknown attribute"))</f>
        <v/>
      </c>
      <c r="I9">
        <f>IF(OR(A9="",B9=""),"",IF(AND(H9="Yes",D9&lt;&gt;"No"),"Yes","No"))</f>
        <v/>
      </c>
      <c r="J9">
        <f>IF(I9="Yes",COUNTIF($I$3:I9,"Yes"),"")</f>
        <v/>
      </c>
      <c r="K9">
        <f>IF(I9&lt;&gt;"Yes","",COUNTIFS($A$3:A9,SUBSTITUTE(SUBSTITUTE(A9,"?","~?"),"*","~*"),$I$3:I9,"Yes"))</f>
        <v/>
      </c>
      <c r="L9">
        <f>IF(K9="","",A9&amp;"|"&amp;K9)</f>
        <v/>
      </c>
      <c r="M9">
        <f>IF(I9&lt;&gt;"Yes","",COUNTIFS(Values!$A$3:$A$502,SUBSTITUTE(SUBSTITUTE(A9,"?","~?"),"*","~*"),Values!$I$3:$I$502,"Yes"))</f>
        <v/>
      </c>
      <c r="N9">
        <f>IF(I9&lt;&gt;"Yes","",IF(M9&lt;2,"",INDEX(Values!$B$3:$B$502,MATCH(A9&amp;"|"&amp;IF(K9=M9,1,K9+1),Values!$L$3:$L$502,0))))</f>
        <v/>
      </c>
      <c r="O9">
        <f>IF(N9="","",INDEX(Values!$J$3:$J$502,MATCH(A9&amp;"|"&amp;IF(K9=M9,1,K9+1),Values!$L$3:$L$502,0)))</f>
        <v/>
      </c>
    </row>
    <row r="10">
      <c r="A10" t="inlineStr">
        <is>
          <t>Distance</t>
        </is>
      </c>
      <c r="B10" t="inlineStr">
        <is>
          <t>ultramarathon</t>
        </is>
      </c>
      <c r="C10" t="inlineStr">
        <is>
          <t>No</t>
        </is>
      </c>
      <c r="D10" t="inlineStr">
        <is>
          <t>Yes</t>
        </is>
      </c>
      <c r="E10" t="n">
        <v>390</v>
      </c>
      <c r="H10">
        <f>IF(A10="","",IFERROR(INDEX(Attributes!$F$3:$F$52,MATCH(A10,Attributes!$A$3:$A$52,0))&amp;"","Unknown attribute"))</f>
        <v/>
      </c>
      <c r="I10">
        <f>IF(OR(A10="",B10=""),"",IF(AND(H10="Yes",D10&lt;&gt;"No"),"Yes","No"))</f>
        <v/>
      </c>
      <c r="J10">
        <f>IF(I10="Yes",COUNTIF($I$3:I10,"Yes"),"")</f>
        <v/>
      </c>
      <c r="K10">
        <f>IF(I10&lt;&gt;"Yes","",COUNTIFS($A$3:A10,SUBSTITUTE(SUBSTITUTE(A10,"?","~?"),"*","~*"),$I$3:I10,"Yes"))</f>
        <v/>
      </c>
      <c r="L10">
        <f>IF(K10="","",A10&amp;"|"&amp;K10)</f>
        <v/>
      </c>
      <c r="M10">
        <f>IF(I10&lt;&gt;"Yes","",COUNTIFS(Values!$A$3:$A$502,SUBSTITUTE(SUBSTITUTE(A10,"?","~?"),"*","~*"),Values!$I$3:$I$502,"Yes"))</f>
        <v/>
      </c>
      <c r="N10">
        <f>IF(I10&lt;&gt;"Yes","",IF(M10&lt;2,"",INDEX(Values!$B$3:$B$502,MATCH(A10&amp;"|"&amp;IF(K10=M10,1,K10+1),Values!$L$3:$L$502,0))))</f>
        <v/>
      </c>
      <c r="O10">
        <f>IF(N10="","",INDEX(Values!$J$3:$J$502,MATCH(A10&amp;"|"&amp;IF(K10=M10,1,K10+1),Values!$L$3:$L$502,0)))</f>
        <v/>
      </c>
    </row>
    <row r="11">
      <c r="A11" t="inlineStr">
        <is>
          <t>Foot type</t>
        </is>
      </c>
      <c r="B11" t="inlineStr">
        <is>
          <t>wide feet</t>
        </is>
      </c>
      <c r="C11" t="inlineStr">
        <is>
          <t>No</t>
        </is>
      </c>
      <c r="D11" t="inlineStr">
        <is>
          <t>Yes</t>
        </is>
      </c>
      <c r="E11" t="n">
        <v>1900</v>
      </c>
      <c r="F11" t="inlineStr">
        <is>
          <t>https://www.stride-example.com/wide-fit-running-shoes/</t>
        </is>
      </c>
      <c r="H11">
        <f>IF(A11="","",IFERROR(INDEX(Attributes!$F$3:$F$52,MATCH(A11,Attributes!$A$3:$A$52,0))&amp;"","Unknown attribute"))</f>
        <v/>
      </c>
      <c r="I11">
        <f>IF(OR(A11="",B11=""),"",IF(AND(H11="Yes",D11&lt;&gt;"No"),"Yes","No"))</f>
        <v/>
      </c>
      <c r="J11">
        <f>IF(I11="Yes",COUNTIF($I$3:I11,"Yes"),"")</f>
        <v/>
      </c>
      <c r="K11">
        <f>IF(I11&lt;&gt;"Yes","",COUNTIFS($A$3:A11,SUBSTITUTE(SUBSTITUTE(A11,"?","~?"),"*","~*"),$I$3:I11,"Yes"))</f>
        <v/>
      </c>
      <c r="L11">
        <f>IF(K11="","",A11&amp;"|"&amp;K11)</f>
        <v/>
      </c>
      <c r="M11">
        <f>IF(I11&lt;&gt;"Yes","",COUNTIFS(Values!$A$3:$A$502,SUBSTITUTE(SUBSTITUTE(A11,"?","~?"),"*","~*"),Values!$I$3:$I$502,"Yes"))</f>
        <v/>
      </c>
      <c r="N11">
        <f>IF(I11&lt;&gt;"Yes","",IF(M11&lt;2,"",INDEX(Values!$B$3:$B$502,MATCH(A11&amp;"|"&amp;IF(K11=M11,1,K11+1),Values!$L$3:$L$502,0))))</f>
        <v/>
      </c>
      <c r="O11">
        <f>IF(N11="","",INDEX(Values!$J$3:$J$502,MATCH(A11&amp;"|"&amp;IF(K11=M11,1,K11+1),Values!$L$3:$L$502,0)))</f>
        <v/>
      </c>
    </row>
    <row r="12">
      <c r="A12" t="inlineStr">
        <is>
          <t>Foot type</t>
        </is>
      </c>
      <c r="B12" t="inlineStr">
        <is>
          <t>narrow feet</t>
        </is>
      </c>
      <c r="C12" t="inlineStr">
        <is>
          <t>No</t>
        </is>
      </c>
      <c r="D12" t="inlineStr">
        <is>
          <t>Yes</t>
        </is>
      </c>
      <c r="E12" t="n">
        <v>590</v>
      </c>
      <c r="H12">
        <f>IF(A12="","",IFERROR(INDEX(Attributes!$F$3:$F$52,MATCH(A12,Attributes!$A$3:$A$52,0))&amp;"","Unknown attribute"))</f>
        <v/>
      </c>
      <c r="I12">
        <f>IF(OR(A12="",B12=""),"",IF(AND(H12="Yes",D12&lt;&gt;"No"),"Yes","No"))</f>
        <v/>
      </c>
      <c r="J12">
        <f>IF(I12="Yes",COUNTIF($I$3:I12,"Yes"),"")</f>
        <v/>
      </c>
      <c r="K12">
        <f>IF(I12&lt;&gt;"Yes","",COUNTIFS($A$3:A12,SUBSTITUTE(SUBSTITUTE(A12,"?","~?"),"*","~*"),$I$3:I12,"Yes"))</f>
        <v/>
      </c>
      <c r="L12">
        <f>IF(K12="","",A12&amp;"|"&amp;K12)</f>
        <v/>
      </c>
      <c r="M12">
        <f>IF(I12&lt;&gt;"Yes","",COUNTIFS(Values!$A$3:$A$502,SUBSTITUTE(SUBSTITUTE(A12,"?","~?"),"*","~*"),Values!$I$3:$I$502,"Yes"))</f>
        <v/>
      </c>
      <c r="N12">
        <f>IF(I12&lt;&gt;"Yes","",IF(M12&lt;2,"",INDEX(Values!$B$3:$B$502,MATCH(A12&amp;"|"&amp;IF(K12=M12,1,K12+1),Values!$L$3:$L$502,0))))</f>
        <v/>
      </c>
      <c r="O12">
        <f>IF(N12="","",INDEX(Values!$J$3:$J$502,MATCH(A12&amp;"|"&amp;IF(K12=M12,1,K12+1),Values!$L$3:$L$502,0)))</f>
        <v/>
      </c>
    </row>
    <row r="13">
      <c r="A13" t="inlineStr">
        <is>
          <t>Foot type</t>
        </is>
      </c>
      <c r="B13" t="inlineStr">
        <is>
          <t>flat feet</t>
        </is>
      </c>
      <c r="C13" t="inlineStr">
        <is>
          <t>No</t>
        </is>
      </c>
      <c r="D13" t="inlineStr">
        <is>
          <t>Yes</t>
        </is>
      </c>
      <c r="E13" t="n">
        <v>1600</v>
      </c>
      <c r="H13">
        <f>IF(A13="","",IFERROR(INDEX(Attributes!$F$3:$F$52,MATCH(A13,Attributes!$A$3:$A$52,0))&amp;"","Unknown attribute"))</f>
        <v/>
      </c>
      <c r="I13">
        <f>IF(OR(A13="",B13=""),"",IF(AND(H13="Yes",D13&lt;&gt;"No"),"Yes","No"))</f>
        <v/>
      </c>
      <c r="J13">
        <f>IF(I13="Yes",COUNTIF($I$3:I13,"Yes"),"")</f>
        <v/>
      </c>
      <c r="K13">
        <f>IF(I13&lt;&gt;"Yes","",COUNTIFS($A$3:A13,SUBSTITUTE(SUBSTITUTE(A13,"?","~?"),"*","~*"),$I$3:I13,"Yes"))</f>
        <v/>
      </c>
      <c r="L13">
        <f>IF(K13="","",A13&amp;"|"&amp;K13)</f>
        <v/>
      </c>
      <c r="M13">
        <f>IF(I13&lt;&gt;"Yes","",COUNTIFS(Values!$A$3:$A$502,SUBSTITUTE(SUBSTITUTE(A13,"?","~?"),"*","~*"),Values!$I$3:$I$502,"Yes"))</f>
        <v/>
      </c>
      <c r="N13">
        <f>IF(I13&lt;&gt;"Yes","",IF(M13&lt;2,"",INDEX(Values!$B$3:$B$502,MATCH(A13&amp;"|"&amp;IF(K13=M13,1,K13+1),Values!$L$3:$L$502,0))))</f>
        <v/>
      </c>
      <c r="O13">
        <f>IF(N13="","",INDEX(Values!$J$3:$J$502,MATCH(A13&amp;"|"&amp;IF(K13=M13,1,K13+1),Values!$L$3:$L$502,0)))</f>
        <v/>
      </c>
    </row>
    <row r="14">
      <c r="A14" t="inlineStr">
        <is>
          <t>Foot type</t>
        </is>
      </c>
      <c r="B14" t="inlineStr">
        <is>
          <t>high arches</t>
        </is>
      </c>
      <c r="C14" t="inlineStr">
        <is>
          <t>No</t>
        </is>
      </c>
      <c r="D14" t="inlineStr">
        <is>
          <t>Yes</t>
        </is>
      </c>
      <c r="E14" t="n">
        <v>880</v>
      </c>
      <c r="H14">
        <f>IF(A14="","",IFERROR(INDEX(Attributes!$F$3:$F$52,MATCH(A14,Attributes!$A$3:$A$52,0))&amp;"","Unknown attribute"))</f>
        <v/>
      </c>
      <c r="I14">
        <f>IF(OR(A14="",B14=""),"",IF(AND(H14="Yes",D14&lt;&gt;"No"),"Yes","No"))</f>
        <v/>
      </c>
      <c r="J14">
        <f>IF(I14="Yes",COUNTIF($I$3:I14,"Yes"),"")</f>
        <v/>
      </c>
      <c r="K14">
        <f>IF(I14&lt;&gt;"Yes","",COUNTIFS($A$3:A14,SUBSTITUTE(SUBSTITUTE(A14,"?","~?"),"*","~*"),$I$3:I14,"Yes"))</f>
        <v/>
      </c>
      <c r="L14">
        <f>IF(K14="","",A14&amp;"|"&amp;K14)</f>
        <v/>
      </c>
      <c r="M14">
        <f>IF(I14&lt;&gt;"Yes","",COUNTIFS(Values!$A$3:$A$502,SUBSTITUTE(SUBSTITUTE(A14,"?","~?"),"*","~*"),Values!$I$3:$I$502,"Yes"))</f>
        <v/>
      </c>
      <c r="N14">
        <f>IF(I14&lt;&gt;"Yes","",IF(M14&lt;2,"",INDEX(Values!$B$3:$B$502,MATCH(A14&amp;"|"&amp;IF(K14=M14,1,K14+1),Values!$L$3:$L$502,0))))</f>
        <v/>
      </c>
      <c r="O14">
        <f>IF(N14="","",INDEX(Values!$J$3:$J$502,MATCH(A14&amp;"|"&amp;IF(K14=M14,1,K14+1),Values!$L$3:$L$502,0)))</f>
        <v/>
      </c>
    </row>
    <row r="15">
      <c r="A15" t="inlineStr">
        <is>
          <t>Foot type</t>
        </is>
      </c>
      <c r="B15" t="inlineStr">
        <is>
          <t>overpronation</t>
        </is>
      </c>
      <c r="C15" t="inlineStr">
        <is>
          <t>Yes</t>
        </is>
      </c>
      <c r="D15" t="inlineStr">
        <is>
          <t>Yes</t>
        </is>
      </c>
      <c r="E15" t="n">
        <v>1300</v>
      </c>
      <c r="G15" t="inlineStr">
        <is>
          <t>A concept entity in its own right</t>
        </is>
      </c>
      <c r="H15">
        <f>IF(A15="","",IFERROR(INDEX(Attributes!$F$3:$F$52,MATCH(A15,Attributes!$A$3:$A$52,0))&amp;"","Unknown attribute"))</f>
        <v/>
      </c>
      <c r="I15">
        <f>IF(OR(A15="",B15=""),"",IF(AND(H15="Yes",D15&lt;&gt;"No"),"Yes","No"))</f>
        <v/>
      </c>
      <c r="J15">
        <f>IF(I15="Yes",COUNTIF($I$3:I15,"Yes"),"")</f>
        <v/>
      </c>
      <c r="K15">
        <f>IF(I15&lt;&gt;"Yes","",COUNTIFS($A$3:A15,SUBSTITUTE(SUBSTITUTE(A15,"?","~?"),"*","~*"),$I$3:I15,"Yes"))</f>
        <v/>
      </c>
      <c r="L15">
        <f>IF(K15="","",A15&amp;"|"&amp;K15)</f>
        <v/>
      </c>
      <c r="M15">
        <f>IF(I15&lt;&gt;"Yes","",COUNTIFS(Values!$A$3:$A$502,SUBSTITUTE(SUBSTITUTE(A15,"?","~?"),"*","~*"),Values!$I$3:$I$502,"Yes"))</f>
        <v/>
      </c>
      <c r="N15">
        <f>IF(I15&lt;&gt;"Yes","",IF(M15&lt;2,"",INDEX(Values!$B$3:$B$502,MATCH(A15&amp;"|"&amp;IF(K15=M15,1,K15+1),Values!$L$3:$L$502,0))))</f>
        <v/>
      </c>
      <c r="O15">
        <f>IF(N15="","",INDEX(Values!$J$3:$J$502,MATCH(A15&amp;"|"&amp;IF(K15=M15,1,K15+1),Values!$L$3:$L$502,0)))</f>
        <v/>
      </c>
    </row>
    <row r="16">
      <c r="A16" t="inlineStr">
        <is>
          <t>Cushioning</t>
        </is>
      </c>
      <c r="B16" t="inlineStr">
        <is>
          <t>minimalist</t>
        </is>
      </c>
      <c r="C16" t="inlineStr">
        <is>
          <t>No</t>
        </is>
      </c>
      <c r="D16" t="inlineStr">
        <is>
          <t>Yes</t>
        </is>
      </c>
      <c r="E16" t="n">
        <v>720</v>
      </c>
      <c r="H16">
        <f>IF(A16="","",IFERROR(INDEX(Attributes!$F$3:$F$52,MATCH(A16,Attributes!$A$3:$A$52,0))&amp;"","Unknown attribute"))</f>
        <v/>
      </c>
      <c r="I16">
        <f>IF(OR(A16="",B16=""),"",IF(AND(H16="Yes",D16&lt;&gt;"No"),"Yes","No"))</f>
        <v/>
      </c>
      <c r="J16">
        <f>IF(I16="Yes",COUNTIF($I$3:I16,"Yes"),"")</f>
        <v/>
      </c>
      <c r="K16">
        <f>IF(I16&lt;&gt;"Yes","",COUNTIFS($A$3:A16,SUBSTITUTE(SUBSTITUTE(A16,"?","~?"),"*","~*"),$I$3:I16,"Yes"))</f>
        <v/>
      </c>
      <c r="L16">
        <f>IF(K16="","",A16&amp;"|"&amp;K16)</f>
        <v/>
      </c>
      <c r="M16">
        <f>IF(I16&lt;&gt;"Yes","",COUNTIFS(Values!$A$3:$A$502,SUBSTITUTE(SUBSTITUTE(A16,"?","~?"),"*","~*"),Values!$I$3:$I$502,"Yes"))</f>
        <v/>
      </c>
      <c r="N16">
        <f>IF(I16&lt;&gt;"Yes","",IF(M16&lt;2,"",INDEX(Values!$B$3:$B$502,MATCH(A16&amp;"|"&amp;IF(K16=M16,1,K16+1),Values!$L$3:$L$502,0))))</f>
        <v/>
      </c>
      <c r="O16">
        <f>IF(N16="","",INDEX(Values!$J$3:$J$502,MATCH(A16&amp;"|"&amp;IF(K16=M16,1,K16+1),Values!$L$3:$L$502,0)))</f>
        <v/>
      </c>
    </row>
    <row r="17">
      <c r="A17" t="inlineStr">
        <is>
          <t>Cushioning</t>
        </is>
      </c>
      <c r="B17" t="inlineStr">
        <is>
          <t>max-cushion</t>
        </is>
      </c>
      <c r="C17" t="inlineStr">
        <is>
          <t>No</t>
        </is>
      </c>
      <c r="D17" t="inlineStr">
        <is>
          <t>Yes</t>
        </is>
      </c>
      <c r="E17" t="n">
        <v>1000</v>
      </c>
      <c r="H17">
        <f>IF(A17="","",IFERROR(INDEX(Attributes!$F$3:$F$52,MATCH(A17,Attributes!$A$3:$A$52,0))&amp;"","Unknown attribute"))</f>
        <v/>
      </c>
      <c r="I17">
        <f>IF(OR(A17="",B17=""),"",IF(AND(H17="Yes",D17&lt;&gt;"No"),"Yes","No"))</f>
        <v/>
      </c>
      <c r="J17">
        <f>IF(I17="Yes",COUNTIF($I$3:I17,"Yes"),"")</f>
        <v/>
      </c>
      <c r="K17">
        <f>IF(I17&lt;&gt;"Yes","",COUNTIFS($A$3:A17,SUBSTITUTE(SUBSTITUTE(A17,"?","~?"),"*","~*"),$I$3:I17,"Yes"))</f>
        <v/>
      </c>
      <c r="L17">
        <f>IF(K17="","",A17&amp;"|"&amp;K17)</f>
        <v/>
      </c>
      <c r="M17">
        <f>IF(I17&lt;&gt;"Yes","",COUNTIFS(Values!$A$3:$A$502,SUBSTITUTE(SUBSTITUTE(A17,"?","~?"),"*","~*"),Values!$I$3:$I$502,"Yes"))</f>
        <v/>
      </c>
      <c r="N17">
        <f>IF(I17&lt;&gt;"Yes","",IF(M17&lt;2,"",INDEX(Values!$B$3:$B$502,MATCH(A17&amp;"|"&amp;IF(K17=M17,1,K17+1),Values!$L$3:$L$502,0))))</f>
        <v/>
      </c>
      <c r="O17">
        <f>IF(N17="","",INDEX(Values!$J$3:$J$502,MATCH(A17&amp;"|"&amp;IF(K17=M17,1,K17+1),Values!$L$3:$L$502,0)))</f>
        <v/>
      </c>
    </row>
    <row r="18">
      <c r="A18" t="inlineStr">
        <is>
          <t>Cushioning</t>
        </is>
      </c>
      <c r="B18" t="inlineStr">
        <is>
          <t>carbon-plate</t>
        </is>
      </c>
      <c r="C18" t="inlineStr">
        <is>
          <t>Yes</t>
        </is>
      </c>
      <c r="D18" t="inlineStr">
        <is>
          <t>Yes</t>
        </is>
      </c>
      <c r="E18" t="n">
        <v>1000</v>
      </c>
      <c r="G18" t="inlineStr">
        <is>
          <t>Technology entity: explain what it is</t>
        </is>
      </c>
      <c r="H18">
        <f>IF(A18="","",IFERROR(INDEX(Attributes!$F$3:$F$52,MATCH(A18,Attributes!$A$3:$A$52,0))&amp;"","Unknown attribute"))</f>
        <v/>
      </c>
      <c r="I18">
        <f>IF(OR(A18="",B18=""),"",IF(AND(H18="Yes",D18&lt;&gt;"No"),"Yes","No"))</f>
        <v/>
      </c>
      <c r="J18">
        <f>IF(I18="Yes",COUNTIF($I$3:I18,"Yes"),"")</f>
        <v/>
      </c>
      <c r="K18">
        <f>IF(I18&lt;&gt;"Yes","",COUNTIFS($A$3:A18,SUBSTITUTE(SUBSTITUTE(A18,"?","~?"),"*","~*"),$I$3:I18,"Yes"))</f>
        <v/>
      </c>
      <c r="L18">
        <f>IF(K18="","",A18&amp;"|"&amp;K18)</f>
        <v/>
      </c>
      <c r="M18">
        <f>IF(I18&lt;&gt;"Yes","",COUNTIFS(Values!$A$3:$A$502,SUBSTITUTE(SUBSTITUTE(A18,"?","~?"),"*","~*"),Values!$I$3:$I$502,"Yes"))</f>
        <v/>
      </c>
      <c r="N18">
        <f>IF(I18&lt;&gt;"Yes","",IF(M18&lt;2,"",INDEX(Values!$B$3:$B$502,MATCH(A18&amp;"|"&amp;IF(K18=M18,1,K18+1),Values!$L$3:$L$502,0))))</f>
        <v/>
      </c>
      <c r="O18">
        <f>IF(N18="","",INDEX(Values!$J$3:$J$502,MATCH(A18&amp;"|"&amp;IF(K18=M18,1,K18+1),Values!$L$3:$L$502,0)))</f>
        <v/>
      </c>
    </row>
    <row r="19">
      <c r="A19" t="inlineStr">
        <is>
          <t>Brand</t>
        </is>
      </c>
      <c r="B19" t="inlineStr">
        <is>
          <t>Hoka</t>
        </is>
      </c>
      <c r="C19" t="inlineStr">
        <is>
          <t>Yes</t>
        </is>
      </c>
      <c r="D19" t="inlineStr">
        <is>
          <t>Yes</t>
        </is>
      </c>
      <c r="E19" t="n">
        <v>12100</v>
      </c>
      <c r="F19" t="inlineStr">
        <is>
          <t>https://www.stride-example.com/brands/hoka/</t>
        </is>
      </c>
      <c r="H19">
        <f>IF(A19="","",IFERROR(INDEX(Attributes!$F$3:$F$52,MATCH(A19,Attributes!$A$3:$A$52,0))&amp;"","Unknown attribute"))</f>
        <v/>
      </c>
      <c r="I19">
        <f>IF(OR(A19="",B19=""),"",IF(AND(H19="Yes",D19&lt;&gt;"No"),"Yes","No"))</f>
        <v/>
      </c>
      <c r="J19">
        <f>IF(I19="Yes",COUNTIF($I$3:I19,"Yes"),"")</f>
        <v/>
      </c>
      <c r="K19">
        <f>IF(I19&lt;&gt;"Yes","",COUNTIFS($A$3:A19,SUBSTITUTE(SUBSTITUTE(A19,"?","~?"),"*","~*"),$I$3:I19,"Yes"))</f>
        <v/>
      </c>
      <c r="L19">
        <f>IF(K19="","",A19&amp;"|"&amp;K19)</f>
        <v/>
      </c>
      <c r="M19">
        <f>IF(I19&lt;&gt;"Yes","",COUNTIFS(Values!$A$3:$A$502,SUBSTITUTE(SUBSTITUTE(A19,"?","~?"),"*","~*"),Values!$I$3:$I$502,"Yes"))</f>
        <v/>
      </c>
      <c r="N19">
        <f>IF(I19&lt;&gt;"Yes","",IF(M19&lt;2,"",INDEX(Values!$B$3:$B$502,MATCH(A19&amp;"|"&amp;IF(K19=M19,1,K19+1),Values!$L$3:$L$502,0))))</f>
        <v/>
      </c>
      <c r="O19">
        <f>IF(N19="","",INDEX(Values!$J$3:$J$502,MATCH(A19&amp;"|"&amp;IF(K19=M19,1,K19+1),Values!$L$3:$L$502,0)))</f>
        <v/>
      </c>
    </row>
    <row r="20">
      <c r="A20" t="inlineStr">
        <is>
          <t>Brand</t>
        </is>
      </c>
      <c r="B20" t="inlineStr">
        <is>
          <t>Brooks</t>
        </is>
      </c>
      <c r="C20" t="inlineStr">
        <is>
          <t>Yes</t>
        </is>
      </c>
      <c r="D20" t="inlineStr">
        <is>
          <t>Yes</t>
        </is>
      </c>
      <c r="E20" t="n">
        <v>8100</v>
      </c>
      <c r="H20">
        <f>IF(A20="","",IFERROR(INDEX(Attributes!$F$3:$F$52,MATCH(A20,Attributes!$A$3:$A$52,0))&amp;"","Unknown attribute"))</f>
        <v/>
      </c>
      <c r="I20">
        <f>IF(OR(A20="",B20=""),"",IF(AND(H20="Yes",D20&lt;&gt;"No"),"Yes","No"))</f>
        <v/>
      </c>
      <c r="J20">
        <f>IF(I20="Yes",COUNTIF($I$3:I20,"Yes"),"")</f>
        <v/>
      </c>
      <c r="K20">
        <f>IF(I20&lt;&gt;"Yes","",COUNTIFS($A$3:A20,SUBSTITUTE(SUBSTITUTE(A20,"?","~?"),"*","~*"),$I$3:I20,"Yes"))</f>
        <v/>
      </c>
      <c r="L20">
        <f>IF(K20="","",A20&amp;"|"&amp;K20)</f>
        <v/>
      </c>
      <c r="M20">
        <f>IF(I20&lt;&gt;"Yes","",COUNTIFS(Values!$A$3:$A$502,SUBSTITUTE(SUBSTITUTE(A20,"?","~?"),"*","~*"),Values!$I$3:$I$502,"Yes"))</f>
        <v/>
      </c>
      <c r="N20">
        <f>IF(I20&lt;&gt;"Yes","",IF(M20&lt;2,"",INDEX(Values!$B$3:$B$502,MATCH(A20&amp;"|"&amp;IF(K20=M20,1,K20+1),Values!$L$3:$L$502,0))))</f>
        <v/>
      </c>
      <c r="O20">
        <f>IF(N20="","",INDEX(Values!$J$3:$J$502,MATCH(A20&amp;"|"&amp;IF(K20=M20,1,K20+1),Values!$L$3:$L$502,0)))</f>
        <v/>
      </c>
    </row>
    <row r="21">
      <c r="A21" t="inlineStr">
        <is>
          <t>Brand</t>
        </is>
      </c>
      <c r="B21" t="inlineStr">
        <is>
          <t>Asics</t>
        </is>
      </c>
      <c r="C21" t="inlineStr">
        <is>
          <t>Yes</t>
        </is>
      </c>
      <c r="D21" t="inlineStr">
        <is>
          <t>Yes</t>
        </is>
      </c>
      <c r="E21" t="n">
        <v>9900</v>
      </c>
      <c r="F21" t="inlineStr">
        <is>
          <t>https://www.stride-example.com/brands/asics/</t>
        </is>
      </c>
      <c r="H21">
        <f>IF(A21="","",IFERROR(INDEX(Attributes!$F$3:$F$52,MATCH(A21,Attributes!$A$3:$A$52,0))&amp;"","Unknown attribute"))</f>
        <v/>
      </c>
      <c r="I21">
        <f>IF(OR(A21="",B21=""),"",IF(AND(H21="Yes",D21&lt;&gt;"No"),"Yes","No"))</f>
        <v/>
      </c>
      <c r="J21">
        <f>IF(I21="Yes",COUNTIF($I$3:I21,"Yes"),"")</f>
        <v/>
      </c>
      <c r="K21">
        <f>IF(I21&lt;&gt;"Yes","",COUNTIFS($A$3:A21,SUBSTITUTE(SUBSTITUTE(A21,"?","~?"),"*","~*"),$I$3:I21,"Yes"))</f>
        <v/>
      </c>
      <c r="L21">
        <f>IF(K21="","",A21&amp;"|"&amp;K21)</f>
        <v/>
      </c>
      <c r="M21">
        <f>IF(I21&lt;&gt;"Yes","",COUNTIFS(Values!$A$3:$A$502,SUBSTITUTE(SUBSTITUTE(A21,"?","~?"),"*","~*"),Values!$I$3:$I$502,"Yes"))</f>
        <v/>
      </c>
      <c r="N21">
        <f>IF(I21&lt;&gt;"Yes","",IF(M21&lt;2,"",INDEX(Values!$B$3:$B$502,MATCH(A21&amp;"|"&amp;IF(K21=M21,1,K21+1),Values!$L$3:$L$502,0))))</f>
        <v/>
      </c>
      <c r="O21">
        <f>IF(N21="","",INDEX(Values!$J$3:$J$502,MATCH(A21&amp;"|"&amp;IF(K21=M21,1,K21+1),Values!$L$3:$L$502,0)))</f>
        <v/>
      </c>
    </row>
    <row r="22">
      <c r="A22" t="inlineStr">
        <is>
          <t>Brand</t>
        </is>
      </c>
      <c r="B22" t="inlineStr">
        <is>
          <t>Saucony</t>
        </is>
      </c>
      <c r="C22" t="inlineStr">
        <is>
          <t>Yes</t>
        </is>
      </c>
      <c r="D22" t="inlineStr">
        <is>
          <t>Yes</t>
        </is>
      </c>
      <c r="E22" t="n">
        <v>4400</v>
      </c>
      <c r="H22">
        <f>IF(A22="","",IFERROR(INDEX(Attributes!$F$3:$F$52,MATCH(A22,Attributes!$A$3:$A$52,0))&amp;"","Unknown attribute"))</f>
        <v/>
      </c>
      <c r="I22">
        <f>IF(OR(A22="",B22=""),"",IF(AND(H22="Yes",D22&lt;&gt;"No"),"Yes","No"))</f>
        <v/>
      </c>
      <c r="J22">
        <f>IF(I22="Yes",COUNTIF($I$3:I22,"Yes"),"")</f>
        <v/>
      </c>
      <c r="K22">
        <f>IF(I22&lt;&gt;"Yes","",COUNTIFS($A$3:A22,SUBSTITUTE(SUBSTITUTE(A22,"?","~?"),"*","~*"),$I$3:I22,"Yes"))</f>
        <v/>
      </c>
      <c r="L22">
        <f>IF(K22="","",A22&amp;"|"&amp;K22)</f>
        <v/>
      </c>
      <c r="M22">
        <f>IF(I22&lt;&gt;"Yes","",COUNTIFS(Values!$A$3:$A$502,SUBSTITUTE(SUBSTITUTE(A22,"?","~?"),"*","~*"),Values!$I$3:$I$502,"Yes"))</f>
        <v/>
      </c>
      <c r="N22">
        <f>IF(I22&lt;&gt;"Yes","",IF(M22&lt;2,"",INDEX(Values!$B$3:$B$502,MATCH(A22&amp;"|"&amp;IF(K22=M22,1,K22+1),Values!$L$3:$L$502,0))))</f>
        <v/>
      </c>
      <c r="O22">
        <f>IF(N22="","",INDEX(Values!$J$3:$J$502,MATCH(A22&amp;"|"&amp;IF(K22=M22,1,K22+1),Values!$L$3:$L$502,0)))</f>
        <v/>
      </c>
    </row>
    <row r="23">
      <c r="A23" t="inlineStr">
        <is>
          <t>Brand</t>
        </is>
      </c>
      <c r="B23" t="inlineStr">
        <is>
          <t>On</t>
        </is>
      </c>
      <c r="C23" t="inlineStr">
        <is>
          <t>Yes</t>
        </is>
      </c>
      <c r="D23" t="inlineStr">
        <is>
          <t>Yes</t>
        </is>
      </c>
      <c r="E23" t="n">
        <v>6600</v>
      </c>
      <c r="H23">
        <f>IF(A23="","",IFERROR(INDEX(Attributes!$F$3:$F$52,MATCH(A23,Attributes!$A$3:$A$52,0))&amp;"","Unknown attribute"))</f>
        <v/>
      </c>
      <c r="I23">
        <f>IF(OR(A23="",B23=""),"",IF(AND(H23="Yes",D23&lt;&gt;"No"),"Yes","No"))</f>
        <v/>
      </c>
      <c r="J23">
        <f>IF(I23="Yes",COUNTIF($I$3:I23,"Yes"),"")</f>
        <v/>
      </c>
      <c r="K23">
        <f>IF(I23&lt;&gt;"Yes","",COUNTIFS($A$3:A23,SUBSTITUTE(SUBSTITUTE(A23,"?","~?"),"*","~*"),$I$3:I23,"Yes"))</f>
        <v/>
      </c>
      <c r="L23">
        <f>IF(K23="","",A23&amp;"|"&amp;K23)</f>
        <v/>
      </c>
      <c r="M23">
        <f>IF(I23&lt;&gt;"Yes","",COUNTIFS(Values!$A$3:$A$502,SUBSTITUTE(SUBSTITUTE(A23,"?","~?"),"*","~*"),Values!$I$3:$I$502,"Yes"))</f>
        <v/>
      </c>
      <c r="N23">
        <f>IF(I23&lt;&gt;"Yes","",IF(M23&lt;2,"",INDEX(Values!$B$3:$B$502,MATCH(A23&amp;"|"&amp;IF(K23=M23,1,K23+1),Values!$L$3:$L$502,0))))</f>
        <v/>
      </c>
      <c r="O23">
        <f>IF(N23="","",INDEX(Values!$J$3:$J$502,MATCH(A23&amp;"|"&amp;IF(K23=M23,1,K23+1),Values!$L$3:$L$502,0)))</f>
        <v/>
      </c>
    </row>
    <row r="24">
      <c r="A24" t="inlineStr">
        <is>
          <t>Runner level</t>
        </is>
      </c>
      <c r="B24" t="inlineStr">
        <is>
          <t>beginners</t>
        </is>
      </c>
      <c r="C24" t="inlineStr">
        <is>
          <t>No</t>
        </is>
      </c>
      <c r="D24" t="inlineStr">
        <is>
          <t>Yes</t>
        </is>
      </c>
      <c r="E24" t="n">
        <v>1300</v>
      </c>
      <c r="H24">
        <f>IF(A24="","",IFERROR(INDEX(Attributes!$F$3:$F$52,MATCH(A24,Attributes!$A$3:$A$52,0))&amp;"","Unknown attribute"))</f>
        <v/>
      </c>
      <c r="I24">
        <f>IF(OR(A24="",B24=""),"",IF(AND(H24="Yes",D24&lt;&gt;"No"),"Yes","No"))</f>
        <v/>
      </c>
      <c r="J24">
        <f>IF(I24="Yes",COUNTIF($I$3:I24,"Yes"),"")</f>
        <v/>
      </c>
      <c r="K24">
        <f>IF(I24&lt;&gt;"Yes","",COUNTIFS($A$3:A24,SUBSTITUTE(SUBSTITUTE(A24,"?","~?"),"*","~*"),$I$3:I24,"Yes"))</f>
        <v/>
      </c>
      <c r="L24">
        <f>IF(K24="","",A24&amp;"|"&amp;K24)</f>
        <v/>
      </c>
      <c r="M24">
        <f>IF(I24&lt;&gt;"Yes","",COUNTIFS(Values!$A$3:$A$502,SUBSTITUTE(SUBSTITUTE(A24,"?","~?"),"*","~*"),Values!$I$3:$I$502,"Yes"))</f>
        <v/>
      </c>
      <c r="N24">
        <f>IF(I24&lt;&gt;"Yes","",IF(M24&lt;2,"",INDEX(Values!$B$3:$B$502,MATCH(A24&amp;"|"&amp;IF(K24=M24,1,K24+1),Values!$L$3:$L$502,0))))</f>
        <v/>
      </c>
      <c r="O24">
        <f>IF(N24="","",INDEX(Values!$J$3:$J$502,MATCH(A24&amp;"|"&amp;IF(K24=M24,1,K24+1),Values!$L$3:$L$502,0)))</f>
        <v/>
      </c>
    </row>
    <row r="25">
      <c r="A25" t="inlineStr">
        <is>
          <t>Runner level</t>
        </is>
      </c>
      <c r="B25" t="inlineStr">
        <is>
          <t>returning from injury</t>
        </is>
      </c>
      <c r="C25" t="inlineStr">
        <is>
          <t>No</t>
        </is>
      </c>
      <c r="D25" t="inlineStr">
        <is>
          <t>Yes</t>
        </is>
      </c>
      <c r="E25" t="n">
        <v>90</v>
      </c>
      <c r="G25" t="inlineStr">
        <is>
          <t>Low volume, real need</t>
        </is>
      </c>
      <c r="H25">
        <f>IF(A25="","",IFERROR(INDEX(Attributes!$F$3:$F$52,MATCH(A25,Attributes!$A$3:$A$52,0))&amp;"","Unknown attribute"))</f>
        <v/>
      </c>
      <c r="I25">
        <f>IF(OR(A25="",B25=""),"",IF(AND(H25="Yes",D25&lt;&gt;"No"),"Yes","No"))</f>
        <v/>
      </c>
      <c r="J25">
        <f>IF(I25="Yes",COUNTIF($I$3:I25,"Yes"),"")</f>
        <v/>
      </c>
      <c r="K25">
        <f>IF(I25&lt;&gt;"Yes","",COUNTIFS($A$3:A25,SUBSTITUTE(SUBSTITUTE(A25,"?","~?"),"*","~*"),$I$3:I25,"Yes"))</f>
        <v/>
      </c>
      <c r="L25">
        <f>IF(K25="","",A25&amp;"|"&amp;K25)</f>
        <v/>
      </c>
      <c r="M25">
        <f>IF(I25&lt;&gt;"Yes","",COUNTIFS(Values!$A$3:$A$502,SUBSTITUTE(SUBSTITUTE(A25,"?","~?"),"*","~*"),Values!$I$3:$I$502,"Yes"))</f>
        <v/>
      </c>
      <c r="N25">
        <f>IF(I25&lt;&gt;"Yes","",IF(M25&lt;2,"",INDEX(Values!$B$3:$B$502,MATCH(A25&amp;"|"&amp;IF(K25=M25,1,K25+1),Values!$L$3:$L$502,0))))</f>
        <v/>
      </c>
      <c r="O25">
        <f>IF(N25="","",INDEX(Values!$J$3:$J$502,MATCH(A25&amp;"|"&amp;IF(K25=M25,1,K25+1),Values!$L$3:$L$502,0)))</f>
        <v/>
      </c>
    </row>
    <row r="26">
      <c r="A26" t="inlineStr">
        <is>
          <t>Runner level</t>
        </is>
      </c>
      <c r="B26" t="inlineStr">
        <is>
          <t>intermediate runners</t>
        </is>
      </c>
      <c r="C26" t="inlineStr">
        <is>
          <t>No</t>
        </is>
      </c>
      <c r="D26" t="inlineStr">
        <is>
          <t>Unsure</t>
        </is>
      </c>
      <c r="E26" t="n">
        <v>50</v>
      </c>
      <c r="H26">
        <f>IF(A26="","",IFERROR(INDEX(Attributes!$F$3:$F$52,MATCH(A26,Attributes!$A$3:$A$52,0))&amp;"","Unknown attribute"))</f>
        <v/>
      </c>
      <c r="I26">
        <f>IF(OR(A26="",B26=""),"",IF(AND(H26="Yes",D26&lt;&gt;"No"),"Yes","No"))</f>
        <v/>
      </c>
      <c r="J26">
        <f>IF(I26="Yes",COUNTIF($I$3:I26,"Yes"),"")</f>
        <v/>
      </c>
      <c r="K26">
        <f>IF(I26&lt;&gt;"Yes","",COUNTIFS($A$3:A26,SUBSTITUTE(SUBSTITUTE(A26,"?","~?"),"*","~*"),$I$3:I26,"Yes"))</f>
        <v/>
      </c>
      <c r="L26">
        <f>IF(K26="","",A26&amp;"|"&amp;K26)</f>
        <v/>
      </c>
      <c r="M26">
        <f>IF(I26&lt;&gt;"Yes","",COUNTIFS(Values!$A$3:$A$502,SUBSTITUTE(SUBSTITUTE(A26,"?","~?"),"*","~*"),Values!$I$3:$I$502,"Yes"))</f>
        <v/>
      </c>
      <c r="N26">
        <f>IF(I26&lt;&gt;"Yes","",IF(M26&lt;2,"",INDEX(Values!$B$3:$B$502,MATCH(A26&amp;"|"&amp;IF(K26=M26,1,K26+1),Values!$L$3:$L$502,0))))</f>
        <v/>
      </c>
      <c r="O26">
        <f>IF(N26="","",INDEX(Values!$J$3:$J$502,MATCH(A26&amp;"|"&amp;IF(K26=M26,1,K26+1),Values!$L$3:$L$502,0)))</f>
        <v/>
      </c>
    </row>
    <row r="27">
      <c r="A27" t="inlineStr">
        <is>
          <t>Price</t>
        </is>
      </c>
      <c r="B27" t="inlineStr">
        <is>
          <t>under £80</t>
        </is>
      </c>
      <c r="C27" t="inlineStr">
        <is>
          <t>No</t>
        </is>
      </c>
      <c r="D27" t="inlineStr">
        <is>
          <t>Yes</t>
        </is>
      </c>
      <c r="E27" t="n">
        <v>880</v>
      </c>
      <c r="F27" t="inlineStr">
        <is>
          <t>https://www.stride-example.com/sale/</t>
        </is>
      </c>
      <c r="H27">
        <f>IF(A27="","",IFERROR(INDEX(Attributes!$F$3:$F$52,MATCH(A27,Attributes!$A$3:$A$52,0))&amp;"","Unknown attribute"))</f>
        <v/>
      </c>
      <c r="I27">
        <f>IF(OR(A27="",B27=""),"",IF(AND(H27="Yes",D27&lt;&gt;"No"),"Yes","No"))</f>
        <v/>
      </c>
      <c r="J27">
        <f>IF(I27="Yes",COUNTIF($I$3:I27,"Yes"),"")</f>
        <v/>
      </c>
      <c r="K27">
        <f>IF(I27&lt;&gt;"Yes","",COUNTIFS($A$3:A27,SUBSTITUTE(SUBSTITUTE(A27,"?","~?"),"*","~*"),$I$3:I27,"Yes"))</f>
        <v/>
      </c>
      <c r="L27">
        <f>IF(K27="","",A27&amp;"|"&amp;K27)</f>
        <v/>
      </c>
      <c r="M27">
        <f>IF(I27&lt;&gt;"Yes","",COUNTIFS(Values!$A$3:$A$502,SUBSTITUTE(SUBSTITUTE(A27,"?","~?"),"*","~*"),Values!$I$3:$I$502,"Yes"))</f>
        <v/>
      </c>
      <c r="N27">
        <f>IF(I27&lt;&gt;"Yes","",IF(M27&lt;2,"",INDEX(Values!$B$3:$B$502,MATCH(A27&amp;"|"&amp;IF(K27=M27,1,K27+1),Values!$L$3:$L$502,0))))</f>
        <v/>
      </c>
      <c r="O27">
        <f>IF(N27="","",INDEX(Values!$J$3:$J$502,MATCH(A27&amp;"|"&amp;IF(K27=M27,1,K27+1),Values!$L$3:$L$502,0)))</f>
        <v/>
      </c>
    </row>
    <row r="28">
      <c r="A28" t="inlineStr">
        <is>
          <t>Price</t>
        </is>
      </c>
      <c r="B28" t="inlineStr">
        <is>
          <t>£80 to £140</t>
        </is>
      </c>
      <c r="C28" t="inlineStr">
        <is>
          <t>No</t>
        </is>
      </c>
      <c r="D28" t="inlineStr">
        <is>
          <t>No</t>
        </is>
      </c>
      <c r="E28" t="n">
        <v>20</v>
      </c>
      <c r="G28" t="inlineStr">
        <is>
          <t>Nobody searches this band</t>
        </is>
      </c>
      <c r="H28">
        <f>IF(A28="","",IFERROR(INDEX(Attributes!$F$3:$F$52,MATCH(A28,Attributes!$A$3:$A$52,0))&amp;"","Unknown attribute"))</f>
        <v/>
      </c>
      <c r="I28">
        <f>IF(OR(A28="",B28=""),"",IF(AND(H28="Yes",D28&lt;&gt;"No"),"Yes","No"))</f>
        <v/>
      </c>
      <c r="J28">
        <f>IF(I28="Yes",COUNTIF($I$3:I28,"Yes"),"")</f>
        <v/>
      </c>
      <c r="K28">
        <f>IF(I28&lt;&gt;"Yes","",COUNTIFS($A$3:A28,SUBSTITUTE(SUBSTITUTE(A28,"?","~?"),"*","~*"),$I$3:I28,"Yes"))</f>
        <v/>
      </c>
      <c r="L28">
        <f>IF(K28="","",A28&amp;"|"&amp;K28)</f>
        <v/>
      </c>
      <c r="M28">
        <f>IF(I28&lt;&gt;"Yes","",COUNTIFS(Values!$A$3:$A$502,SUBSTITUTE(SUBSTITUTE(A28,"?","~?"),"*","~*"),Values!$I$3:$I$502,"Yes"))</f>
        <v/>
      </c>
      <c r="N28">
        <f>IF(I28&lt;&gt;"Yes","",IF(M28&lt;2,"",INDEX(Values!$B$3:$B$502,MATCH(A28&amp;"|"&amp;IF(K28=M28,1,K28+1),Values!$L$3:$L$502,0))))</f>
        <v/>
      </c>
      <c r="O28">
        <f>IF(N28="","",INDEX(Values!$J$3:$J$502,MATCH(A28&amp;"|"&amp;IF(K28=M28,1,K28+1),Values!$L$3:$L$502,0)))</f>
        <v/>
      </c>
    </row>
    <row r="29">
      <c r="A29" t="inlineStr">
        <is>
          <t>Price</t>
        </is>
      </c>
      <c r="B29" t="inlineStr">
        <is>
          <t>over £140</t>
        </is>
      </c>
      <c r="C29" t="inlineStr">
        <is>
          <t>No</t>
        </is>
      </c>
      <c r="D29" t="inlineStr">
        <is>
          <t>Unsure</t>
        </is>
      </c>
      <c r="E29" t="n">
        <v>40</v>
      </c>
      <c r="H29">
        <f>IF(A29="","",IFERROR(INDEX(Attributes!$F$3:$F$52,MATCH(A29,Attributes!$A$3:$A$52,0))&amp;"","Unknown attribute"))</f>
        <v/>
      </c>
      <c r="I29">
        <f>IF(OR(A29="",B29=""),"",IF(AND(H29="Yes",D29&lt;&gt;"No"),"Yes","No"))</f>
        <v/>
      </c>
      <c r="J29">
        <f>IF(I29="Yes",COUNTIF($I$3:I29,"Yes"),"")</f>
        <v/>
      </c>
      <c r="K29">
        <f>IF(I29&lt;&gt;"Yes","",COUNTIFS($A$3:A29,SUBSTITUTE(SUBSTITUTE(A29,"?","~?"),"*","~*"),$I$3:I29,"Yes"))</f>
        <v/>
      </c>
      <c r="L29">
        <f>IF(K29="","",A29&amp;"|"&amp;K29)</f>
        <v/>
      </c>
      <c r="M29">
        <f>IF(I29&lt;&gt;"Yes","",COUNTIFS(Values!$A$3:$A$502,SUBSTITUTE(SUBSTITUTE(A29,"?","~?"),"*","~*"),Values!$I$3:$I$502,"Yes"))</f>
        <v/>
      </c>
      <c r="N29">
        <f>IF(I29&lt;&gt;"Yes","",IF(M29&lt;2,"",INDEX(Values!$B$3:$B$502,MATCH(A29&amp;"|"&amp;IF(K29=M29,1,K29+1),Values!$L$3:$L$502,0))))</f>
        <v/>
      </c>
      <c r="O29">
        <f>IF(N29="","",INDEX(Values!$J$3:$J$502,MATCH(A29&amp;"|"&amp;IF(K29=M29,1,K29+1),Values!$L$3:$L$502,0)))</f>
        <v/>
      </c>
    </row>
    <row r="30">
      <c r="A30" t="inlineStr">
        <is>
          <t>Runner name</t>
        </is>
      </c>
      <c r="B30" t="inlineStr">
        <is>
          <t>Eliud Kipchoge</t>
        </is>
      </c>
      <c r="C30" t="inlineStr">
        <is>
          <t>Yes</t>
        </is>
      </c>
      <c r="D30" t="inlineStr">
        <is>
          <t>No</t>
        </is>
      </c>
      <c r="E30" t="n">
        <v>2900</v>
      </c>
      <c r="G30" t="inlineStr">
        <is>
          <t>Infinite attribute, excluded</t>
        </is>
      </c>
      <c r="H30">
        <f>IF(A30="","",IFERROR(INDEX(Attributes!$F$3:$F$52,MATCH(A30,Attributes!$A$3:$A$52,0))&amp;"","Unknown attribute"))</f>
        <v/>
      </c>
      <c r="I30">
        <f>IF(OR(A30="",B30=""),"",IF(AND(H30="Yes",D30&lt;&gt;"No"),"Yes","No"))</f>
        <v/>
      </c>
      <c r="J30">
        <f>IF(I30="Yes",COUNTIF($I$3:I30,"Yes"),"")</f>
        <v/>
      </c>
      <c r="K30">
        <f>IF(I30&lt;&gt;"Yes","",COUNTIFS($A$3:A30,SUBSTITUTE(SUBSTITUTE(A30,"?","~?"),"*","~*"),$I$3:I30,"Yes"))</f>
        <v/>
      </c>
      <c r="L30">
        <f>IF(K30="","",A30&amp;"|"&amp;K30)</f>
        <v/>
      </c>
      <c r="M30">
        <f>IF(I30&lt;&gt;"Yes","",COUNTIFS(Values!$A$3:$A$502,SUBSTITUTE(SUBSTITUTE(A30,"?","~?"),"*","~*"),Values!$I$3:$I$502,"Yes"))</f>
        <v/>
      </c>
      <c r="N30">
        <f>IF(I30&lt;&gt;"Yes","",IF(M30&lt;2,"",INDEX(Values!$B$3:$B$502,MATCH(A30&amp;"|"&amp;IF(K30=M30,1,K30+1),Values!$L$3:$L$502,0))))</f>
        <v/>
      </c>
      <c r="O30">
        <f>IF(N30="","",INDEX(Values!$J$3:$J$502,MATCH(A30&amp;"|"&amp;IF(K30=M30,1,K30+1),Values!$L$3:$L$502,0)))</f>
        <v/>
      </c>
    </row>
    <row r="31">
      <c r="H31">
        <f>IF(A31="","",IFERROR(INDEX(Attributes!$F$3:$F$52,MATCH(A31,Attributes!$A$3:$A$52,0))&amp;"","Unknown attribute"))</f>
        <v/>
      </c>
      <c r="I31">
        <f>IF(OR(A31="",B31=""),"",IF(AND(H31="Yes",D31&lt;&gt;"No"),"Yes","No"))</f>
        <v/>
      </c>
      <c r="J31">
        <f>IF(I31="Yes",COUNTIF($I$3:I31,"Yes"),"")</f>
        <v/>
      </c>
      <c r="K31">
        <f>IF(I31&lt;&gt;"Yes","",COUNTIFS($A$3:A31,SUBSTITUTE(SUBSTITUTE(A31,"?","~?"),"*","~*"),$I$3:I31,"Yes"))</f>
        <v/>
      </c>
      <c r="L31">
        <f>IF(K31="","",A31&amp;"|"&amp;K31)</f>
        <v/>
      </c>
      <c r="M31">
        <f>IF(I31&lt;&gt;"Yes","",COUNTIFS(Values!$A$3:$A$502,SUBSTITUTE(SUBSTITUTE(A31,"?","~?"),"*","~*"),Values!$I$3:$I$502,"Yes"))</f>
        <v/>
      </c>
      <c r="N31">
        <f>IF(I31&lt;&gt;"Yes","",IF(M31&lt;2,"",INDEX(Values!$B$3:$B$502,MATCH(A31&amp;"|"&amp;IF(K31=M31,1,K31+1),Values!$L$3:$L$502,0))))</f>
        <v/>
      </c>
      <c r="O31">
        <f>IF(N31="","",INDEX(Values!$J$3:$J$502,MATCH(A31&amp;"|"&amp;IF(K31=M31,1,K31+1),Values!$L$3:$L$502,0)))</f>
        <v/>
      </c>
    </row>
    <row r="32">
      <c r="H32">
        <f>IF(A32="","",IFERROR(INDEX(Attributes!$F$3:$F$52,MATCH(A32,Attributes!$A$3:$A$52,0))&amp;"","Unknown attribute"))</f>
        <v/>
      </c>
      <c r="I32">
        <f>IF(OR(A32="",B32=""),"",IF(AND(H32="Yes",D32&lt;&gt;"No"),"Yes","No"))</f>
        <v/>
      </c>
      <c r="J32">
        <f>IF(I32="Yes",COUNTIF($I$3:I32,"Yes"),"")</f>
        <v/>
      </c>
      <c r="K32">
        <f>IF(I32&lt;&gt;"Yes","",COUNTIFS($A$3:A32,SUBSTITUTE(SUBSTITUTE(A32,"?","~?"),"*","~*"),$I$3:I32,"Yes"))</f>
        <v/>
      </c>
      <c r="L32">
        <f>IF(K32="","",A32&amp;"|"&amp;K32)</f>
        <v/>
      </c>
      <c r="M32">
        <f>IF(I32&lt;&gt;"Yes","",COUNTIFS(Values!$A$3:$A$502,SUBSTITUTE(SUBSTITUTE(A32,"?","~?"),"*","~*"),Values!$I$3:$I$502,"Yes"))</f>
        <v/>
      </c>
      <c r="N32">
        <f>IF(I32&lt;&gt;"Yes","",IF(M32&lt;2,"",INDEX(Values!$B$3:$B$502,MATCH(A32&amp;"|"&amp;IF(K32=M32,1,K32+1),Values!$L$3:$L$502,0))))</f>
        <v/>
      </c>
      <c r="O32">
        <f>IF(N32="","",INDEX(Values!$J$3:$J$502,MATCH(A32&amp;"|"&amp;IF(K32=M32,1,K32+1),Values!$L$3:$L$502,0)))</f>
        <v/>
      </c>
    </row>
    <row r="33">
      <c r="H33">
        <f>IF(A33="","",IFERROR(INDEX(Attributes!$F$3:$F$52,MATCH(A33,Attributes!$A$3:$A$52,0))&amp;"","Unknown attribute"))</f>
        <v/>
      </c>
      <c r="I33">
        <f>IF(OR(A33="",B33=""),"",IF(AND(H33="Yes",D33&lt;&gt;"No"),"Yes","No"))</f>
        <v/>
      </c>
      <c r="J33">
        <f>IF(I33="Yes",COUNTIF($I$3:I33,"Yes"),"")</f>
        <v/>
      </c>
      <c r="K33">
        <f>IF(I33&lt;&gt;"Yes","",COUNTIFS($A$3:A33,SUBSTITUTE(SUBSTITUTE(A33,"?","~?"),"*","~*"),$I$3:I33,"Yes"))</f>
        <v/>
      </c>
      <c r="L33">
        <f>IF(K33="","",A33&amp;"|"&amp;K33)</f>
        <v/>
      </c>
      <c r="M33">
        <f>IF(I33&lt;&gt;"Yes","",COUNTIFS(Values!$A$3:$A$502,SUBSTITUTE(SUBSTITUTE(A33,"?","~?"),"*","~*"),Values!$I$3:$I$502,"Yes"))</f>
        <v/>
      </c>
      <c r="N33">
        <f>IF(I33&lt;&gt;"Yes","",IF(M33&lt;2,"",INDEX(Values!$B$3:$B$502,MATCH(A33&amp;"|"&amp;IF(K33=M33,1,K33+1),Values!$L$3:$L$502,0))))</f>
        <v/>
      </c>
      <c r="O33">
        <f>IF(N33="","",INDEX(Values!$J$3:$J$502,MATCH(A33&amp;"|"&amp;IF(K33=M33,1,K33+1),Values!$L$3:$L$502,0)))</f>
        <v/>
      </c>
    </row>
    <row r="34">
      <c r="H34">
        <f>IF(A34="","",IFERROR(INDEX(Attributes!$F$3:$F$52,MATCH(A34,Attributes!$A$3:$A$52,0))&amp;"","Unknown attribute"))</f>
        <v/>
      </c>
      <c r="I34">
        <f>IF(OR(A34="",B34=""),"",IF(AND(H34="Yes",D34&lt;&gt;"No"),"Yes","No"))</f>
        <v/>
      </c>
      <c r="J34">
        <f>IF(I34="Yes",COUNTIF($I$3:I34,"Yes"),"")</f>
        <v/>
      </c>
      <c r="K34">
        <f>IF(I34&lt;&gt;"Yes","",COUNTIFS($A$3:A34,SUBSTITUTE(SUBSTITUTE(A34,"?","~?"),"*","~*"),$I$3:I34,"Yes"))</f>
        <v/>
      </c>
      <c r="L34">
        <f>IF(K34="","",A34&amp;"|"&amp;K34)</f>
        <v/>
      </c>
      <c r="M34">
        <f>IF(I34&lt;&gt;"Yes","",COUNTIFS(Values!$A$3:$A$502,SUBSTITUTE(SUBSTITUTE(A34,"?","~?"),"*","~*"),Values!$I$3:$I$502,"Yes"))</f>
        <v/>
      </c>
      <c r="N34">
        <f>IF(I34&lt;&gt;"Yes","",IF(M34&lt;2,"",INDEX(Values!$B$3:$B$502,MATCH(A34&amp;"|"&amp;IF(K34=M34,1,K34+1),Values!$L$3:$L$502,0))))</f>
        <v/>
      </c>
      <c r="O34">
        <f>IF(N34="","",INDEX(Values!$J$3:$J$502,MATCH(A34&amp;"|"&amp;IF(K34=M34,1,K34+1),Values!$L$3:$L$502,0)))</f>
        <v/>
      </c>
    </row>
    <row r="35">
      <c r="H35">
        <f>IF(A35="","",IFERROR(INDEX(Attributes!$F$3:$F$52,MATCH(A35,Attributes!$A$3:$A$52,0))&amp;"","Unknown attribute"))</f>
        <v/>
      </c>
      <c r="I35">
        <f>IF(OR(A35="",B35=""),"",IF(AND(H35="Yes",D35&lt;&gt;"No"),"Yes","No"))</f>
        <v/>
      </c>
      <c r="J35">
        <f>IF(I35="Yes",COUNTIF($I$3:I35,"Yes"),"")</f>
        <v/>
      </c>
      <c r="K35">
        <f>IF(I35&lt;&gt;"Yes","",COUNTIFS($A$3:A35,SUBSTITUTE(SUBSTITUTE(A35,"?","~?"),"*","~*"),$I$3:I35,"Yes"))</f>
        <v/>
      </c>
      <c r="L35">
        <f>IF(K35="","",A35&amp;"|"&amp;K35)</f>
        <v/>
      </c>
      <c r="M35">
        <f>IF(I35&lt;&gt;"Yes","",COUNTIFS(Values!$A$3:$A$502,SUBSTITUTE(SUBSTITUTE(A35,"?","~?"),"*","~*"),Values!$I$3:$I$502,"Yes"))</f>
        <v/>
      </c>
      <c r="N35">
        <f>IF(I35&lt;&gt;"Yes","",IF(M35&lt;2,"",INDEX(Values!$B$3:$B$502,MATCH(A35&amp;"|"&amp;IF(K35=M35,1,K35+1),Values!$L$3:$L$502,0))))</f>
        <v/>
      </c>
      <c r="O35">
        <f>IF(N35="","",INDEX(Values!$J$3:$J$502,MATCH(A35&amp;"|"&amp;IF(K35=M35,1,K35+1),Values!$L$3:$L$502,0)))</f>
        <v/>
      </c>
    </row>
    <row r="36">
      <c r="H36">
        <f>IF(A36="","",IFERROR(INDEX(Attributes!$F$3:$F$52,MATCH(A36,Attributes!$A$3:$A$52,0))&amp;"","Unknown attribute"))</f>
        <v/>
      </c>
      <c r="I36">
        <f>IF(OR(A36="",B36=""),"",IF(AND(H36="Yes",D36&lt;&gt;"No"),"Yes","No"))</f>
        <v/>
      </c>
      <c r="J36">
        <f>IF(I36="Yes",COUNTIF($I$3:I36,"Yes"),"")</f>
        <v/>
      </c>
      <c r="K36">
        <f>IF(I36&lt;&gt;"Yes","",COUNTIFS($A$3:A36,SUBSTITUTE(SUBSTITUTE(A36,"?","~?"),"*","~*"),$I$3:I36,"Yes"))</f>
        <v/>
      </c>
      <c r="L36">
        <f>IF(K36="","",A36&amp;"|"&amp;K36)</f>
        <v/>
      </c>
      <c r="M36">
        <f>IF(I36&lt;&gt;"Yes","",COUNTIFS(Values!$A$3:$A$502,SUBSTITUTE(SUBSTITUTE(A36,"?","~?"),"*","~*"),Values!$I$3:$I$502,"Yes"))</f>
        <v/>
      </c>
      <c r="N36">
        <f>IF(I36&lt;&gt;"Yes","",IF(M36&lt;2,"",INDEX(Values!$B$3:$B$502,MATCH(A36&amp;"|"&amp;IF(K36=M36,1,K36+1),Values!$L$3:$L$502,0))))</f>
        <v/>
      </c>
      <c r="O36">
        <f>IF(N36="","",INDEX(Values!$J$3:$J$502,MATCH(A36&amp;"|"&amp;IF(K36=M36,1,K36+1),Values!$L$3:$L$502,0)))</f>
        <v/>
      </c>
    </row>
    <row r="37">
      <c r="H37">
        <f>IF(A37="","",IFERROR(INDEX(Attributes!$F$3:$F$52,MATCH(A37,Attributes!$A$3:$A$52,0))&amp;"","Unknown attribute"))</f>
        <v/>
      </c>
      <c r="I37">
        <f>IF(OR(A37="",B37=""),"",IF(AND(H37="Yes",D37&lt;&gt;"No"),"Yes","No"))</f>
        <v/>
      </c>
      <c r="J37">
        <f>IF(I37="Yes",COUNTIF($I$3:I37,"Yes"),"")</f>
        <v/>
      </c>
      <c r="K37">
        <f>IF(I37&lt;&gt;"Yes","",COUNTIFS($A$3:A37,SUBSTITUTE(SUBSTITUTE(A37,"?","~?"),"*","~*"),$I$3:I37,"Yes"))</f>
        <v/>
      </c>
      <c r="L37">
        <f>IF(K37="","",A37&amp;"|"&amp;K37)</f>
        <v/>
      </c>
      <c r="M37">
        <f>IF(I37&lt;&gt;"Yes","",COUNTIFS(Values!$A$3:$A$502,SUBSTITUTE(SUBSTITUTE(A37,"?","~?"),"*","~*"),Values!$I$3:$I$502,"Yes"))</f>
        <v/>
      </c>
      <c r="N37">
        <f>IF(I37&lt;&gt;"Yes","",IF(M37&lt;2,"",INDEX(Values!$B$3:$B$502,MATCH(A37&amp;"|"&amp;IF(K37=M37,1,K37+1),Values!$L$3:$L$502,0))))</f>
        <v/>
      </c>
      <c r="O37">
        <f>IF(N37="","",INDEX(Values!$J$3:$J$502,MATCH(A37&amp;"|"&amp;IF(K37=M37,1,K37+1),Values!$L$3:$L$502,0)))</f>
        <v/>
      </c>
    </row>
    <row r="38">
      <c r="H38">
        <f>IF(A38="","",IFERROR(INDEX(Attributes!$F$3:$F$52,MATCH(A38,Attributes!$A$3:$A$52,0))&amp;"","Unknown attribute"))</f>
        <v/>
      </c>
      <c r="I38">
        <f>IF(OR(A38="",B38=""),"",IF(AND(H38="Yes",D38&lt;&gt;"No"),"Yes","No"))</f>
        <v/>
      </c>
      <c r="J38">
        <f>IF(I38="Yes",COUNTIF($I$3:I38,"Yes"),"")</f>
        <v/>
      </c>
      <c r="K38">
        <f>IF(I38&lt;&gt;"Yes","",COUNTIFS($A$3:A38,SUBSTITUTE(SUBSTITUTE(A38,"?","~?"),"*","~*"),$I$3:I38,"Yes"))</f>
        <v/>
      </c>
      <c r="L38">
        <f>IF(K38="","",A38&amp;"|"&amp;K38)</f>
        <v/>
      </c>
      <c r="M38">
        <f>IF(I38&lt;&gt;"Yes","",COUNTIFS(Values!$A$3:$A$502,SUBSTITUTE(SUBSTITUTE(A38,"?","~?"),"*","~*"),Values!$I$3:$I$502,"Yes"))</f>
        <v/>
      </c>
      <c r="N38">
        <f>IF(I38&lt;&gt;"Yes","",IF(M38&lt;2,"",INDEX(Values!$B$3:$B$502,MATCH(A38&amp;"|"&amp;IF(K38=M38,1,K38+1),Values!$L$3:$L$502,0))))</f>
        <v/>
      </c>
      <c r="O38">
        <f>IF(N38="","",INDEX(Values!$J$3:$J$502,MATCH(A38&amp;"|"&amp;IF(K38=M38,1,K38+1),Values!$L$3:$L$502,0)))</f>
        <v/>
      </c>
    </row>
    <row r="39">
      <c r="H39">
        <f>IF(A39="","",IFERROR(INDEX(Attributes!$F$3:$F$52,MATCH(A39,Attributes!$A$3:$A$52,0))&amp;"","Unknown attribute"))</f>
        <v/>
      </c>
      <c r="I39">
        <f>IF(OR(A39="",B39=""),"",IF(AND(H39="Yes",D39&lt;&gt;"No"),"Yes","No"))</f>
        <v/>
      </c>
      <c r="J39">
        <f>IF(I39="Yes",COUNTIF($I$3:I39,"Yes"),"")</f>
        <v/>
      </c>
      <c r="K39">
        <f>IF(I39&lt;&gt;"Yes","",COUNTIFS($A$3:A39,SUBSTITUTE(SUBSTITUTE(A39,"?","~?"),"*","~*"),$I$3:I39,"Yes"))</f>
        <v/>
      </c>
      <c r="L39">
        <f>IF(K39="","",A39&amp;"|"&amp;K39)</f>
        <v/>
      </c>
      <c r="M39">
        <f>IF(I39&lt;&gt;"Yes","",COUNTIFS(Values!$A$3:$A$502,SUBSTITUTE(SUBSTITUTE(A39,"?","~?"),"*","~*"),Values!$I$3:$I$502,"Yes"))</f>
        <v/>
      </c>
      <c r="N39">
        <f>IF(I39&lt;&gt;"Yes","",IF(M39&lt;2,"",INDEX(Values!$B$3:$B$502,MATCH(A39&amp;"|"&amp;IF(K39=M39,1,K39+1),Values!$L$3:$L$502,0))))</f>
        <v/>
      </c>
      <c r="O39">
        <f>IF(N39="","",INDEX(Values!$J$3:$J$502,MATCH(A39&amp;"|"&amp;IF(K39=M39,1,K39+1),Values!$L$3:$L$502,0)))</f>
        <v/>
      </c>
    </row>
    <row r="40">
      <c r="H40">
        <f>IF(A40="","",IFERROR(INDEX(Attributes!$F$3:$F$52,MATCH(A40,Attributes!$A$3:$A$52,0))&amp;"","Unknown attribute"))</f>
        <v/>
      </c>
      <c r="I40">
        <f>IF(OR(A40="",B40=""),"",IF(AND(H40="Yes",D40&lt;&gt;"No"),"Yes","No"))</f>
        <v/>
      </c>
      <c r="J40">
        <f>IF(I40="Yes",COUNTIF($I$3:I40,"Yes"),"")</f>
        <v/>
      </c>
      <c r="K40">
        <f>IF(I40&lt;&gt;"Yes","",COUNTIFS($A$3:A40,SUBSTITUTE(SUBSTITUTE(A40,"?","~?"),"*","~*"),$I$3:I40,"Yes"))</f>
        <v/>
      </c>
      <c r="L40">
        <f>IF(K40="","",A40&amp;"|"&amp;K40)</f>
        <v/>
      </c>
      <c r="M40">
        <f>IF(I40&lt;&gt;"Yes","",COUNTIFS(Values!$A$3:$A$502,SUBSTITUTE(SUBSTITUTE(A40,"?","~?"),"*","~*"),Values!$I$3:$I$502,"Yes"))</f>
        <v/>
      </c>
      <c r="N40">
        <f>IF(I40&lt;&gt;"Yes","",IF(M40&lt;2,"",INDEX(Values!$B$3:$B$502,MATCH(A40&amp;"|"&amp;IF(K40=M40,1,K40+1),Values!$L$3:$L$502,0))))</f>
        <v/>
      </c>
      <c r="O40">
        <f>IF(N40="","",INDEX(Values!$J$3:$J$502,MATCH(A40&amp;"|"&amp;IF(K40=M40,1,K40+1),Values!$L$3:$L$502,0)))</f>
        <v/>
      </c>
    </row>
    <row r="41">
      <c r="H41">
        <f>IF(A41="","",IFERROR(INDEX(Attributes!$F$3:$F$52,MATCH(A41,Attributes!$A$3:$A$52,0))&amp;"","Unknown attribute"))</f>
        <v/>
      </c>
      <c r="I41">
        <f>IF(OR(A41="",B41=""),"",IF(AND(H41="Yes",D41&lt;&gt;"No"),"Yes","No"))</f>
        <v/>
      </c>
      <c r="J41">
        <f>IF(I41="Yes",COUNTIF($I$3:I41,"Yes"),"")</f>
        <v/>
      </c>
      <c r="K41">
        <f>IF(I41&lt;&gt;"Yes","",COUNTIFS($A$3:A41,SUBSTITUTE(SUBSTITUTE(A41,"?","~?"),"*","~*"),$I$3:I41,"Yes"))</f>
        <v/>
      </c>
      <c r="L41">
        <f>IF(K41="","",A41&amp;"|"&amp;K41)</f>
        <v/>
      </c>
      <c r="M41">
        <f>IF(I41&lt;&gt;"Yes","",COUNTIFS(Values!$A$3:$A$502,SUBSTITUTE(SUBSTITUTE(A41,"?","~?"),"*","~*"),Values!$I$3:$I$502,"Yes"))</f>
        <v/>
      </c>
      <c r="N41">
        <f>IF(I41&lt;&gt;"Yes","",IF(M41&lt;2,"",INDEX(Values!$B$3:$B$502,MATCH(A41&amp;"|"&amp;IF(K41=M41,1,K41+1),Values!$L$3:$L$502,0))))</f>
        <v/>
      </c>
      <c r="O41">
        <f>IF(N41="","",INDEX(Values!$J$3:$J$502,MATCH(A41&amp;"|"&amp;IF(K41=M41,1,K41+1),Values!$L$3:$L$502,0)))</f>
        <v/>
      </c>
    </row>
    <row r="42">
      <c r="H42">
        <f>IF(A42="","",IFERROR(INDEX(Attributes!$F$3:$F$52,MATCH(A42,Attributes!$A$3:$A$52,0))&amp;"","Unknown attribute"))</f>
        <v/>
      </c>
      <c r="I42">
        <f>IF(OR(A42="",B42=""),"",IF(AND(H42="Yes",D42&lt;&gt;"No"),"Yes","No"))</f>
        <v/>
      </c>
      <c r="J42">
        <f>IF(I42="Yes",COUNTIF($I$3:I42,"Yes"),"")</f>
        <v/>
      </c>
      <c r="K42">
        <f>IF(I42&lt;&gt;"Yes","",COUNTIFS($A$3:A42,SUBSTITUTE(SUBSTITUTE(A42,"?","~?"),"*","~*"),$I$3:I42,"Yes"))</f>
        <v/>
      </c>
      <c r="L42">
        <f>IF(K42="","",A42&amp;"|"&amp;K42)</f>
        <v/>
      </c>
      <c r="M42">
        <f>IF(I42&lt;&gt;"Yes","",COUNTIFS(Values!$A$3:$A$502,SUBSTITUTE(SUBSTITUTE(A42,"?","~?"),"*","~*"),Values!$I$3:$I$502,"Yes"))</f>
        <v/>
      </c>
      <c r="N42">
        <f>IF(I42&lt;&gt;"Yes","",IF(M42&lt;2,"",INDEX(Values!$B$3:$B$502,MATCH(A42&amp;"|"&amp;IF(K42=M42,1,K42+1),Values!$L$3:$L$502,0))))</f>
        <v/>
      </c>
      <c r="O42">
        <f>IF(N42="","",INDEX(Values!$J$3:$J$502,MATCH(A42&amp;"|"&amp;IF(K42=M42,1,K42+1),Values!$L$3:$L$502,0)))</f>
        <v/>
      </c>
    </row>
    <row r="43">
      <c r="H43">
        <f>IF(A43="","",IFERROR(INDEX(Attributes!$F$3:$F$52,MATCH(A43,Attributes!$A$3:$A$52,0))&amp;"","Unknown attribute"))</f>
        <v/>
      </c>
      <c r="I43">
        <f>IF(OR(A43="",B43=""),"",IF(AND(H43="Yes",D43&lt;&gt;"No"),"Yes","No"))</f>
        <v/>
      </c>
      <c r="J43">
        <f>IF(I43="Yes",COUNTIF($I$3:I43,"Yes"),"")</f>
        <v/>
      </c>
      <c r="K43">
        <f>IF(I43&lt;&gt;"Yes","",COUNTIFS($A$3:A43,SUBSTITUTE(SUBSTITUTE(A43,"?","~?"),"*","~*"),$I$3:I43,"Yes"))</f>
        <v/>
      </c>
      <c r="L43">
        <f>IF(K43="","",A43&amp;"|"&amp;K43)</f>
        <v/>
      </c>
      <c r="M43">
        <f>IF(I43&lt;&gt;"Yes","",COUNTIFS(Values!$A$3:$A$502,SUBSTITUTE(SUBSTITUTE(A43,"?","~?"),"*","~*"),Values!$I$3:$I$502,"Yes"))</f>
        <v/>
      </c>
      <c r="N43">
        <f>IF(I43&lt;&gt;"Yes","",IF(M43&lt;2,"",INDEX(Values!$B$3:$B$502,MATCH(A43&amp;"|"&amp;IF(K43=M43,1,K43+1),Values!$L$3:$L$502,0))))</f>
        <v/>
      </c>
      <c r="O43">
        <f>IF(N43="","",INDEX(Values!$J$3:$J$502,MATCH(A43&amp;"|"&amp;IF(K43=M43,1,K43+1),Values!$L$3:$L$502,0)))</f>
        <v/>
      </c>
    </row>
    <row r="44">
      <c r="H44">
        <f>IF(A44="","",IFERROR(INDEX(Attributes!$F$3:$F$52,MATCH(A44,Attributes!$A$3:$A$52,0))&amp;"","Unknown attribute"))</f>
        <v/>
      </c>
      <c r="I44">
        <f>IF(OR(A44="",B44=""),"",IF(AND(H44="Yes",D44&lt;&gt;"No"),"Yes","No"))</f>
        <v/>
      </c>
      <c r="J44">
        <f>IF(I44="Yes",COUNTIF($I$3:I44,"Yes"),"")</f>
        <v/>
      </c>
      <c r="K44">
        <f>IF(I44&lt;&gt;"Yes","",COUNTIFS($A$3:A44,SUBSTITUTE(SUBSTITUTE(A44,"?","~?"),"*","~*"),$I$3:I44,"Yes"))</f>
        <v/>
      </c>
      <c r="L44">
        <f>IF(K44="","",A44&amp;"|"&amp;K44)</f>
        <v/>
      </c>
      <c r="M44">
        <f>IF(I44&lt;&gt;"Yes","",COUNTIFS(Values!$A$3:$A$502,SUBSTITUTE(SUBSTITUTE(A44,"?","~?"),"*","~*"),Values!$I$3:$I$502,"Yes"))</f>
        <v/>
      </c>
      <c r="N44">
        <f>IF(I44&lt;&gt;"Yes","",IF(M44&lt;2,"",INDEX(Values!$B$3:$B$502,MATCH(A44&amp;"|"&amp;IF(K44=M44,1,K44+1),Values!$L$3:$L$502,0))))</f>
        <v/>
      </c>
      <c r="O44">
        <f>IF(N44="","",INDEX(Values!$J$3:$J$502,MATCH(A44&amp;"|"&amp;IF(K44=M44,1,K44+1),Values!$L$3:$L$502,0)))</f>
        <v/>
      </c>
    </row>
    <row r="45">
      <c r="H45">
        <f>IF(A45="","",IFERROR(INDEX(Attributes!$F$3:$F$52,MATCH(A45,Attributes!$A$3:$A$52,0))&amp;"","Unknown attribute"))</f>
        <v/>
      </c>
      <c r="I45">
        <f>IF(OR(A45="",B45=""),"",IF(AND(H45="Yes",D45&lt;&gt;"No"),"Yes","No"))</f>
        <v/>
      </c>
      <c r="J45">
        <f>IF(I45="Yes",COUNTIF($I$3:I45,"Yes"),"")</f>
        <v/>
      </c>
      <c r="K45">
        <f>IF(I45&lt;&gt;"Yes","",COUNTIFS($A$3:A45,SUBSTITUTE(SUBSTITUTE(A45,"?","~?"),"*","~*"),$I$3:I45,"Yes"))</f>
        <v/>
      </c>
      <c r="L45">
        <f>IF(K45="","",A45&amp;"|"&amp;K45)</f>
        <v/>
      </c>
      <c r="M45">
        <f>IF(I45&lt;&gt;"Yes","",COUNTIFS(Values!$A$3:$A$502,SUBSTITUTE(SUBSTITUTE(A45,"?","~?"),"*","~*"),Values!$I$3:$I$502,"Yes"))</f>
        <v/>
      </c>
      <c r="N45">
        <f>IF(I45&lt;&gt;"Yes","",IF(M45&lt;2,"",INDEX(Values!$B$3:$B$502,MATCH(A45&amp;"|"&amp;IF(K45=M45,1,K45+1),Values!$L$3:$L$502,0))))</f>
        <v/>
      </c>
      <c r="O45">
        <f>IF(N45="","",INDEX(Values!$J$3:$J$502,MATCH(A45&amp;"|"&amp;IF(K45=M45,1,K45+1),Values!$L$3:$L$502,0)))</f>
        <v/>
      </c>
    </row>
    <row r="46">
      <c r="H46">
        <f>IF(A46="","",IFERROR(INDEX(Attributes!$F$3:$F$52,MATCH(A46,Attributes!$A$3:$A$52,0))&amp;"","Unknown attribute"))</f>
        <v/>
      </c>
      <c r="I46">
        <f>IF(OR(A46="",B46=""),"",IF(AND(H46="Yes",D46&lt;&gt;"No"),"Yes","No"))</f>
        <v/>
      </c>
      <c r="J46">
        <f>IF(I46="Yes",COUNTIF($I$3:I46,"Yes"),"")</f>
        <v/>
      </c>
      <c r="K46">
        <f>IF(I46&lt;&gt;"Yes","",COUNTIFS($A$3:A46,SUBSTITUTE(SUBSTITUTE(A46,"?","~?"),"*","~*"),$I$3:I46,"Yes"))</f>
        <v/>
      </c>
      <c r="L46">
        <f>IF(K46="","",A46&amp;"|"&amp;K46)</f>
        <v/>
      </c>
      <c r="M46">
        <f>IF(I46&lt;&gt;"Yes","",COUNTIFS(Values!$A$3:$A$502,SUBSTITUTE(SUBSTITUTE(A46,"?","~?"),"*","~*"),Values!$I$3:$I$502,"Yes"))</f>
        <v/>
      </c>
      <c r="N46">
        <f>IF(I46&lt;&gt;"Yes","",IF(M46&lt;2,"",INDEX(Values!$B$3:$B$502,MATCH(A46&amp;"|"&amp;IF(K46=M46,1,K46+1),Values!$L$3:$L$502,0))))</f>
        <v/>
      </c>
      <c r="O46">
        <f>IF(N46="","",INDEX(Values!$J$3:$J$502,MATCH(A46&amp;"|"&amp;IF(K46=M46,1,K46+1),Values!$L$3:$L$502,0)))</f>
        <v/>
      </c>
    </row>
    <row r="47">
      <c r="H47">
        <f>IF(A47="","",IFERROR(INDEX(Attributes!$F$3:$F$52,MATCH(A47,Attributes!$A$3:$A$52,0))&amp;"","Unknown attribute"))</f>
        <v/>
      </c>
      <c r="I47">
        <f>IF(OR(A47="",B47=""),"",IF(AND(H47="Yes",D47&lt;&gt;"No"),"Yes","No"))</f>
        <v/>
      </c>
      <c r="J47">
        <f>IF(I47="Yes",COUNTIF($I$3:I47,"Yes"),"")</f>
        <v/>
      </c>
      <c r="K47">
        <f>IF(I47&lt;&gt;"Yes","",COUNTIFS($A$3:A47,SUBSTITUTE(SUBSTITUTE(A47,"?","~?"),"*","~*"),$I$3:I47,"Yes"))</f>
        <v/>
      </c>
      <c r="L47">
        <f>IF(K47="","",A47&amp;"|"&amp;K47)</f>
        <v/>
      </c>
      <c r="M47">
        <f>IF(I47&lt;&gt;"Yes","",COUNTIFS(Values!$A$3:$A$502,SUBSTITUTE(SUBSTITUTE(A47,"?","~?"),"*","~*"),Values!$I$3:$I$502,"Yes"))</f>
        <v/>
      </c>
      <c r="N47">
        <f>IF(I47&lt;&gt;"Yes","",IF(M47&lt;2,"",INDEX(Values!$B$3:$B$502,MATCH(A47&amp;"|"&amp;IF(K47=M47,1,K47+1),Values!$L$3:$L$502,0))))</f>
        <v/>
      </c>
      <c r="O47">
        <f>IF(N47="","",INDEX(Values!$J$3:$J$502,MATCH(A47&amp;"|"&amp;IF(K47=M47,1,K47+1),Values!$L$3:$L$502,0)))</f>
        <v/>
      </c>
    </row>
    <row r="48">
      <c r="H48">
        <f>IF(A48="","",IFERROR(INDEX(Attributes!$F$3:$F$52,MATCH(A48,Attributes!$A$3:$A$52,0))&amp;"","Unknown attribute"))</f>
        <v/>
      </c>
      <c r="I48">
        <f>IF(OR(A48="",B48=""),"",IF(AND(H48="Yes",D48&lt;&gt;"No"),"Yes","No"))</f>
        <v/>
      </c>
      <c r="J48">
        <f>IF(I48="Yes",COUNTIF($I$3:I48,"Yes"),"")</f>
        <v/>
      </c>
      <c r="K48">
        <f>IF(I48&lt;&gt;"Yes","",COUNTIFS($A$3:A48,SUBSTITUTE(SUBSTITUTE(A48,"?","~?"),"*","~*"),$I$3:I48,"Yes"))</f>
        <v/>
      </c>
      <c r="L48">
        <f>IF(K48="","",A48&amp;"|"&amp;K48)</f>
        <v/>
      </c>
      <c r="M48">
        <f>IF(I48&lt;&gt;"Yes","",COUNTIFS(Values!$A$3:$A$502,SUBSTITUTE(SUBSTITUTE(A48,"?","~?"),"*","~*"),Values!$I$3:$I$502,"Yes"))</f>
        <v/>
      </c>
      <c r="N48">
        <f>IF(I48&lt;&gt;"Yes","",IF(M48&lt;2,"",INDEX(Values!$B$3:$B$502,MATCH(A48&amp;"|"&amp;IF(K48=M48,1,K48+1),Values!$L$3:$L$502,0))))</f>
        <v/>
      </c>
      <c r="O48">
        <f>IF(N48="","",INDEX(Values!$J$3:$J$502,MATCH(A48&amp;"|"&amp;IF(K48=M48,1,K48+1),Values!$L$3:$L$502,0)))</f>
        <v/>
      </c>
    </row>
    <row r="49">
      <c r="H49">
        <f>IF(A49="","",IFERROR(INDEX(Attributes!$F$3:$F$52,MATCH(A49,Attributes!$A$3:$A$52,0))&amp;"","Unknown attribute"))</f>
        <v/>
      </c>
      <c r="I49">
        <f>IF(OR(A49="",B49=""),"",IF(AND(H49="Yes",D49&lt;&gt;"No"),"Yes","No"))</f>
        <v/>
      </c>
      <c r="J49">
        <f>IF(I49="Yes",COUNTIF($I$3:I49,"Yes"),"")</f>
        <v/>
      </c>
      <c r="K49">
        <f>IF(I49&lt;&gt;"Yes","",COUNTIFS($A$3:A49,SUBSTITUTE(SUBSTITUTE(A49,"?","~?"),"*","~*"),$I$3:I49,"Yes"))</f>
        <v/>
      </c>
      <c r="L49">
        <f>IF(K49="","",A49&amp;"|"&amp;K49)</f>
        <v/>
      </c>
      <c r="M49">
        <f>IF(I49&lt;&gt;"Yes","",COUNTIFS(Values!$A$3:$A$502,SUBSTITUTE(SUBSTITUTE(A49,"?","~?"),"*","~*"),Values!$I$3:$I$502,"Yes"))</f>
        <v/>
      </c>
      <c r="N49">
        <f>IF(I49&lt;&gt;"Yes","",IF(M49&lt;2,"",INDEX(Values!$B$3:$B$502,MATCH(A49&amp;"|"&amp;IF(K49=M49,1,K49+1),Values!$L$3:$L$502,0))))</f>
        <v/>
      </c>
      <c r="O49">
        <f>IF(N49="","",INDEX(Values!$J$3:$J$502,MATCH(A49&amp;"|"&amp;IF(K49=M49,1,K49+1),Values!$L$3:$L$502,0)))</f>
        <v/>
      </c>
    </row>
    <row r="50">
      <c r="H50">
        <f>IF(A50="","",IFERROR(INDEX(Attributes!$F$3:$F$52,MATCH(A50,Attributes!$A$3:$A$52,0))&amp;"","Unknown attribute"))</f>
        <v/>
      </c>
      <c r="I50">
        <f>IF(OR(A50="",B50=""),"",IF(AND(H50="Yes",D50&lt;&gt;"No"),"Yes","No"))</f>
        <v/>
      </c>
      <c r="J50">
        <f>IF(I50="Yes",COUNTIF($I$3:I50,"Yes"),"")</f>
        <v/>
      </c>
      <c r="K50">
        <f>IF(I50&lt;&gt;"Yes","",COUNTIFS($A$3:A50,SUBSTITUTE(SUBSTITUTE(A50,"?","~?"),"*","~*"),$I$3:I50,"Yes"))</f>
        <v/>
      </c>
      <c r="L50">
        <f>IF(K50="","",A50&amp;"|"&amp;K50)</f>
        <v/>
      </c>
      <c r="M50">
        <f>IF(I50&lt;&gt;"Yes","",COUNTIFS(Values!$A$3:$A$502,SUBSTITUTE(SUBSTITUTE(A50,"?","~?"),"*","~*"),Values!$I$3:$I$502,"Yes"))</f>
        <v/>
      </c>
      <c r="N50">
        <f>IF(I50&lt;&gt;"Yes","",IF(M50&lt;2,"",INDEX(Values!$B$3:$B$502,MATCH(A50&amp;"|"&amp;IF(K50=M50,1,K50+1),Values!$L$3:$L$502,0))))</f>
        <v/>
      </c>
      <c r="O50">
        <f>IF(N50="","",INDEX(Values!$J$3:$J$502,MATCH(A50&amp;"|"&amp;IF(K50=M50,1,K50+1),Values!$L$3:$L$502,0)))</f>
        <v/>
      </c>
    </row>
    <row r="51">
      <c r="H51">
        <f>IF(A51="","",IFERROR(INDEX(Attributes!$F$3:$F$52,MATCH(A51,Attributes!$A$3:$A$52,0))&amp;"","Unknown attribute"))</f>
        <v/>
      </c>
      <c r="I51">
        <f>IF(OR(A51="",B51=""),"",IF(AND(H51="Yes",D51&lt;&gt;"No"),"Yes","No"))</f>
        <v/>
      </c>
      <c r="J51">
        <f>IF(I51="Yes",COUNTIF($I$3:I51,"Yes"),"")</f>
        <v/>
      </c>
      <c r="K51">
        <f>IF(I51&lt;&gt;"Yes","",COUNTIFS($A$3:A51,SUBSTITUTE(SUBSTITUTE(A51,"?","~?"),"*","~*"),$I$3:I51,"Yes"))</f>
        <v/>
      </c>
      <c r="L51">
        <f>IF(K51="","",A51&amp;"|"&amp;K51)</f>
        <v/>
      </c>
      <c r="M51">
        <f>IF(I51&lt;&gt;"Yes","",COUNTIFS(Values!$A$3:$A$502,SUBSTITUTE(SUBSTITUTE(A51,"?","~?"),"*","~*"),Values!$I$3:$I$502,"Yes"))</f>
        <v/>
      </c>
      <c r="N51">
        <f>IF(I51&lt;&gt;"Yes","",IF(M51&lt;2,"",INDEX(Values!$B$3:$B$502,MATCH(A51&amp;"|"&amp;IF(K51=M51,1,K51+1),Values!$L$3:$L$502,0))))</f>
        <v/>
      </c>
      <c r="O51">
        <f>IF(N51="","",INDEX(Values!$J$3:$J$502,MATCH(A51&amp;"|"&amp;IF(K51=M51,1,K51+1),Values!$L$3:$L$502,0)))</f>
        <v/>
      </c>
    </row>
    <row r="52">
      <c r="H52">
        <f>IF(A52="","",IFERROR(INDEX(Attributes!$F$3:$F$52,MATCH(A52,Attributes!$A$3:$A$52,0))&amp;"","Unknown attribute"))</f>
        <v/>
      </c>
      <c r="I52">
        <f>IF(OR(A52="",B52=""),"",IF(AND(H52="Yes",D52&lt;&gt;"No"),"Yes","No"))</f>
        <v/>
      </c>
      <c r="J52">
        <f>IF(I52="Yes",COUNTIF($I$3:I52,"Yes"),"")</f>
        <v/>
      </c>
      <c r="K52">
        <f>IF(I52&lt;&gt;"Yes","",COUNTIFS($A$3:A52,SUBSTITUTE(SUBSTITUTE(A52,"?","~?"),"*","~*"),$I$3:I52,"Yes"))</f>
        <v/>
      </c>
      <c r="L52">
        <f>IF(K52="","",A52&amp;"|"&amp;K52)</f>
        <v/>
      </c>
      <c r="M52">
        <f>IF(I52&lt;&gt;"Yes","",COUNTIFS(Values!$A$3:$A$502,SUBSTITUTE(SUBSTITUTE(A52,"?","~?"),"*","~*"),Values!$I$3:$I$502,"Yes"))</f>
        <v/>
      </c>
      <c r="N52">
        <f>IF(I52&lt;&gt;"Yes","",IF(M52&lt;2,"",INDEX(Values!$B$3:$B$502,MATCH(A52&amp;"|"&amp;IF(K52=M52,1,K52+1),Values!$L$3:$L$502,0))))</f>
        <v/>
      </c>
      <c r="O52">
        <f>IF(N52="","",INDEX(Values!$J$3:$J$502,MATCH(A52&amp;"|"&amp;IF(K52=M52,1,K52+1),Values!$L$3:$L$502,0)))</f>
        <v/>
      </c>
    </row>
    <row r="53">
      <c r="H53">
        <f>IF(A53="","",IFERROR(INDEX(Attributes!$F$3:$F$52,MATCH(A53,Attributes!$A$3:$A$52,0))&amp;"","Unknown attribute"))</f>
        <v/>
      </c>
      <c r="I53">
        <f>IF(OR(A53="",B53=""),"",IF(AND(H53="Yes",D53&lt;&gt;"No"),"Yes","No"))</f>
        <v/>
      </c>
      <c r="J53">
        <f>IF(I53="Yes",COUNTIF($I$3:I53,"Yes"),"")</f>
        <v/>
      </c>
      <c r="K53">
        <f>IF(I53&lt;&gt;"Yes","",COUNTIFS($A$3:A53,SUBSTITUTE(SUBSTITUTE(A53,"?","~?"),"*","~*"),$I$3:I53,"Yes"))</f>
        <v/>
      </c>
      <c r="L53">
        <f>IF(K53="","",A53&amp;"|"&amp;K53)</f>
        <v/>
      </c>
      <c r="M53">
        <f>IF(I53&lt;&gt;"Yes","",COUNTIFS(Values!$A$3:$A$502,SUBSTITUTE(SUBSTITUTE(A53,"?","~?"),"*","~*"),Values!$I$3:$I$502,"Yes"))</f>
        <v/>
      </c>
      <c r="N53">
        <f>IF(I53&lt;&gt;"Yes","",IF(M53&lt;2,"",INDEX(Values!$B$3:$B$502,MATCH(A53&amp;"|"&amp;IF(K53=M53,1,K53+1),Values!$L$3:$L$502,0))))</f>
        <v/>
      </c>
      <c r="O53">
        <f>IF(N53="","",INDEX(Values!$J$3:$J$502,MATCH(A53&amp;"|"&amp;IF(K53=M53,1,K53+1),Values!$L$3:$L$502,0)))</f>
        <v/>
      </c>
    </row>
    <row r="54">
      <c r="H54">
        <f>IF(A54="","",IFERROR(INDEX(Attributes!$F$3:$F$52,MATCH(A54,Attributes!$A$3:$A$52,0))&amp;"","Unknown attribute"))</f>
        <v/>
      </c>
      <c r="I54">
        <f>IF(OR(A54="",B54=""),"",IF(AND(H54="Yes",D54&lt;&gt;"No"),"Yes","No"))</f>
        <v/>
      </c>
      <c r="J54">
        <f>IF(I54="Yes",COUNTIF($I$3:I54,"Yes"),"")</f>
        <v/>
      </c>
      <c r="K54">
        <f>IF(I54&lt;&gt;"Yes","",COUNTIFS($A$3:A54,SUBSTITUTE(SUBSTITUTE(A54,"?","~?"),"*","~*"),$I$3:I54,"Yes"))</f>
        <v/>
      </c>
      <c r="L54">
        <f>IF(K54="","",A54&amp;"|"&amp;K54)</f>
        <v/>
      </c>
      <c r="M54">
        <f>IF(I54&lt;&gt;"Yes","",COUNTIFS(Values!$A$3:$A$502,SUBSTITUTE(SUBSTITUTE(A54,"?","~?"),"*","~*"),Values!$I$3:$I$502,"Yes"))</f>
        <v/>
      </c>
      <c r="N54">
        <f>IF(I54&lt;&gt;"Yes","",IF(M54&lt;2,"",INDEX(Values!$B$3:$B$502,MATCH(A54&amp;"|"&amp;IF(K54=M54,1,K54+1),Values!$L$3:$L$502,0))))</f>
        <v/>
      </c>
      <c r="O54">
        <f>IF(N54="","",INDEX(Values!$J$3:$J$502,MATCH(A54&amp;"|"&amp;IF(K54=M54,1,K54+1),Values!$L$3:$L$502,0)))</f>
        <v/>
      </c>
    </row>
    <row r="55">
      <c r="H55">
        <f>IF(A55="","",IFERROR(INDEX(Attributes!$F$3:$F$52,MATCH(A55,Attributes!$A$3:$A$52,0))&amp;"","Unknown attribute"))</f>
        <v/>
      </c>
      <c r="I55">
        <f>IF(OR(A55="",B55=""),"",IF(AND(H55="Yes",D55&lt;&gt;"No"),"Yes","No"))</f>
        <v/>
      </c>
      <c r="J55">
        <f>IF(I55="Yes",COUNTIF($I$3:I55,"Yes"),"")</f>
        <v/>
      </c>
      <c r="K55">
        <f>IF(I55&lt;&gt;"Yes","",COUNTIFS($A$3:A55,SUBSTITUTE(SUBSTITUTE(A55,"?","~?"),"*","~*"),$I$3:I55,"Yes"))</f>
        <v/>
      </c>
      <c r="L55">
        <f>IF(K55="","",A55&amp;"|"&amp;K55)</f>
        <v/>
      </c>
      <c r="M55">
        <f>IF(I55&lt;&gt;"Yes","",COUNTIFS(Values!$A$3:$A$502,SUBSTITUTE(SUBSTITUTE(A55,"?","~?"),"*","~*"),Values!$I$3:$I$502,"Yes"))</f>
        <v/>
      </c>
      <c r="N55">
        <f>IF(I55&lt;&gt;"Yes","",IF(M55&lt;2,"",INDEX(Values!$B$3:$B$502,MATCH(A55&amp;"|"&amp;IF(K55=M55,1,K55+1),Values!$L$3:$L$502,0))))</f>
        <v/>
      </c>
      <c r="O55">
        <f>IF(N55="","",INDEX(Values!$J$3:$J$502,MATCH(A55&amp;"|"&amp;IF(K55=M55,1,K55+1),Values!$L$3:$L$502,0)))</f>
        <v/>
      </c>
    </row>
    <row r="56">
      <c r="H56">
        <f>IF(A56="","",IFERROR(INDEX(Attributes!$F$3:$F$52,MATCH(A56,Attributes!$A$3:$A$52,0))&amp;"","Unknown attribute"))</f>
        <v/>
      </c>
      <c r="I56">
        <f>IF(OR(A56="",B56=""),"",IF(AND(H56="Yes",D56&lt;&gt;"No"),"Yes","No"))</f>
        <v/>
      </c>
      <c r="J56">
        <f>IF(I56="Yes",COUNTIF($I$3:I56,"Yes"),"")</f>
        <v/>
      </c>
      <c r="K56">
        <f>IF(I56&lt;&gt;"Yes","",COUNTIFS($A$3:A56,SUBSTITUTE(SUBSTITUTE(A56,"?","~?"),"*","~*"),$I$3:I56,"Yes"))</f>
        <v/>
      </c>
      <c r="L56">
        <f>IF(K56="","",A56&amp;"|"&amp;K56)</f>
        <v/>
      </c>
      <c r="M56">
        <f>IF(I56&lt;&gt;"Yes","",COUNTIFS(Values!$A$3:$A$502,SUBSTITUTE(SUBSTITUTE(A56,"?","~?"),"*","~*"),Values!$I$3:$I$502,"Yes"))</f>
        <v/>
      </c>
      <c r="N56">
        <f>IF(I56&lt;&gt;"Yes","",IF(M56&lt;2,"",INDEX(Values!$B$3:$B$502,MATCH(A56&amp;"|"&amp;IF(K56=M56,1,K56+1),Values!$L$3:$L$502,0))))</f>
        <v/>
      </c>
      <c r="O56">
        <f>IF(N56="","",INDEX(Values!$J$3:$J$502,MATCH(A56&amp;"|"&amp;IF(K56=M56,1,K56+1),Values!$L$3:$L$502,0)))</f>
        <v/>
      </c>
    </row>
    <row r="57">
      <c r="H57">
        <f>IF(A57="","",IFERROR(INDEX(Attributes!$F$3:$F$52,MATCH(A57,Attributes!$A$3:$A$52,0))&amp;"","Unknown attribute"))</f>
        <v/>
      </c>
      <c r="I57">
        <f>IF(OR(A57="",B57=""),"",IF(AND(H57="Yes",D57&lt;&gt;"No"),"Yes","No"))</f>
        <v/>
      </c>
      <c r="J57">
        <f>IF(I57="Yes",COUNTIF($I$3:I57,"Yes"),"")</f>
        <v/>
      </c>
      <c r="K57">
        <f>IF(I57&lt;&gt;"Yes","",COUNTIFS($A$3:A57,SUBSTITUTE(SUBSTITUTE(A57,"?","~?"),"*","~*"),$I$3:I57,"Yes"))</f>
        <v/>
      </c>
      <c r="L57">
        <f>IF(K57="","",A57&amp;"|"&amp;K57)</f>
        <v/>
      </c>
      <c r="M57">
        <f>IF(I57&lt;&gt;"Yes","",COUNTIFS(Values!$A$3:$A$502,SUBSTITUTE(SUBSTITUTE(A57,"?","~?"),"*","~*"),Values!$I$3:$I$502,"Yes"))</f>
        <v/>
      </c>
      <c r="N57">
        <f>IF(I57&lt;&gt;"Yes","",IF(M57&lt;2,"",INDEX(Values!$B$3:$B$502,MATCH(A57&amp;"|"&amp;IF(K57=M57,1,K57+1),Values!$L$3:$L$502,0))))</f>
        <v/>
      </c>
      <c r="O57">
        <f>IF(N57="","",INDEX(Values!$J$3:$J$502,MATCH(A57&amp;"|"&amp;IF(K57=M57,1,K57+1),Values!$L$3:$L$502,0)))</f>
        <v/>
      </c>
    </row>
    <row r="58">
      <c r="H58">
        <f>IF(A58="","",IFERROR(INDEX(Attributes!$F$3:$F$52,MATCH(A58,Attributes!$A$3:$A$52,0))&amp;"","Unknown attribute"))</f>
        <v/>
      </c>
      <c r="I58">
        <f>IF(OR(A58="",B58=""),"",IF(AND(H58="Yes",D58&lt;&gt;"No"),"Yes","No"))</f>
        <v/>
      </c>
      <c r="J58">
        <f>IF(I58="Yes",COUNTIF($I$3:I58,"Yes"),"")</f>
        <v/>
      </c>
      <c r="K58">
        <f>IF(I58&lt;&gt;"Yes","",COUNTIFS($A$3:A58,SUBSTITUTE(SUBSTITUTE(A58,"?","~?"),"*","~*"),$I$3:I58,"Yes"))</f>
        <v/>
      </c>
      <c r="L58">
        <f>IF(K58="","",A58&amp;"|"&amp;K58)</f>
        <v/>
      </c>
      <c r="M58">
        <f>IF(I58&lt;&gt;"Yes","",COUNTIFS(Values!$A$3:$A$502,SUBSTITUTE(SUBSTITUTE(A58,"?","~?"),"*","~*"),Values!$I$3:$I$502,"Yes"))</f>
        <v/>
      </c>
      <c r="N58">
        <f>IF(I58&lt;&gt;"Yes","",IF(M58&lt;2,"",INDEX(Values!$B$3:$B$502,MATCH(A58&amp;"|"&amp;IF(K58=M58,1,K58+1),Values!$L$3:$L$502,0))))</f>
        <v/>
      </c>
      <c r="O58">
        <f>IF(N58="","",INDEX(Values!$J$3:$J$502,MATCH(A58&amp;"|"&amp;IF(K58=M58,1,K58+1),Values!$L$3:$L$502,0)))</f>
        <v/>
      </c>
    </row>
    <row r="59">
      <c r="H59">
        <f>IF(A59="","",IFERROR(INDEX(Attributes!$F$3:$F$52,MATCH(A59,Attributes!$A$3:$A$52,0))&amp;"","Unknown attribute"))</f>
        <v/>
      </c>
      <c r="I59">
        <f>IF(OR(A59="",B59=""),"",IF(AND(H59="Yes",D59&lt;&gt;"No"),"Yes","No"))</f>
        <v/>
      </c>
      <c r="J59">
        <f>IF(I59="Yes",COUNTIF($I$3:I59,"Yes"),"")</f>
        <v/>
      </c>
      <c r="K59">
        <f>IF(I59&lt;&gt;"Yes","",COUNTIFS($A$3:A59,SUBSTITUTE(SUBSTITUTE(A59,"?","~?"),"*","~*"),$I$3:I59,"Yes"))</f>
        <v/>
      </c>
      <c r="L59">
        <f>IF(K59="","",A59&amp;"|"&amp;K59)</f>
        <v/>
      </c>
      <c r="M59">
        <f>IF(I59&lt;&gt;"Yes","",COUNTIFS(Values!$A$3:$A$502,SUBSTITUTE(SUBSTITUTE(A59,"?","~?"),"*","~*"),Values!$I$3:$I$502,"Yes"))</f>
        <v/>
      </c>
      <c r="N59">
        <f>IF(I59&lt;&gt;"Yes","",IF(M59&lt;2,"",INDEX(Values!$B$3:$B$502,MATCH(A59&amp;"|"&amp;IF(K59=M59,1,K59+1),Values!$L$3:$L$502,0))))</f>
        <v/>
      </c>
      <c r="O59">
        <f>IF(N59="","",INDEX(Values!$J$3:$J$502,MATCH(A59&amp;"|"&amp;IF(K59=M59,1,K59+1),Values!$L$3:$L$502,0)))</f>
        <v/>
      </c>
    </row>
    <row r="60">
      <c r="H60">
        <f>IF(A60="","",IFERROR(INDEX(Attributes!$F$3:$F$52,MATCH(A60,Attributes!$A$3:$A$52,0))&amp;"","Unknown attribute"))</f>
        <v/>
      </c>
      <c r="I60">
        <f>IF(OR(A60="",B60=""),"",IF(AND(H60="Yes",D60&lt;&gt;"No"),"Yes","No"))</f>
        <v/>
      </c>
      <c r="J60">
        <f>IF(I60="Yes",COUNTIF($I$3:I60,"Yes"),"")</f>
        <v/>
      </c>
      <c r="K60">
        <f>IF(I60&lt;&gt;"Yes","",COUNTIFS($A$3:A60,SUBSTITUTE(SUBSTITUTE(A60,"?","~?"),"*","~*"),$I$3:I60,"Yes"))</f>
        <v/>
      </c>
      <c r="L60">
        <f>IF(K60="","",A60&amp;"|"&amp;K60)</f>
        <v/>
      </c>
      <c r="M60">
        <f>IF(I60&lt;&gt;"Yes","",COUNTIFS(Values!$A$3:$A$502,SUBSTITUTE(SUBSTITUTE(A60,"?","~?"),"*","~*"),Values!$I$3:$I$502,"Yes"))</f>
        <v/>
      </c>
      <c r="N60">
        <f>IF(I60&lt;&gt;"Yes","",IF(M60&lt;2,"",INDEX(Values!$B$3:$B$502,MATCH(A60&amp;"|"&amp;IF(K60=M60,1,K60+1),Values!$L$3:$L$502,0))))</f>
        <v/>
      </c>
      <c r="O60">
        <f>IF(N60="","",INDEX(Values!$J$3:$J$502,MATCH(A60&amp;"|"&amp;IF(K60=M60,1,K60+1),Values!$L$3:$L$502,0)))</f>
        <v/>
      </c>
    </row>
    <row r="61">
      <c r="H61">
        <f>IF(A61="","",IFERROR(INDEX(Attributes!$F$3:$F$52,MATCH(A61,Attributes!$A$3:$A$52,0))&amp;"","Unknown attribute"))</f>
        <v/>
      </c>
      <c r="I61">
        <f>IF(OR(A61="",B61=""),"",IF(AND(H61="Yes",D61&lt;&gt;"No"),"Yes","No"))</f>
        <v/>
      </c>
      <c r="J61">
        <f>IF(I61="Yes",COUNTIF($I$3:I61,"Yes"),"")</f>
        <v/>
      </c>
      <c r="K61">
        <f>IF(I61&lt;&gt;"Yes","",COUNTIFS($A$3:A61,SUBSTITUTE(SUBSTITUTE(A61,"?","~?"),"*","~*"),$I$3:I61,"Yes"))</f>
        <v/>
      </c>
      <c r="L61">
        <f>IF(K61="","",A61&amp;"|"&amp;K61)</f>
        <v/>
      </c>
      <c r="M61">
        <f>IF(I61&lt;&gt;"Yes","",COUNTIFS(Values!$A$3:$A$502,SUBSTITUTE(SUBSTITUTE(A61,"?","~?"),"*","~*"),Values!$I$3:$I$502,"Yes"))</f>
        <v/>
      </c>
      <c r="N61">
        <f>IF(I61&lt;&gt;"Yes","",IF(M61&lt;2,"",INDEX(Values!$B$3:$B$502,MATCH(A61&amp;"|"&amp;IF(K61=M61,1,K61+1),Values!$L$3:$L$502,0))))</f>
        <v/>
      </c>
      <c r="O61">
        <f>IF(N61="","",INDEX(Values!$J$3:$J$502,MATCH(A61&amp;"|"&amp;IF(K61=M61,1,K61+1),Values!$L$3:$L$502,0)))</f>
        <v/>
      </c>
    </row>
    <row r="62">
      <c r="H62">
        <f>IF(A62="","",IFERROR(INDEX(Attributes!$F$3:$F$52,MATCH(A62,Attributes!$A$3:$A$52,0))&amp;"","Unknown attribute"))</f>
        <v/>
      </c>
      <c r="I62">
        <f>IF(OR(A62="",B62=""),"",IF(AND(H62="Yes",D62&lt;&gt;"No"),"Yes","No"))</f>
        <v/>
      </c>
      <c r="J62">
        <f>IF(I62="Yes",COUNTIF($I$3:I62,"Yes"),"")</f>
        <v/>
      </c>
      <c r="K62">
        <f>IF(I62&lt;&gt;"Yes","",COUNTIFS($A$3:A62,SUBSTITUTE(SUBSTITUTE(A62,"?","~?"),"*","~*"),$I$3:I62,"Yes"))</f>
        <v/>
      </c>
      <c r="L62">
        <f>IF(K62="","",A62&amp;"|"&amp;K62)</f>
        <v/>
      </c>
      <c r="M62">
        <f>IF(I62&lt;&gt;"Yes","",COUNTIFS(Values!$A$3:$A$502,SUBSTITUTE(SUBSTITUTE(A62,"?","~?"),"*","~*"),Values!$I$3:$I$502,"Yes"))</f>
        <v/>
      </c>
      <c r="N62">
        <f>IF(I62&lt;&gt;"Yes","",IF(M62&lt;2,"",INDEX(Values!$B$3:$B$502,MATCH(A62&amp;"|"&amp;IF(K62=M62,1,K62+1),Values!$L$3:$L$502,0))))</f>
        <v/>
      </c>
      <c r="O62">
        <f>IF(N62="","",INDEX(Values!$J$3:$J$502,MATCH(A62&amp;"|"&amp;IF(K62=M62,1,K62+1),Values!$L$3:$L$502,0)))</f>
        <v/>
      </c>
    </row>
    <row r="63">
      <c r="H63">
        <f>IF(A63="","",IFERROR(INDEX(Attributes!$F$3:$F$52,MATCH(A63,Attributes!$A$3:$A$52,0))&amp;"","Unknown attribute"))</f>
        <v/>
      </c>
      <c r="I63">
        <f>IF(OR(A63="",B63=""),"",IF(AND(H63="Yes",D63&lt;&gt;"No"),"Yes","No"))</f>
        <v/>
      </c>
      <c r="J63">
        <f>IF(I63="Yes",COUNTIF($I$3:I63,"Yes"),"")</f>
        <v/>
      </c>
      <c r="K63">
        <f>IF(I63&lt;&gt;"Yes","",COUNTIFS($A$3:A63,SUBSTITUTE(SUBSTITUTE(A63,"?","~?"),"*","~*"),$I$3:I63,"Yes"))</f>
        <v/>
      </c>
      <c r="L63">
        <f>IF(K63="","",A63&amp;"|"&amp;K63)</f>
        <v/>
      </c>
      <c r="M63">
        <f>IF(I63&lt;&gt;"Yes","",COUNTIFS(Values!$A$3:$A$502,SUBSTITUTE(SUBSTITUTE(A63,"?","~?"),"*","~*"),Values!$I$3:$I$502,"Yes"))</f>
        <v/>
      </c>
      <c r="N63">
        <f>IF(I63&lt;&gt;"Yes","",IF(M63&lt;2,"",INDEX(Values!$B$3:$B$502,MATCH(A63&amp;"|"&amp;IF(K63=M63,1,K63+1),Values!$L$3:$L$502,0))))</f>
        <v/>
      </c>
      <c r="O63">
        <f>IF(N63="","",INDEX(Values!$J$3:$J$502,MATCH(A63&amp;"|"&amp;IF(K63=M63,1,K63+1),Values!$L$3:$L$502,0)))</f>
        <v/>
      </c>
    </row>
    <row r="64">
      <c r="H64">
        <f>IF(A64="","",IFERROR(INDEX(Attributes!$F$3:$F$52,MATCH(A64,Attributes!$A$3:$A$52,0))&amp;"","Unknown attribute"))</f>
        <v/>
      </c>
      <c r="I64">
        <f>IF(OR(A64="",B64=""),"",IF(AND(H64="Yes",D64&lt;&gt;"No"),"Yes","No"))</f>
        <v/>
      </c>
      <c r="J64">
        <f>IF(I64="Yes",COUNTIF($I$3:I64,"Yes"),"")</f>
        <v/>
      </c>
      <c r="K64">
        <f>IF(I64&lt;&gt;"Yes","",COUNTIFS($A$3:A64,SUBSTITUTE(SUBSTITUTE(A64,"?","~?"),"*","~*"),$I$3:I64,"Yes"))</f>
        <v/>
      </c>
      <c r="L64">
        <f>IF(K64="","",A64&amp;"|"&amp;K64)</f>
        <v/>
      </c>
      <c r="M64">
        <f>IF(I64&lt;&gt;"Yes","",COUNTIFS(Values!$A$3:$A$502,SUBSTITUTE(SUBSTITUTE(A64,"?","~?"),"*","~*"),Values!$I$3:$I$502,"Yes"))</f>
        <v/>
      </c>
      <c r="N64">
        <f>IF(I64&lt;&gt;"Yes","",IF(M64&lt;2,"",INDEX(Values!$B$3:$B$502,MATCH(A64&amp;"|"&amp;IF(K64=M64,1,K64+1),Values!$L$3:$L$502,0))))</f>
        <v/>
      </c>
      <c r="O64">
        <f>IF(N64="","",INDEX(Values!$J$3:$J$502,MATCH(A64&amp;"|"&amp;IF(K64=M64,1,K64+1),Values!$L$3:$L$502,0)))</f>
        <v/>
      </c>
    </row>
    <row r="65">
      <c r="H65">
        <f>IF(A65="","",IFERROR(INDEX(Attributes!$F$3:$F$52,MATCH(A65,Attributes!$A$3:$A$52,0))&amp;"","Unknown attribute"))</f>
        <v/>
      </c>
      <c r="I65">
        <f>IF(OR(A65="",B65=""),"",IF(AND(H65="Yes",D65&lt;&gt;"No"),"Yes","No"))</f>
        <v/>
      </c>
      <c r="J65">
        <f>IF(I65="Yes",COUNTIF($I$3:I65,"Yes"),"")</f>
        <v/>
      </c>
      <c r="K65">
        <f>IF(I65&lt;&gt;"Yes","",COUNTIFS($A$3:A65,SUBSTITUTE(SUBSTITUTE(A65,"?","~?"),"*","~*"),$I$3:I65,"Yes"))</f>
        <v/>
      </c>
      <c r="L65">
        <f>IF(K65="","",A65&amp;"|"&amp;K65)</f>
        <v/>
      </c>
      <c r="M65">
        <f>IF(I65&lt;&gt;"Yes","",COUNTIFS(Values!$A$3:$A$502,SUBSTITUTE(SUBSTITUTE(A65,"?","~?"),"*","~*"),Values!$I$3:$I$502,"Yes"))</f>
        <v/>
      </c>
      <c r="N65">
        <f>IF(I65&lt;&gt;"Yes","",IF(M65&lt;2,"",INDEX(Values!$B$3:$B$502,MATCH(A65&amp;"|"&amp;IF(K65=M65,1,K65+1),Values!$L$3:$L$502,0))))</f>
        <v/>
      </c>
      <c r="O65">
        <f>IF(N65="","",INDEX(Values!$J$3:$J$502,MATCH(A65&amp;"|"&amp;IF(K65=M65,1,K65+1),Values!$L$3:$L$502,0)))</f>
        <v/>
      </c>
    </row>
    <row r="66">
      <c r="H66">
        <f>IF(A66="","",IFERROR(INDEX(Attributes!$F$3:$F$52,MATCH(A66,Attributes!$A$3:$A$52,0))&amp;"","Unknown attribute"))</f>
        <v/>
      </c>
      <c r="I66">
        <f>IF(OR(A66="",B66=""),"",IF(AND(H66="Yes",D66&lt;&gt;"No"),"Yes","No"))</f>
        <v/>
      </c>
      <c r="J66">
        <f>IF(I66="Yes",COUNTIF($I$3:I66,"Yes"),"")</f>
        <v/>
      </c>
      <c r="K66">
        <f>IF(I66&lt;&gt;"Yes","",COUNTIFS($A$3:A66,SUBSTITUTE(SUBSTITUTE(A66,"?","~?"),"*","~*"),$I$3:I66,"Yes"))</f>
        <v/>
      </c>
      <c r="L66">
        <f>IF(K66="","",A66&amp;"|"&amp;K66)</f>
        <v/>
      </c>
      <c r="M66">
        <f>IF(I66&lt;&gt;"Yes","",COUNTIFS(Values!$A$3:$A$502,SUBSTITUTE(SUBSTITUTE(A66,"?","~?"),"*","~*"),Values!$I$3:$I$502,"Yes"))</f>
        <v/>
      </c>
      <c r="N66">
        <f>IF(I66&lt;&gt;"Yes","",IF(M66&lt;2,"",INDEX(Values!$B$3:$B$502,MATCH(A66&amp;"|"&amp;IF(K66=M66,1,K66+1),Values!$L$3:$L$502,0))))</f>
        <v/>
      </c>
      <c r="O66">
        <f>IF(N66="","",INDEX(Values!$J$3:$J$502,MATCH(A66&amp;"|"&amp;IF(K66=M66,1,K66+1),Values!$L$3:$L$502,0)))</f>
        <v/>
      </c>
    </row>
    <row r="67">
      <c r="H67">
        <f>IF(A67="","",IFERROR(INDEX(Attributes!$F$3:$F$52,MATCH(A67,Attributes!$A$3:$A$52,0))&amp;"","Unknown attribute"))</f>
        <v/>
      </c>
      <c r="I67">
        <f>IF(OR(A67="",B67=""),"",IF(AND(H67="Yes",D67&lt;&gt;"No"),"Yes","No"))</f>
        <v/>
      </c>
      <c r="J67">
        <f>IF(I67="Yes",COUNTIF($I$3:I67,"Yes"),"")</f>
        <v/>
      </c>
      <c r="K67">
        <f>IF(I67&lt;&gt;"Yes","",COUNTIFS($A$3:A67,SUBSTITUTE(SUBSTITUTE(A67,"?","~?"),"*","~*"),$I$3:I67,"Yes"))</f>
        <v/>
      </c>
      <c r="L67">
        <f>IF(K67="","",A67&amp;"|"&amp;K67)</f>
        <v/>
      </c>
      <c r="M67">
        <f>IF(I67&lt;&gt;"Yes","",COUNTIFS(Values!$A$3:$A$502,SUBSTITUTE(SUBSTITUTE(A67,"?","~?"),"*","~*"),Values!$I$3:$I$502,"Yes"))</f>
        <v/>
      </c>
      <c r="N67">
        <f>IF(I67&lt;&gt;"Yes","",IF(M67&lt;2,"",INDEX(Values!$B$3:$B$502,MATCH(A67&amp;"|"&amp;IF(K67=M67,1,K67+1),Values!$L$3:$L$502,0))))</f>
        <v/>
      </c>
      <c r="O67">
        <f>IF(N67="","",INDEX(Values!$J$3:$J$502,MATCH(A67&amp;"|"&amp;IF(K67=M67,1,K67+1),Values!$L$3:$L$502,0)))</f>
        <v/>
      </c>
    </row>
    <row r="68">
      <c r="H68">
        <f>IF(A68="","",IFERROR(INDEX(Attributes!$F$3:$F$52,MATCH(A68,Attributes!$A$3:$A$52,0))&amp;"","Unknown attribute"))</f>
        <v/>
      </c>
      <c r="I68">
        <f>IF(OR(A68="",B68=""),"",IF(AND(H68="Yes",D68&lt;&gt;"No"),"Yes","No"))</f>
        <v/>
      </c>
      <c r="J68">
        <f>IF(I68="Yes",COUNTIF($I$3:I68,"Yes"),"")</f>
        <v/>
      </c>
      <c r="K68">
        <f>IF(I68&lt;&gt;"Yes","",COUNTIFS($A$3:A68,SUBSTITUTE(SUBSTITUTE(A68,"?","~?"),"*","~*"),$I$3:I68,"Yes"))</f>
        <v/>
      </c>
      <c r="L68">
        <f>IF(K68="","",A68&amp;"|"&amp;K68)</f>
        <v/>
      </c>
      <c r="M68">
        <f>IF(I68&lt;&gt;"Yes","",COUNTIFS(Values!$A$3:$A$502,SUBSTITUTE(SUBSTITUTE(A68,"?","~?"),"*","~*"),Values!$I$3:$I$502,"Yes"))</f>
        <v/>
      </c>
      <c r="N68">
        <f>IF(I68&lt;&gt;"Yes","",IF(M68&lt;2,"",INDEX(Values!$B$3:$B$502,MATCH(A68&amp;"|"&amp;IF(K68=M68,1,K68+1),Values!$L$3:$L$502,0))))</f>
        <v/>
      </c>
      <c r="O68">
        <f>IF(N68="","",INDEX(Values!$J$3:$J$502,MATCH(A68&amp;"|"&amp;IF(K68=M68,1,K68+1),Values!$L$3:$L$502,0)))</f>
        <v/>
      </c>
    </row>
    <row r="69">
      <c r="H69">
        <f>IF(A69="","",IFERROR(INDEX(Attributes!$F$3:$F$52,MATCH(A69,Attributes!$A$3:$A$52,0))&amp;"","Unknown attribute"))</f>
        <v/>
      </c>
      <c r="I69">
        <f>IF(OR(A69="",B69=""),"",IF(AND(H69="Yes",D69&lt;&gt;"No"),"Yes","No"))</f>
        <v/>
      </c>
      <c r="J69">
        <f>IF(I69="Yes",COUNTIF($I$3:I69,"Yes"),"")</f>
        <v/>
      </c>
      <c r="K69">
        <f>IF(I69&lt;&gt;"Yes","",COUNTIFS($A$3:A69,SUBSTITUTE(SUBSTITUTE(A69,"?","~?"),"*","~*"),$I$3:I69,"Yes"))</f>
        <v/>
      </c>
      <c r="L69">
        <f>IF(K69="","",A69&amp;"|"&amp;K69)</f>
        <v/>
      </c>
      <c r="M69">
        <f>IF(I69&lt;&gt;"Yes","",COUNTIFS(Values!$A$3:$A$502,SUBSTITUTE(SUBSTITUTE(A69,"?","~?"),"*","~*"),Values!$I$3:$I$502,"Yes"))</f>
        <v/>
      </c>
      <c r="N69">
        <f>IF(I69&lt;&gt;"Yes","",IF(M69&lt;2,"",INDEX(Values!$B$3:$B$502,MATCH(A69&amp;"|"&amp;IF(K69=M69,1,K69+1),Values!$L$3:$L$502,0))))</f>
        <v/>
      </c>
      <c r="O69">
        <f>IF(N69="","",INDEX(Values!$J$3:$J$502,MATCH(A69&amp;"|"&amp;IF(K69=M69,1,K69+1),Values!$L$3:$L$502,0)))</f>
        <v/>
      </c>
    </row>
    <row r="70">
      <c r="H70">
        <f>IF(A70="","",IFERROR(INDEX(Attributes!$F$3:$F$52,MATCH(A70,Attributes!$A$3:$A$52,0))&amp;"","Unknown attribute"))</f>
        <v/>
      </c>
      <c r="I70">
        <f>IF(OR(A70="",B70=""),"",IF(AND(H70="Yes",D70&lt;&gt;"No"),"Yes","No"))</f>
        <v/>
      </c>
      <c r="J70">
        <f>IF(I70="Yes",COUNTIF($I$3:I70,"Yes"),"")</f>
        <v/>
      </c>
      <c r="K70">
        <f>IF(I70&lt;&gt;"Yes","",COUNTIFS($A$3:A70,SUBSTITUTE(SUBSTITUTE(A70,"?","~?"),"*","~*"),$I$3:I70,"Yes"))</f>
        <v/>
      </c>
      <c r="L70">
        <f>IF(K70="","",A70&amp;"|"&amp;K70)</f>
        <v/>
      </c>
      <c r="M70">
        <f>IF(I70&lt;&gt;"Yes","",COUNTIFS(Values!$A$3:$A$502,SUBSTITUTE(SUBSTITUTE(A70,"?","~?"),"*","~*"),Values!$I$3:$I$502,"Yes"))</f>
        <v/>
      </c>
      <c r="N70">
        <f>IF(I70&lt;&gt;"Yes","",IF(M70&lt;2,"",INDEX(Values!$B$3:$B$502,MATCH(A70&amp;"|"&amp;IF(K70=M70,1,K70+1),Values!$L$3:$L$502,0))))</f>
        <v/>
      </c>
      <c r="O70">
        <f>IF(N70="","",INDEX(Values!$J$3:$J$502,MATCH(A70&amp;"|"&amp;IF(K70=M70,1,K70+1),Values!$L$3:$L$502,0)))</f>
        <v/>
      </c>
    </row>
    <row r="71">
      <c r="H71">
        <f>IF(A71="","",IFERROR(INDEX(Attributes!$F$3:$F$52,MATCH(A71,Attributes!$A$3:$A$52,0))&amp;"","Unknown attribute"))</f>
        <v/>
      </c>
      <c r="I71">
        <f>IF(OR(A71="",B71=""),"",IF(AND(H71="Yes",D71&lt;&gt;"No"),"Yes","No"))</f>
        <v/>
      </c>
      <c r="J71">
        <f>IF(I71="Yes",COUNTIF($I$3:I71,"Yes"),"")</f>
        <v/>
      </c>
      <c r="K71">
        <f>IF(I71&lt;&gt;"Yes","",COUNTIFS($A$3:A71,SUBSTITUTE(SUBSTITUTE(A71,"?","~?"),"*","~*"),$I$3:I71,"Yes"))</f>
        <v/>
      </c>
      <c r="L71">
        <f>IF(K71="","",A71&amp;"|"&amp;K71)</f>
        <v/>
      </c>
      <c r="M71">
        <f>IF(I71&lt;&gt;"Yes","",COUNTIFS(Values!$A$3:$A$502,SUBSTITUTE(SUBSTITUTE(A71,"?","~?"),"*","~*"),Values!$I$3:$I$502,"Yes"))</f>
        <v/>
      </c>
      <c r="N71">
        <f>IF(I71&lt;&gt;"Yes","",IF(M71&lt;2,"",INDEX(Values!$B$3:$B$502,MATCH(A71&amp;"|"&amp;IF(K71=M71,1,K71+1),Values!$L$3:$L$502,0))))</f>
        <v/>
      </c>
      <c r="O71">
        <f>IF(N71="","",INDEX(Values!$J$3:$J$502,MATCH(A71&amp;"|"&amp;IF(K71=M71,1,K71+1),Values!$L$3:$L$502,0)))</f>
        <v/>
      </c>
    </row>
    <row r="72">
      <c r="H72">
        <f>IF(A72="","",IFERROR(INDEX(Attributes!$F$3:$F$52,MATCH(A72,Attributes!$A$3:$A$52,0))&amp;"","Unknown attribute"))</f>
        <v/>
      </c>
      <c r="I72">
        <f>IF(OR(A72="",B72=""),"",IF(AND(H72="Yes",D72&lt;&gt;"No"),"Yes","No"))</f>
        <v/>
      </c>
      <c r="J72">
        <f>IF(I72="Yes",COUNTIF($I$3:I72,"Yes"),"")</f>
        <v/>
      </c>
      <c r="K72">
        <f>IF(I72&lt;&gt;"Yes","",COUNTIFS($A$3:A72,SUBSTITUTE(SUBSTITUTE(A72,"?","~?"),"*","~*"),$I$3:I72,"Yes"))</f>
        <v/>
      </c>
      <c r="L72">
        <f>IF(K72="","",A72&amp;"|"&amp;K72)</f>
        <v/>
      </c>
      <c r="M72">
        <f>IF(I72&lt;&gt;"Yes","",COUNTIFS(Values!$A$3:$A$502,SUBSTITUTE(SUBSTITUTE(A72,"?","~?"),"*","~*"),Values!$I$3:$I$502,"Yes"))</f>
        <v/>
      </c>
      <c r="N72">
        <f>IF(I72&lt;&gt;"Yes","",IF(M72&lt;2,"",INDEX(Values!$B$3:$B$502,MATCH(A72&amp;"|"&amp;IF(K72=M72,1,K72+1),Values!$L$3:$L$502,0))))</f>
        <v/>
      </c>
      <c r="O72">
        <f>IF(N72="","",INDEX(Values!$J$3:$J$502,MATCH(A72&amp;"|"&amp;IF(K72=M72,1,K72+1),Values!$L$3:$L$502,0)))</f>
        <v/>
      </c>
    </row>
    <row r="73">
      <c r="H73">
        <f>IF(A73="","",IFERROR(INDEX(Attributes!$F$3:$F$52,MATCH(A73,Attributes!$A$3:$A$52,0))&amp;"","Unknown attribute"))</f>
        <v/>
      </c>
      <c r="I73">
        <f>IF(OR(A73="",B73=""),"",IF(AND(H73="Yes",D73&lt;&gt;"No"),"Yes","No"))</f>
        <v/>
      </c>
      <c r="J73">
        <f>IF(I73="Yes",COUNTIF($I$3:I73,"Yes"),"")</f>
        <v/>
      </c>
      <c r="K73">
        <f>IF(I73&lt;&gt;"Yes","",COUNTIFS($A$3:A73,SUBSTITUTE(SUBSTITUTE(A73,"?","~?"),"*","~*"),$I$3:I73,"Yes"))</f>
        <v/>
      </c>
      <c r="L73">
        <f>IF(K73="","",A73&amp;"|"&amp;K73)</f>
        <v/>
      </c>
      <c r="M73">
        <f>IF(I73&lt;&gt;"Yes","",COUNTIFS(Values!$A$3:$A$502,SUBSTITUTE(SUBSTITUTE(A73,"?","~?"),"*","~*"),Values!$I$3:$I$502,"Yes"))</f>
        <v/>
      </c>
      <c r="N73">
        <f>IF(I73&lt;&gt;"Yes","",IF(M73&lt;2,"",INDEX(Values!$B$3:$B$502,MATCH(A73&amp;"|"&amp;IF(K73=M73,1,K73+1),Values!$L$3:$L$502,0))))</f>
        <v/>
      </c>
      <c r="O73">
        <f>IF(N73="","",INDEX(Values!$J$3:$J$502,MATCH(A73&amp;"|"&amp;IF(K73=M73,1,K73+1),Values!$L$3:$L$502,0)))</f>
        <v/>
      </c>
    </row>
    <row r="74">
      <c r="H74">
        <f>IF(A74="","",IFERROR(INDEX(Attributes!$F$3:$F$52,MATCH(A74,Attributes!$A$3:$A$52,0))&amp;"","Unknown attribute"))</f>
        <v/>
      </c>
      <c r="I74">
        <f>IF(OR(A74="",B74=""),"",IF(AND(H74="Yes",D74&lt;&gt;"No"),"Yes","No"))</f>
        <v/>
      </c>
      <c r="J74">
        <f>IF(I74="Yes",COUNTIF($I$3:I74,"Yes"),"")</f>
        <v/>
      </c>
      <c r="K74">
        <f>IF(I74&lt;&gt;"Yes","",COUNTIFS($A$3:A74,SUBSTITUTE(SUBSTITUTE(A74,"?","~?"),"*","~*"),$I$3:I74,"Yes"))</f>
        <v/>
      </c>
      <c r="L74">
        <f>IF(K74="","",A74&amp;"|"&amp;K74)</f>
        <v/>
      </c>
      <c r="M74">
        <f>IF(I74&lt;&gt;"Yes","",COUNTIFS(Values!$A$3:$A$502,SUBSTITUTE(SUBSTITUTE(A74,"?","~?"),"*","~*"),Values!$I$3:$I$502,"Yes"))</f>
        <v/>
      </c>
      <c r="N74">
        <f>IF(I74&lt;&gt;"Yes","",IF(M74&lt;2,"",INDEX(Values!$B$3:$B$502,MATCH(A74&amp;"|"&amp;IF(K74=M74,1,K74+1),Values!$L$3:$L$502,0))))</f>
        <v/>
      </c>
      <c r="O74">
        <f>IF(N74="","",INDEX(Values!$J$3:$J$502,MATCH(A74&amp;"|"&amp;IF(K74=M74,1,K74+1),Values!$L$3:$L$502,0)))</f>
        <v/>
      </c>
    </row>
    <row r="75">
      <c r="H75">
        <f>IF(A75="","",IFERROR(INDEX(Attributes!$F$3:$F$52,MATCH(A75,Attributes!$A$3:$A$52,0))&amp;"","Unknown attribute"))</f>
        <v/>
      </c>
      <c r="I75">
        <f>IF(OR(A75="",B75=""),"",IF(AND(H75="Yes",D75&lt;&gt;"No"),"Yes","No"))</f>
        <v/>
      </c>
      <c r="J75">
        <f>IF(I75="Yes",COUNTIF($I$3:I75,"Yes"),"")</f>
        <v/>
      </c>
      <c r="K75">
        <f>IF(I75&lt;&gt;"Yes","",COUNTIFS($A$3:A75,SUBSTITUTE(SUBSTITUTE(A75,"?","~?"),"*","~*"),$I$3:I75,"Yes"))</f>
        <v/>
      </c>
      <c r="L75">
        <f>IF(K75="","",A75&amp;"|"&amp;K75)</f>
        <v/>
      </c>
      <c r="M75">
        <f>IF(I75&lt;&gt;"Yes","",COUNTIFS(Values!$A$3:$A$502,SUBSTITUTE(SUBSTITUTE(A75,"?","~?"),"*","~*"),Values!$I$3:$I$502,"Yes"))</f>
        <v/>
      </c>
      <c r="N75">
        <f>IF(I75&lt;&gt;"Yes","",IF(M75&lt;2,"",INDEX(Values!$B$3:$B$502,MATCH(A75&amp;"|"&amp;IF(K75=M75,1,K75+1),Values!$L$3:$L$502,0))))</f>
        <v/>
      </c>
      <c r="O75">
        <f>IF(N75="","",INDEX(Values!$J$3:$J$502,MATCH(A75&amp;"|"&amp;IF(K75=M75,1,K75+1),Values!$L$3:$L$502,0)))</f>
        <v/>
      </c>
    </row>
    <row r="76">
      <c r="H76">
        <f>IF(A76="","",IFERROR(INDEX(Attributes!$F$3:$F$52,MATCH(A76,Attributes!$A$3:$A$52,0))&amp;"","Unknown attribute"))</f>
        <v/>
      </c>
      <c r="I76">
        <f>IF(OR(A76="",B76=""),"",IF(AND(H76="Yes",D76&lt;&gt;"No"),"Yes","No"))</f>
        <v/>
      </c>
      <c r="J76">
        <f>IF(I76="Yes",COUNTIF($I$3:I76,"Yes"),"")</f>
        <v/>
      </c>
      <c r="K76">
        <f>IF(I76&lt;&gt;"Yes","",COUNTIFS($A$3:A76,SUBSTITUTE(SUBSTITUTE(A76,"?","~?"),"*","~*"),$I$3:I76,"Yes"))</f>
        <v/>
      </c>
      <c r="L76">
        <f>IF(K76="","",A76&amp;"|"&amp;K76)</f>
        <v/>
      </c>
      <c r="M76">
        <f>IF(I76&lt;&gt;"Yes","",COUNTIFS(Values!$A$3:$A$502,SUBSTITUTE(SUBSTITUTE(A76,"?","~?"),"*","~*"),Values!$I$3:$I$502,"Yes"))</f>
        <v/>
      </c>
      <c r="N76">
        <f>IF(I76&lt;&gt;"Yes","",IF(M76&lt;2,"",INDEX(Values!$B$3:$B$502,MATCH(A76&amp;"|"&amp;IF(K76=M76,1,K76+1),Values!$L$3:$L$502,0))))</f>
        <v/>
      </c>
      <c r="O76">
        <f>IF(N76="","",INDEX(Values!$J$3:$J$502,MATCH(A76&amp;"|"&amp;IF(K76=M76,1,K76+1),Values!$L$3:$L$502,0)))</f>
        <v/>
      </c>
    </row>
    <row r="77">
      <c r="H77">
        <f>IF(A77="","",IFERROR(INDEX(Attributes!$F$3:$F$52,MATCH(A77,Attributes!$A$3:$A$52,0))&amp;"","Unknown attribute"))</f>
        <v/>
      </c>
      <c r="I77">
        <f>IF(OR(A77="",B77=""),"",IF(AND(H77="Yes",D77&lt;&gt;"No"),"Yes","No"))</f>
        <v/>
      </c>
      <c r="J77">
        <f>IF(I77="Yes",COUNTIF($I$3:I77,"Yes"),"")</f>
        <v/>
      </c>
      <c r="K77">
        <f>IF(I77&lt;&gt;"Yes","",COUNTIFS($A$3:A77,SUBSTITUTE(SUBSTITUTE(A77,"?","~?"),"*","~*"),$I$3:I77,"Yes"))</f>
        <v/>
      </c>
      <c r="L77">
        <f>IF(K77="","",A77&amp;"|"&amp;K77)</f>
        <v/>
      </c>
      <c r="M77">
        <f>IF(I77&lt;&gt;"Yes","",COUNTIFS(Values!$A$3:$A$502,SUBSTITUTE(SUBSTITUTE(A77,"?","~?"),"*","~*"),Values!$I$3:$I$502,"Yes"))</f>
        <v/>
      </c>
      <c r="N77">
        <f>IF(I77&lt;&gt;"Yes","",IF(M77&lt;2,"",INDEX(Values!$B$3:$B$502,MATCH(A77&amp;"|"&amp;IF(K77=M77,1,K77+1),Values!$L$3:$L$502,0))))</f>
        <v/>
      </c>
      <c r="O77">
        <f>IF(N77="","",INDEX(Values!$J$3:$J$502,MATCH(A77&amp;"|"&amp;IF(K77=M77,1,K77+1),Values!$L$3:$L$502,0)))</f>
        <v/>
      </c>
    </row>
    <row r="78">
      <c r="H78">
        <f>IF(A78="","",IFERROR(INDEX(Attributes!$F$3:$F$52,MATCH(A78,Attributes!$A$3:$A$52,0))&amp;"","Unknown attribute"))</f>
        <v/>
      </c>
      <c r="I78">
        <f>IF(OR(A78="",B78=""),"",IF(AND(H78="Yes",D78&lt;&gt;"No"),"Yes","No"))</f>
        <v/>
      </c>
      <c r="J78">
        <f>IF(I78="Yes",COUNTIF($I$3:I78,"Yes"),"")</f>
        <v/>
      </c>
      <c r="K78">
        <f>IF(I78&lt;&gt;"Yes","",COUNTIFS($A$3:A78,SUBSTITUTE(SUBSTITUTE(A78,"?","~?"),"*","~*"),$I$3:I78,"Yes"))</f>
        <v/>
      </c>
      <c r="L78">
        <f>IF(K78="","",A78&amp;"|"&amp;K78)</f>
        <v/>
      </c>
      <c r="M78">
        <f>IF(I78&lt;&gt;"Yes","",COUNTIFS(Values!$A$3:$A$502,SUBSTITUTE(SUBSTITUTE(A78,"?","~?"),"*","~*"),Values!$I$3:$I$502,"Yes"))</f>
        <v/>
      </c>
      <c r="N78">
        <f>IF(I78&lt;&gt;"Yes","",IF(M78&lt;2,"",INDEX(Values!$B$3:$B$502,MATCH(A78&amp;"|"&amp;IF(K78=M78,1,K78+1),Values!$L$3:$L$502,0))))</f>
        <v/>
      </c>
      <c r="O78">
        <f>IF(N78="","",INDEX(Values!$J$3:$J$502,MATCH(A78&amp;"|"&amp;IF(K78=M78,1,K78+1),Values!$L$3:$L$502,0)))</f>
        <v/>
      </c>
    </row>
    <row r="79">
      <c r="H79">
        <f>IF(A79="","",IFERROR(INDEX(Attributes!$F$3:$F$52,MATCH(A79,Attributes!$A$3:$A$52,0))&amp;"","Unknown attribute"))</f>
        <v/>
      </c>
      <c r="I79">
        <f>IF(OR(A79="",B79=""),"",IF(AND(H79="Yes",D79&lt;&gt;"No"),"Yes","No"))</f>
        <v/>
      </c>
      <c r="J79">
        <f>IF(I79="Yes",COUNTIF($I$3:I79,"Yes"),"")</f>
        <v/>
      </c>
      <c r="K79">
        <f>IF(I79&lt;&gt;"Yes","",COUNTIFS($A$3:A79,SUBSTITUTE(SUBSTITUTE(A79,"?","~?"),"*","~*"),$I$3:I79,"Yes"))</f>
        <v/>
      </c>
      <c r="L79">
        <f>IF(K79="","",A79&amp;"|"&amp;K79)</f>
        <v/>
      </c>
      <c r="M79">
        <f>IF(I79&lt;&gt;"Yes","",COUNTIFS(Values!$A$3:$A$502,SUBSTITUTE(SUBSTITUTE(A79,"?","~?"),"*","~*"),Values!$I$3:$I$502,"Yes"))</f>
        <v/>
      </c>
      <c r="N79">
        <f>IF(I79&lt;&gt;"Yes","",IF(M79&lt;2,"",INDEX(Values!$B$3:$B$502,MATCH(A79&amp;"|"&amp;IF(K79=M79,1,K79+1),Values!$L$3:$L$502,0))))</f>
        <v/>
      </c>
      <c r="O79">
        <f>IF(N79="","",INDEX(Values!$J$3:$J$502,MATCH(A79&amp;"|"&amp;IF(K79=M79,1,K79+1),Values!$L$3:$L$502,0)))</f>
        <v/>
      </c>
    </row>
    <row r="80">
      <c r="H80">
        <f>IF(A80="","",IFERROR(INDEX(Attributes!$F$3:$F$52,MATCH(A80,Attributes!$A$3:$A$52,0))&amp;"","Unknown attribute"))</f>
        <v/>
      </c>
      <c r="I80">
        <f>IF(OR(A80="",B80=""),"",IF(AND(H80="Yes",D80&lt;&gt;"No"),"Yes","No"))</f>
        <v/>
      </c>
      <c r="J80">
        <f>IF(I80="Yes",COUNTIF($I$3:I80,"Yes"),"")</f>
        <v/>
      </c>
      <c r="K80">
        <f>IF(I80&lt;&gt;"Yes","",COUNTIFS($A$3:A80,SUBSTITUTE(SUBSTITUTE(A80,"?","~?"),"*","~*"),$I$3:I80,"Yes"))</f>
        <v/>
      </c>
      <c r="L80">
        <f>IF(K80="","",A80&amp;"|"&amp;K80)</f>
        <v/>
      </c>
      <c r="M80">
        <f>IF(I80&lt;&gt;"Yes","",COUNTIFS(Values!$A$3:$A$502,SUBSTITUTE(SUBSTITUTE(A80,"?","~?"),"*","~*"),Values!$I$3:$I$502,"Yes"))</f>
        <v/>
      </c>
      <c r="N80">
        <f>IF(I80&lt;&gt;"Yes","",IF(M80&lt;2,"",INDEX(Values!$B$3:$B$502,MATCH(A80&amp;"|"&amp;IF(K80=M80,1,K80+1),Values!$L$3:$L$502,0))))</f>
        <v/>
      </c>
      <c r="O80">
        <f>IF(N80="","",INDEX(Values!$J$3:$J$502,MATCH(A80&amp;"|"&amp;IF(K80=M80,1,K80+1),Values!$L$3:$L$502,0)))</f>
        <v/>
      </c>
    </row>
    <row r="81">
      <c r="H81">
        <f>IF(A81="","",IFERROR(INDEX(Attributes!$F$3:$F$52,MATCH(A81,Attributes!$A$3:$A$52,0))&amp;"","Unknown attribute"))</f>
        <v/>
      </c>
      <c r="I81">
        <f>IF(OR(A81="",B81=""),"",IF(AND(H81="Yes",D81&lt;&gt;"No"),"Yes","No"))</f>
        <v/>
      </c>
      <c r="J81">
        <f>IF(I81="Yes",COUNTIF($I$3:I81,"Yes"),"")</f>
        <v/>
      </c>
      <c r="K81">
        <f>IF(I81&lt;&gt;"Yes","",COUNTIFS($A$3:A81,SUBSTITUTE(SUBSTITUTE(A81,"?","~?"),"*","~*"),$I$3:I81,"Yes"))</f>
        <v/>
      </c>
      <c r="L81">
        <f>IF(K81="","",A81&amp;"|"&amp;K81)</f>
        <v/>
      </c>
      <c r="M81">
        <f>IF(I81&lt;&gt;"Yes","",COUNTIFS(Values!$A$3:$A$502,SUBSTITUTE(SUBSTITUTE(A81,"?","~?"),"*","~*"),Values!$I$3:$I$502,"Yes"))</f>
        <v/>
      </c>
      <c r="N81">
        <f>IF(I81&lt;&gt;"Yes","",IF(M81&lt;2,"",INDEX(Values!$B$3:$B$502,MATCH(A81&amp;"|"&amp;IF(K81=M81,1,K81+1),Values!$L$3:$L$502,0))))</f>
        <v/>
      </c>
      <c r="O81">
        <f>IF(N81="","",INDEX(Values!$J$3:$J$502,MATCH(A81&amp;"|"&amp;IF(K81=M81,1,K81+1),Values!$L$3:$L$502,0)))</f>
        <v/>
      </c>
    </row>
    <row r="82">
      <c r="H82">
        <f>IF(A82="","",IFERROR(INDEX(Attributes!$F$3:$F$52,MATCH(A82,Attributes!$A$3:$A$52,0))&amp;"","Unknown attribute"))</f>
        <v/>
      </c>
      <c r="I82">
        <f>IF(OR(A82="",B82=""),"",IF(AND(H82="Yes",D82&lt;&gt;"No"),"Yes","No"))</f>
        <v/>
      </c>
      <c r="J82">
        <f>IF(I82="Yes",COUNTIF($I$3:I82,"Yes"),"")</f>
        <v/>
      </c>
      <c r="K82">
        <f>IF(I82&lt;&gt;"Yes","",COUNTIFS($A$3:A82,SUBSTITUTE(SUBSTITUTE(A82,"?","~?"),"*","~*"),$I$3:I82,"Yes"))</f>
        <v/>
      </c>
      <c r="L82">
        <f>IF(K82="","",A82&amp;"|"&amp;K82)</f>
        <v/>
      </c>
      <c r="M82">
        <f>IF(I82&lt;&gt;"Yes","",COUNTIFS(Values!$A$3:$A$502,SUBSTITUTE(SUBSTITUTE(A82,"?","~?"),"*","~*"),Values!$I$3:$I$502,"Yes"))</f>
        <v/>
      </c>
      <c r="N82">
        <f>IF(I82&lt;&gt;"Yes","",IF(M82&lt;2,"",INDEX(Values!$B$3:$B$502,MATCH(A82&amp;"|"&amp;IF(K82=M82,1,K82+1),Values!$L$3:$L$502,0))))</f>
        <v/>
      </c>
      <c r="O82">
        <f>IF(N82="","",INDEX(Values!$J$3:$J$502,MATCH(A82&amp;"|"&amp;IF(K82=M82,1,K82+1),Values!$L$3:$L$502,0)))</f>
        <v/>
      </c>
    </row>
    <row r="83">
      <c r="H83">
        <f>IF(A83="","",IFERROR(INDEX(Attributes!$F$3:$F$52,MATCH(A83,Attributes!$A$3:$A$52,0))&amp;"","Unknown attribute"))</f>
        <v/>
      </c>
      <c r="I83">
        <f>IF(OR(A83="",B83=""),"",IF(AND(H83="Yes",D83&lt;&gt;"No"),"Yes","No"))</f>
        <v/>
      </c>
      <c r="J83">
        <f>IF(I83="Yes",COUNTIF($I$3:I83,"Yes"),"")</f>
        <v/>
      </c>
      <c r="K83">
        <f>IF(I83&lt;&gt;"Yes","",COUNTIFS($A$3:A83,SUBSTITUTE(SUBSTITUTE(A83,"?","~?"),"*","~*"),$I$3:I83,"Yes"))</f>
        <v/>
      </c>
      <c r="L83">
        <f>IF(K83="","",A83&amp;"|"&amp;K83)</f>
        <v/>
      </c>
      <c r="M83">
        <f>IF(I83&lt;&gt;"Yes","",COUNTIFS(Values!$A$3:$A$502,SUBSTITUTE(SUBSTITUTE(A83,"?","~?"),"*","~*"),Values!$I$3:$I$502,"Yes"))</f>
        <v/>
      </c>
      <c r="N83">
        <f>IF(I83&lt;&gt;"Yes","",IF(M83&lt;2,"",INDEX(Values!$B$3:$B$502,MATCH(A83&amp;"|"&amp;IF(K83=M83,1,K83+1),Values!$L$3:$L$502,0))))</f>
        <v/>
      </c>
      <c r="O83">
        <f>IF(N83="","",INDEX(Values!$J$3:$J$502,MATCH(A83&amp;"|"&amp;IF(K83=M83,1,K83+1),Values!$L$3:$L$502,0)))</f>
        <v/>
      </c>
    </row>
    <row r="84">
      <c r="H84">
        <f>IF(A84="","",IFERROR(INDEX(Attributes!$F$3:$F$52,MATCH(A84,Attributes!$A$3:$A$52,0))&amp;"","Unknown attribute"))</f>
        <v/>
      </c>
      <c r="I84">
        <f>IF(OR(A84="",B84=""),"",IF(AND(H84="Yes",D84&lt;&gt;"No"),"Yes","No"))</f>
        <v/>
      </c>
      <c r="J84">
        <f>IF(I84="Yes",COUNTIF($I$3:I84,"Yes"),"")</f>
        <v/>
      </c>
      <c r="K84">
        <f>IF(I84&lt;&gt;"Yes","",COUNTIFS($A$3:A84,SUBSTITUTE(SUBSTITUTE(A84,"?","~?"),"*","~*"),$I$3:I84,"Yes"))</f>
        <v/>
      </c>
      <c r="L84">
        <f>IF(K84="","",A84&amp;"|"&amp;K84)</f>
        <v/>
      </c>
      <c r="M84">
        <f>IF(I84&lt;&gt;"Yes","",COUNTIFS(Values!$A$3:$A$502,SUBSTITUTE(SUBSTITUTE(A84,"?","~?"),"*","~*"),Values!$I$3:$I$502,"Yes"))</f>
        <v/>
      </c>
      <c r="N84">
        <f>IF(I84&lt;&gt;"Yes","",IF(M84&lt;2,"",INDEX(Values!$B$3:$B$502,MATCH(A84&amp;"|"&amp;IF(K84=M84,1,K84+1),Values!$L$3:$L$502,0))))</f>
        <v/>
      </c>
      <c r="O84">
        <f>IF(N84="","",INDEX(Values!$J$3:$J$502,MATCH(A84&amp;"|"&amp;IF(K84=M84,1,K84+1),Values!$L$3:$L$502,0)))</f>
        <v/>
      </c>
    </row>
    <row r="85">
      <c r="H85">
        <f>IF(A85="","",IFERROR(INDEX(Attributes!$F$3:$F$52,MATCH(A85,Attributes!$A$3:$A$52,0))&amp;"","Unknown attribute"))</f>
        <v/>
      </c>
      <c r="I85">
        <f>IF(OR(A85="",B85=""),"",IF(AND(H85="Yes",D85&lt;&gt;"No"),"Yes","No"))</f>
        <v/>
      </c>
      <c r="J85">
        <f>IF(I85="Yes",COUNTIF($I$3:I85,"Yes"),"")</f>
        <v/>
      </c>
      <c r="K85">
        <f>IF(I85&lt;&gt;"Yes","",COUNTIFS($A$3:A85,SUBSTITUTE(SUBSTITUTE(A85,"?","~?"),"*","~*"),$I$3:I85,"Yes"))</f>
        <v/>
      </c>
      <c r="L85">
        <f>IF(K85="","",A85&amp;"|"&amp;K85)</f>
        <v/>
      </c>
      <c r="M85">
        <f>IF(I85&lt;&gt;"Yes","",COUNTIFS(Values!$A$3:$A$502,SUBSTITUTE(SUBSTITUTE(A85,"?","~?"),"*","~*"),Values!$I$3:$I$502,"Yes"))</f>
        <v/>
      </c>
      <c r="N85">
        <f>IF(I85&lt;&gt;"Yes","",IF(M85&lt;2,"",INDEX(Values!$B$3:$B$502,MATCH(A85&amp;"|"&amp;IF(K85=M85,1,K85+1),Values!$L$3:$L$502,0))))</f>
        <v/>
      </c>
      <c r="O85">
        <f>IF(N85="","",INDEX(Values!$J$3:$J$502,MATCH(A85&amp;"|"&amp;IF(K85=M85,1,K85+1),Values!$L$3:$L$502,0)))</f>
        <v/>
      </c>
    </row>
    <row r="86">
      <c r="H86">
        <f>IF(A86="","",IFERROR(INDEX(Attributes!$F$3:$F$52,MATCH(A86,Attributes!$A$3:$A$52,0))&amp;"","Unknown attribute"))</f>
        <v/>
      </c>
      <c r="I86">
        <f>IF(OR(A86="",B86=""),"",IF(AND(H86="Yes",D86&lt;&gt;"No"),"Yes","No"))</f>
        <v/>
      </c>
      <c r="J86">
        <f>IF(I86="Yes",COUNTIF($I$3:I86,"Yes"),"")</f>
        <v/>
      </c>
      <c r="K86">
        <f>IF(I86&lt;&gt;"Yes","",COUNTIFS($A$3:A86,SUBSTITUTE(SUBSTITUTE(A86,"?","~?"),"*","~*"),$I$3:I86,"Yes"))</f>
        <v/>
      </c>
      <c r="L86">
        <f>IF(K86="","",A86&amp;"|"&amp;K86)</f>
        <v/>
      </c>
      <c r="M86">
        <f>IF(I86&lt;&gt;"Yes","",COUNTIFS(Values!$A$3:$A$502,SUBSTITUTE(SUBSTITUTE(A86,"?","~?"),"*","~*"),Values!$I$3:$I$502,"Yes"))</f>
        <v/>
      </c>
      <c r="N86">
        <f>IF(I86&lt;&gt;"Yes","",IF(M86&lt;2,"",INDEX(Values!$B$3:$B$502,MATCH(A86&amp;"|"&amp;IF(K86=M86,1,K86+1),Values!$L$3:$L$502,0))))</f>
        <v/>
      </c>
      <c r="O86">
        <f>IF(N86="","",INDEX(Values!$J$3:$J$502,MATCH(A86&amp;"|"&amp;IF(K86=M86,1,K86+1),Values!$L$3:$L$502,0)))</f>
        <v/>
      </c>
    </row>
    <row r="87">
      <c r="H87">
        <f>IF(A87="","",IFERROR(INDEX(Attributes!$F$3:$F$52,MATCH(A87,Attributes!$A$3:$A$52,0))&amp;"","Unknown attribute"))</f>
        <v/>
      </c>
      <c r="I87">
        <f>IF(OR(A87="",B87=""),"",IF(AND(H87="Yes",D87&lt;&gt;"No"),"Yes","No"))</f>
        <v/>
      </c>
      <c r="J87">
        <f>IF(I87="Yes",COUNTIF($I$3:I87,"Yes"),"")</f>
        <v/>
      </c>
      <c r="K87">
        <f>IF(I87&lt;&gt;"Yes","",COUNTIFS($A$3:A87,SUBSTITUTE(SUBSTITUTE(A87,"?","~?"),"*","~*"),$I$3:I87,"Yes"))</f>
        <v/>
      </c>
      <c r="L87">
        <f>IF(K87="","",A87&amp;"|"&amp;K87)</f>
        <v/>
      </c>
      <c r="M87">
        <f>IF(I87&lt;&gt;"Yes","",COUNTIFS(Values!$A$3:$A$502,SUBSTITUTE(SUBSTITUTE(A87,"?","~?"),"*","~*"),Values!$I$3:$I$502,"Yes"))</f>
        <v/>
      </c>
      <c r="N87">
        <f>IF(I87&lt;&gt;"Yes","",IF(M87&lt;2,"",INDEX(Values!$B$3:$B$502,MATCH(A87&amp;"|"&amp;IF(K87=M87,1,K87+1),Values!$L$3:$L$502,0))))</f>
        <v/>
      </c>
      <c r="O87">
        <f>IF(N87="","",INDEX(Values!$J$3:$J$502,MATCH(A87&amp;"|"&amp;IF(K87=M87,1,K87+1),Values!$L$3:$L$502,0)))</f>
        <v/>
      </c>
    </row>
    <row r="88">
      <c r="H88">
        <f>IF(A88="","",IFERROR(INDEX(Attributes!$F$3:$F$52,MATCH(A88,Attributes!$A$3:$A$52,0))&amp;"","Unknown attribute"))</f>
        <v/>
      </c>
      <c r="I88">
        <f>IF(OR(A88="",B88=""),"",IF(AND(H88="Yes",D88&lt;&gt;"No"),"Yes","No"))</f>
        <v/>
      </c>
      <c r="J88">
        <f>IF(I88="Yes",COUNTIF($I$3:I88,"Yes"),"")</f>
        <v/>
      </c>
      <c r="K88">
        <f>IF(I88&lt;&gt;"Yes","",COUNTIFS($A$3:A88,SUBSTITUTE(SUBSTITUTE(A88,"?","~?"),"*","~*"),$I$3:I88,"Yes"))</f>
        <v/>
      </c>
      <c r="L88">
        <f>IF(K88="","",A88&amp;"|"&amp;K88)</f>
        <v/>
      </c>
      <c r="M88">
        <f>IF(I88&lt;&gt;"Yes","",COUNTIFS(Values!$A$3:$A$502,SUBSTITUTE(SUBSTITUTE(A88,"?","~?"),"*","~*"),Values!$I$3:$I$502,"Yes"))</f>
        <v/>
      </c>
      <c r="N88">
        <f>IF(I88&lt;&gt;"Yes","",IF(M88&lt;2,"",INDEX(Values!$B$3:$B$502,MATCH(A88&amp;"|"&amp;IF(K88=M88,1,K88+1),Values!$L$3:$L$502,0))))</f>
        <v/>
      </c>
      <c r="O88">
        <f>IF(N88="","",INDEX(Values!$J$3:$J$502,MATCH(A88&amp;"|"&amp;IF(K88=M88,1,K88+1),Values!$L$3:$L$502,0)))</f>
        <v/>
      </c>
    </row>
    <row r="89">
      <c r="H89">
        <f>IF(A89="","",IFERROR(INDEX(Attributes!$F$3:$F$52,MATCH(A89,Attributes!$A$3:$A$52,0))&amp;"","Unknown attribute"))</f>
        <v/>
      </c>
      <c r="I89">
        <f>IF(OR(A89="",B89=""),"",IF(AND(H89="Yes",D89&lt;&gt;"No"),"Yes","No"))</f>
        <v/>
      </c>
      <c r="J89">
        <f>IF(I89="Yes",COUNTIF($I$3:I89,"Yes"),"")</f>
        <v/>
      </c>
      <c r="K89">
        <f>IF(I89&lt;&gt;"Yes","",COUNTIFS($A$3:A89,SUBSTITUTE(SUBSTITUTE(A89,"?","~?"),"*","~*"),$I$3:I89,"Yes"))</f>
        <v/>
      </c>
      <c r="L89">
        <f>IF(K89="","",A89&amp;"|"&amp;K89)</f>
        <v/>
      </c>
      <c r="M89">
        <f>IF(I89&lt;&gt;"Yes","",COUNTIFS(Values!$A$3:$A$502,SUBSTITUTE(SUBSTITUTE(A89,"?","~?"),"*","~*"),Values!$I$3:$I$502,"Yes"))</f>
        <v/>
      </c>
      <c r="N89">
        <f>IF(I89&lt;&gt;"Yes","",IF(M89&lt;2,"",INDEX(Values!$B$3:$B$502,MATCH(A89&amp;"|"&amp;IF(K89=M89,1,K89+1),Values!$L$3:$L$502,0))))</f>
        <v/>
      </c>
      <c r="O89">
        <f>IF(N89="","",INDEX(Values!$J$3:$J$502,MATCH(A89&amp;"|"&amp;IF(K89=M89,1,K89+1),Values!$L$3:$L$502,0)))</f>
        <v/>
      </c>
    </row>
    <row r="90">
      <c r="H90">
        <f>IF(A90="","",IFERROR(INDEX(Attributes!$F$3:$F$52,MATCH(A90,Attributes!$A$3:$A$52,0))&amp;"","Unknown attribute"))</f>
        <v/>
      </c>
      <c r="I90">
        <f>IF(OR(A90="",B90=""),"",IF(AND(H90="Yes",D90&lt;&gt;"No"),"Yes","No"))</f>
        <v/>
      </c>
      <c r="J90">
        <f>IF(I90="Yes",COUNTIF($I$3:I90,"Yes"),"")</f>
        <v/>
      </c>
      <c r="K90">
        <f>IF(I90&lt;&gt;"Yes","",COUNTIFS($A$3:A90,SUBSTITUTE(SUBSTITUTE(A90,"?","~?"),"*","~*"),$I$3:I90,"Yes"))</f>
        <v/>
      </c>
      <c r="L90">
        <f>IF(K90="","",A90&amp;"|"&amp;K90)</f>
        <v/>
      </c>
      <c r="M90">
        <f>IF(I90&lt;&gt;"Yes","",COUNTIFS(Values!$A$3:$A$502,SUBSTITUTE(SUBSTITUTE(A90,"?","~?"),"*","~*"),Values!$I$3:$I$502,"Yes"))</f>
        <v/>
      </c>
      <c r="N90">
        <f>IF(I90&lt;&gt;"Yes","",IF(M90&lt;2,"",INDEX(Values!$B$3:$B$502,MATCH(A90&amp;"|"&amp;IF(K90=M90,1,K90+1),Values!$L$3:$L$502,0))))</f>
        <v/>
      </c>
      <c r="O90">
        <f>IF(N90="","",INDEX(Values!$J$3:$J$502,MATCH(A90&amp;"|"&amp;IF(K90=M90,1,K90+1),Values!$L$3:$L$502,0)))</f>
        <v/>
      </c>
    </row>
    <row r="91">
      <c r="H91">
        <f>IF(A91="","",IFERROR(INDEX(Attributes!$F$3:$F$52,MATCH(A91,Attributes!$A$3:$A$52,0))&amp;"","Unknown attribute"))</f>
        <v/>
      </c>
      <c r="I91">
        <f>IF(OR(A91="",B91=""),"",IF(AND(H91="Yes",D91&lt;&gt;"No"),"Yes","No"))</f>
        <v/>
      </c>
      <c r="J91">
        <f>IF(I91="Yes",COUNTIF($I$3:I91,"Yes"),"")</f>
        <v/>
      </c>
      <c r="K91">
        <f>IF(I91&lt;&gt;"Yes","",COUNTIFS($A$3:A91,SUBSTITUTE(SUBSTITUTE(A91,"?","~?"),"*","~*"),$I$3:I91,"Yes"))</f>
        <v/>
      </c>
      <c r="L91">
        <f>IF(K91="","",A91&amp;"|"&amp;K91)</f>
        <v/>
      </c>
      <c r="M91">
        <f>IF(I91&lt;&gt;"Yes","",COUNTIFS(Values!$A$3:$A$502,SUBSTITUTE(SUBSTITUTE(A91,"?","~?"),"*","~*"),Values!$I$3:$I$502,"Yes"))</f>
        <v/>
      </c>
      <c r="N91">
        <f>IF(I91&lt;&gt;"Yes","",IF(M91&lt;2,"",INDEX(Values!$B$3:$B$502,MATCH(A91&amp;"|"&amp;IF(K91=M91,1,K91+1),Values!$L$3:$L$502,0))))</f>
        <v/>
      </c>
      <c r="O91">
        <f>IF(N91="","",INDEX(Values!$J$3:$J$502,MATCH(A91&amp;"|"&amp;IF(K91=M91,1,K91+1),Values!$L$3:$L$502,0)))</f>
        <v/>
      </c>
    </row>
    <row r="92">
      <c r="H92">
        <f>IF(A92="","",IFERROR(INDEX(Attributes!$F$3:$F$52,MATCH(A92,Attributes!$A$3:$A$52,0))&amp;"","Unknown attribute"))</f>
        <v/>
      </c>
      <c r="I92">
        <f>IF(OR(A92="",B92=""),"",IF(AND(H92="Yes",D92&lt;&gt;"No"),"Yes","No"))</f>
        <v/>
      </c>
      <c r="J92">
        <f>IF(I92="Yes",COUNTIF($I$3:I92,"Yes"),"")</f>
        <v/>
      </c>
      <c r="K92">
        <f>IF(I92&lt;&gt;"Yes","",COUNTIFS($A$3:A92,SUBSTITUTE(SUBSTITUTE(A92,"?","~?"),"*","~*"),$I$3:I92,"Yes"))</f>
        <v/>
      </c>
      <c r="L92">
        <f>IF(K92="","",A92&amp;"|"&amp;K92)</f>
        <v/>
      </c>
      <c r="M92">
        <f>IF(I92&lt;&gt;"Yes","",COUNTIFS(Values!$A$3:$A$502,SUBSTITUTE(SUBSTITUTE(A92,"?","~?"),"*","~*"),Values!$I$3:$I$502,"Yes"))</f>
        <v/>
      </c>
      <c r="N92">
        <f>IF(I92&lt;&gt;"Yes","",IF(M92&lt;2,"",INDEX(Values!$B$3:$B$502,MATCH(A92&amp;"|"&amp;IF(K92=M92,1,K92+1),Values!$L$3:$L$502,0))))</f>
        <v/>
      </c>
      <c r="O92">
        <f>IF(N92="","",INDEX(Values!$J$3:$J$502,MATCH(A92&amp;"|"&amp;IF(K92=M92,1,K92+1),Values!$L$3:$L$502,0)))</f>
        <v/>
      </c>
    </row>
    <row r="93">
      <c r="H93">
        <f>IF(A93="","",IFERROR(INDEX(Attributes!$F$3:$F$52,MATCH(A93,Attributes!$A$3:$A$52,0))&amp;"","Unknown attribute"))</f>
        <v/>
      </c>
      <c r="I93">
        <f>IF(OR(A93="",B93=""),"",IF(AND(H93="Yes",D93&lt;&gt;"No"),"Yes","No"))</f>
        <v/>
      </c>
      <c r="J93">
        <f>IF(I93="Yes",COUNTIF($I$3:I93,"Yes"),"")</f>
        <v/>
      </c>
      <c r="K93">
        <f>IF(I93&lt;&gt;"Yes","",COUNTIFS($A$3:A93,SUBSTITUTE(SUBSTITUTE(A93,"?","~?"),"*","~*"),$I$3:I93,"Yes"))</f>
        <v/>
      </c>
      <c r="L93">
        <f>IF(K93="","",A93&amp;"|"&amp;K93)</f>
        <v/>
      </c>
      <c r="M93">
        <f>IF(I93&lt;&gt;"Yes","",COUNTIFS(Values!$A$3:$A$502,SUBSTITUTE(SUBSTITUTE(A93,"?","~?"),"*","~*"),Values!$I$3:$I$502,"Yes"))</f>
        <v/>
      </c>
      <c r="N93">
        <f>IF(I93&lt;&gt;"Yes","",IF(M93&lt;2,"",INDEX(Values!$B$3:$B$502,MATCH(A93&amp;"|"&amp;IF(K93=M93,1,K93+1),Values!$L$3:$L$502,0))))</f>
        <v/>
      </c>
      <c r="O93">
        <f>IF(N93="","",INDEX(Values!$J$3:$J$502,MATCH(A93&amp;"|"&amp;IF(K93=M93,1,K93+1),Values!$L$3:$L$502,0)))</f>
        <v/>
      </c>
    </row>
    <row r="94">
      <c r="H94">
        <f>IF(A94="","",IFERROR(INDEX(Attributes!$F$3:$F$52,MATCH(A94,Attributes!$A$3:$A$52,0))&amp;"","Unknown attribute"))</f>
        <v/>
      </c>
      <c r="I94">
        <f>IF(OR(A94="",B94=""),"",IF(AND(H94="Yes",D94&lt;&gt;"No"),"Yes","No"))</f>
        <v/>
      </c>
      <c r="J94">
        <f>IF(I94="Yes",COUNTIF($I$3:I94,"Yes"),"")</f>
        <v/>
      </c>
      <c r="K94">
        <f>IF(I94&lt;&gt;"Yes","",COUNTIFS($A$3:A94,SUBSTITUTE(SUBSTITUTE(A94,"?","~?"),"*","~*"),$I$3:I94,"Yes"))</f>
        <v/>
      </c>
      <c r="L94">
        <f>IF(K94="","",A94&amp;"|"&amp;K94)</f>
        <v/>
      </c>
      <c r="M94">
        <f>IF(I94&lt;&gt;"Yes","",COUNTIFS(Values!$A$3:$A$502,SUBSTITUTE(SUBSTITUTE(A94,"?","~?"),"*","~*"),Values!$I$3:$I$502,"Yes"))</f>
        <v/>
      </c>
      <c r="N94">
        <f>IF(I94&lt;&gt;"Yes","",IF(M94&lt;2,"",INDEX(Values!$B$3:$B$502,MATCH(A94&amp;"|"&amp;IF(K94=M94,1,K94+1),Values!$L$3:$L$502,0))))</f>
        <v/>
      </c>
      <c r="O94">
        <f>IF(N94="","",INDEX(Values!$J$3:$J$502,MATCH(A94&amp;"|"&amp;IF(K94=M94,1,K94+1),Values!$L$3:$L$502,0)))</f>
        <v/>
      </c>
    </row>
    <row r="95">
      <c r="H95">
        <f>IF(A95="","",IFERROR(INDEX(Attributes!$F$3:$F$52,MATCH(A95,Attributes!$A$3:$A$52,0))&amp;"","Unknown attribute"))</f>
        <v/>
      </c>
      <c r="I95">
        <f>IF(OR(A95="",B95=""),"",IF(AND(H95="Yes",D95&lt;&gt;"No"),"Yes","No"))</f>
        <v/>
      </c>
      <c r="J95">
        <f>IF(I95="Yes",COUNTIF($I$3:I95,"Yes"),"")</f>
        <v/>
      </c>
      <c r="K95">
        <f>IF(I95&lt;&gt;"Yes","",COUNTIFS($A$3:A95,SUBSTITUTE(SUBSTITUTE(A95,"?","~?"),"*","~*"),$I$3:I95,"Yes"))</f>
        <v/>
      </c>
      <c r="L95">
        <f>IF(K95="","",A95&amp;"|"&amp;K95)</f>
        <v/>
      </c>
      <c r="M95">
        <f>IF(I95&lt;&gt;"Yes","",COUNTIFS(Values!$A$3:$A$502,SUBSTITUTE(SUBSTITUTE(A95,"?","~?"),"*","~*"),Values!$I$3:$I$502,"Yes"))</f>
        <v/>
      </c>
      <c r="N95">
        <f>IF(I95&lt;&gt;"Yes","",IF(M95&lt;2,"",INDEX(Values!$B$3:$B$502,MATCH(A95&amp;"|"&amp;IF(K95=M95,1,K95+1),Values!$L$3:$L$502,0))))</f>
        <v/>
      </c>
      <c r="O95">
        <f>IF(N95="","",INDEX(Values!$J$3:$J$502,MATCH(A95&amp;"|"&amp;IF(K95=M95,1,K95+1),Values!$L$3:$L$502,0)))</f>
        <v/>
      </c>
    </row>
    <row r="96">
      <c r="H96">
        <f>IF(A96="","",IFERROR(INDEX(Attributes!$F$3:$F$52,MATCH(A96,Attributes!$A$3:$A$52,0))&amp;"","Unknown attribute"))</f>
        <v/>
      </c>
      <c r="I96">
        <f>IF(OR(A96="",B96=""),"",IF(AND(H96="Yes",D96&lt;&gt;"No"),"Yes","No"))</f>
        <v/>
      </c>
      <c r="J96">
        <f>IF(I96="Yes",COUNTIF($I$3:I96,"Yes"),"")</f>
        <v/>
      </c>
      <c r="K96">
        <f>IF(I96&lt;&gt;"Yes","",COUNTIFS($A$3:A96,SUBSTITUTE(SUBSTITUTE(A96,"?","~?"),"*","~*"),$I$3:I96,"Yes"))</f>
        <v/>
      </c>
      <c r="L96">
        <f>IF(K96="","",A96&amp;"|"&amp;K96)</f>
        <v/>
      </c>
      <c r="M96">
        <f>IF(I96&lt;&gt;"Yes","",COUNTIFS(Values!$A$3:$A$502,SUBSTITUTE(SUBSTITUTE(A96,"?","~?"),"*","~*"),Values!$I$3:$I$502,"Yes"))</f>
        <v/>
      </c>
      <c r="N96">
        <f>IF(I96&lt;&gt;"Yes","",IF(M96&lt;2,"",INDEX(Values!$B$3:$B$502,MATCH(A96&amp;"|"&amp;IF(K96=M96,1,K96+1),Values!$L$3:$L$502,0))))</f>
        <v/>
      </c>
      <c r="O96">
        <f>IF(N96="","",INDEX(Values!$J$3:$J$502,MATCH(A96&amp;"|"&amp;IF(K96=M96,1,K96+1),Values!$L$3:$L$502,0)))</f>
        <v/>
      </c>
    </row>
    <row r="97">
      <c r="H97">
        <f>IF(A97="","",IFERROR(INDEX(Attributes!$F$3:$F$52,MATCH(A97,Attributes!$A$3:$A$52,0))&amp;"","Unknown attribute"))</f>
        <v/>
      </c>
      <c r="I97">
        <f>IF(OR(A97="",B97=""),"",IF(AND(H97="Yes",D97&lt;&gt;"No"),"Yes","No"))</f>
        <v/>
      </c>
      <c r="J97">
        <f>IF(I97="Yes",COUNTIF($I$3:I97,"Yes"),"")</f>
        <v/>
      </c>
      <c r="K97">
        <f>IF(I97&lt;&gt;"Yes","",COUNTIFS($A$3:A97,SUBSTITUTE(SUBSTITUTE(A97,"?","~?"),"*","~*"),$I$3:I97,"Yes"))</f>
        <v/>
      </c>
      <c r="L97">
        <f>IF(K97="","",A97&amp;"|"&amp;K97)</f>
        <v/>
      </c>
      <c r="M97">
        <f>IF(I97&lt;&gt;"Yes","",COUNTIFS(Values!$A$3:$A$502,SUBSTITUTE(SUBSTITUTE(A97,"?","~?"),"*","~*"),Values!$I$3:$I$502,"Yes"))</f>
        <v/>
      </c>
      <c r="N97">
        <f>IF(I97&lt;&gt;"Yes","",IF(M97&lt;2,"",INDEX(Values!$B$3:$B$502,MATCH(A97&amp;"|"&amp;IF(K97=M97,1,K97+1),Values!$L$3:$L$502,0))))</f>
        <v/>
      </c>
      <c r="O97">
        <f>IF(N97="","",INDEX(Values!$J$3:$J$502,MATCH(A97&amp;"|"&amp;IF(K97=M97,1,K97+1),Values!$L$3:$L$502,0)))</f>
        <v/>
      </c>
    </row>
    <row r="98">
      <c r="H98">
        <f>IF(A98="","",IFERROR(INDEX(Attributes!$F$3:$F$52,MATCH(A98,Attributes!$A$3:$A$52,0))&amp;"","Unknown attribute"))</f>
        <v/>
      </c>
      <c r="I98">
        <f>IF(OR(A98="",B98=""),"",IF(AND(H98="Yes",D98&lt;&gt;"No"),"Yes","No"))</f>
        <v/>
      </c>
      <c r="J98">
        <f>IF(I98="Yes",COUNTIF($I$3:I98,"Yes"),"")</f>
        <v/>
      </c>
      <c r="K98">
        <f>IF(I98&lt;&gt;"Yes","",COUNTIFS($A$3:A98,SUBSTITUTE(SUBSTITUTE(A98,"?","~?"),"*","~*"),$I$3:I98,"Yes"))</f>
        <v/>
      </c>
      <c r="L98">
        <f>IF(K98="","",A98&amp;"|"&amp;K98)</f>
        <v/>
      </c>
      <c r="M98">
        <f>IF(I98&lt;&gt;"Yes","",COUNTIFS(Values!$A$3:$A$502,SUBSTITUTE(SUBSTITUTE(A98,"?","~?"),"*","~*"),Values!$I$3:$I$502,"Yes"))</f>
        <v/>
      </c>
      <c r="N98">
        <f>IF(I98&lt;&gt;"Yes","",IF(M98&lt;2,"",INDEX(Values!$B$3:$B$502,MATCH(A98&amp;"|"&amp;IF(K98=M98,1,K98+1),Values!$L$3:$L$502,0))))</f>
        <v/>
      </c>
      <c r="O98">
        <f>IF(N98="","",INDEX(Values!$J$3:$J$502,MATCH(A98&amp;"|"&amp;IF(K98=M98,1,K98+1),Values!$L$3:$L$502,0)))</f>
        <v/>
      </c>
    </row>
    <row r="99">
      <c r="H99">
        <f>IF(A99="","",IFERROR(INDEX(Attributes!$F$3:$F$52,MATCH(A99,Attributes!$A$3:$A$52,0))&amp;"","Unknown attribute"))</f>
        <v/>
      </c>
      <c r="I99">
        <f>IF(OR(A99="",B99=""),"",IF(AND(H99="Yes",D99&lt;&gt;"No"),"Yes","No"))</f>
        <v/>
      </c>
      <c r="J99">
        <f>IF(I99="Yes",COUNTIF($I$3:I99,"Yes"),"")</f>
        <v/>
      </c>
      <c r="K99">
        <f>IF(I99&lt;&gt;"Yes","",COUNTIFS($A$3:A99,SUBSTITUTE(SUBSTITUTE(A99,"?","~?"),"*","~*"),$I$3:I99,"Yes"))</f>
        <v/>
      </c>
      <c r="L99">
        <f>IF(K99="","",A99&amp;"|"&amp;K99)</f>
        <v/>
      </c>
      <c r="M99">
        <f>IF(I99&lt;&gt;"Yes","",COUNTIFS(Values!$A$3:$A$502,SUBSTITUTE(SUBSTITUTE(A99,"?","~?"),"*","~*"),Values!$I$3:$I$502,"Yes"))</f>
        <v/>
      </c>
      <c r="N99">
        <f>IF(I99&lt;&gt;"Yes","",IF(M99&lt;2,"",INDEX(Values!$B$3:$B$502,MATCH(A99&amp;"|"&amp;IF(K99=M99,1,K99+1),Values!$L$3:$L$502,0))))</f>
        <v/>
      </c>
      <c r="O99">
        <f>IF(N99="","",INDEX(Values!$J$3:$J$502,MATCH(A99&amp;"|"&amp;IF(K99=M99,1,K99+1),Values!$L$3:$L$502,0)))</f>
        <v/>
      </c>
    </row>
    <row r="100">
      <c r="H100">
        <f>IF(A100="","",IFERROR(INDEX(Attributes!$F$3:$F$52,MATCH(A100,Attributes!$A$3:$A$52,0))&amp;"","Unknown attribute"))</f>
        <v/>
      </c>
      <c r="I100">
        <f>IF(OR(A100="",B100=""),"",IF(AND(H100="Yes",D100&lt;&gt;"No"),"Yes","No"))</f>
        <v/>
      </c>
      <c r="J100">
        <f>IF(I100="Yes",COUNTIF($I$3:I100,"Yes"),"")</f>
        <v/>
      </c>
      <c r="K100">
        <f>IF(I100&lt;&gt;"Yes","",COUNTIFS($A$3:A100,SUBSTITUTE(SUBSTITUTE(A100,"?","~?"),"*","~*"),$I$3:I100,"Yes"))</f>
        <v/>
      </c>
      <c r="L100">
        <f>IF(K100="","",A100&amp;"|"&amp;K100)</f>
        <v/>
      </c>
      <c r="M100">
        <f>IF(I100&lt;&gt;"Yes","",COUNTIFS(Values!$A$3:$A$502,SUBSTITUTE(SUBSTITUTE(A100,"?","~?"),"*","~*"),Values!$I$3:$I$502,"Yes"))</f>
        <v/>
      </c>
      <c r="N100">
        <f>IF(I100&lt;&gt;"Yes","",IF(M100&lt;2,"",INDEX(Values!$B$3:$B$502,MATCH(A100&amp;"|"&amp;IF(K100=M100,1,K100+1),Values!$L$3:$L$502,0))))</f>
        <v/>
      </c>
      <c r="O100">
        <f>IF(N100="","",INDEX(Values!$J$3:$J$502,MATCH(A100&amp;"|"&amp;IF(K100=M100,1,K100+1),Values!$L$3:$L$502,0)))</f>
        <v/>
      </c>
    </row>
    <row r="101">
      <c r="H101">
        <f>IF(A101="","",IFERROR(INDEX(Attributes!$F$3:$F$52,MATCH(A101,Attributes!$A$3:$A$52,0))&amp;"","Unknown attribute"))</f>
        <v/>
      </c>
      <c r="I101">
        <f>IF(OR(A101="",B101=""),"",IF(AND(H101="Yes",D101&lt;&gt;"No"),"Yes","No"))</f>
        <v/>
      </c>
      <c r="J101">
        <f>IF(I101="Yes",COUNTIF($I$3:I101,"Yes"),"")</f>
        <v/>
      </c>
      <c r="K101">
        <f>IF(I101&lt;&gt;"Yes","",COUNTIFS($A$3:A101,SUBSTITUTE(SUBSTITUTE(A101,"?","~?"),"*","~*"),$I$3:I101,"Yes"))</f>
        <v/>
      </c>
      <c r="L101">
        <f>IF(K101="","",A101&amp;"|"&amp;K101)</f>
        <v/>
      </c>
      <c r="M101">
        <f>IF(I101&lt;&gt;"Yes","",COUNTIFS(Values!$A$3:$A$502,SUBSTITUTE(SUBSTITUTE(A101,"?","~?"),"*","~*"),Values!$I$3:$I$502,"Yes"))</f>
        <v/>
      </c>
      <c r="N101">
        <f>IF(I101&lt;&gt;"Yes","",IF(M101&lt;2,"",INDEX(Values!$B$3:$B$502,MATCH(A101&amp;"|"&amp;IF(K101=M101,1,K101+1),Values!$L$3:$L$502,0))))</f>
        <v/>
      </c>
      <c r="O101">
        <f>IF(N101="","",INDEX(Values!$J$3:$J$502,MATCH(A101&amp;"|"&amp;IF(K101=M101,1,K101+1),Values!$L$3:$L$502,0)))</f>
        <v/>
      </c>
    </row>
    <row r="102">
      <c r="H102">
        <f>IF(A102="","",IFERROR(INDEX(Attributes!$F$3:$F$52,MATCH(A102,Attributes!$A$3:$A$52,0))&amp;"","Unknown attribute"))</f>
        <v/>
      </c>
      <c r="I102">
        <f>IF(OR(A102="",B102=""),"",IF(AND(H102="Yes",D102&lt;&gt;"No"),"Yes","No"))</f>
        <v/>
      </c>
      <c r="J102">
        <f>IF(I102="Yes",COUNTIF($I$3:I102,"Yes"),"")</f>
        <v/>
      </c>
      <c r="K102">
        <f>IF(I102&lt;&gt;"Yes","",COUNTIFS($A$3:A102,SUBSTITUTE(SUBSTITUTE(A102,"?","~?"),"*","~*"),$I$3:I102,"Yes"))</f>
        <v/>
      </c>
      <c r="L102">
        <f>IF(K102="","",A102&amp;"|"&amp;K102)</f>
        <v/>
      </c>
      <c r="M102">
        <f>IF(I102&lt;&gt;"Yes","",COUNTIFS(Values!$A$3:$A$502,SUBSTITUTE(SUBSTITUTE(A102,"?","~?"),"*","~*"),Values!$I$3:$I$502,"Yes"))</f>
        <v/>
      </c>
      <c r="N102">
        <f>IF(I102&lt;&gt;"Yes","",IF(M102&lt;2,"",INDEX(Values!$B$3:$B$502,MATCH(A102&amp;"|"&amp;IF(K102=M102,1,K102+1),Values!$L$3:$L$502,0))))</f>
        <v/>
      </c>
      <c r="O102">
        <f>IF(N102="","",INDEX(Values!$J$3:$J$502,MATCH(A102&amp;"|"&amp;IF(K102=M102,1,K102+1),Values!$L$3:$L$502,0)))</f>
        <v/>
      </c>
    </row>
    <row r="103">
      <c r="H103">
        <f>IF(A103="","",IFERROR(INDEX(Attributes!$F$3:$F$52,MATCH(A103,Attributes!$A$3:$A$52,0))&amp;"","Unknown attribute"))</f>
        <v/>
      </c>
      <c r="I103">
        <f>IF(OR(A103="",B103=""),"",IF(AND(H103="Yes",D103&lt;&gt;"No"),"Yes","No"))</f>
        <v/>
      </c>
      <c r="J103">
        <f>IF(I103="Yes",COUNTIF($I$3:I103,"Yes"),"")</f>
        <v/>
      </c>
      <c r="K103">
        <f>IF(I103&lt;&gt;"Yes","",COUNTIFS($A$3:A103,SUBSTITUTE(SUBSTITUTE(A103,"?","~?"),"*","~*"),$I$3:I103,"Yes"))</f>
        <v/>
      </c>
      <c r="L103">
        <f>IF(K103="","",A103&amp;"|"&amp;K103)</f>
        <v/>
      </c>
      <c r="M103">
        <f>IF(I103&lt;&gt;"Yes","",COUNTIFS(Values!$A$3:$A$502,SUBSTITUTE(SUBSTITUTE(A103,"?","~?"),"*","~*"),Values!$I$3:$I$502,"Yes"))</f>
        <v/>
      </c>
      <c r="N103">
        <f>IF(I103&lt;&gt;"Yes","",IF(M103&lt;2,"",INDEX(Values!$B$3:$B$502,MATCH(A103&amp;"|"&amp;IF(K103=M103,1,K103+1),Values!$L$3:$L$502,0))))</f>
        <v/>
      </c>
      <c r="O103">
        <f>IF(N103="","",INDEX(Values!$J$3:$J$502,MATCH(A103&amp;"|"&amp;IF(K103=M103,1,K103+1),Values!$L$3:$L$502,0)))</f>
        <v/>
      </c>
    </row>
    <row r="104">
      <c r="H104">
        <f>IF(A104="","",IFERROR(INDEX(Attributes!$F$3:$F$52,MATCH(A104,Attributes!$A$3:$A$52,0))&amp;"","Unknown attribute"))</f>
        <v/>
      </c>
      <c r="I104">
        <f>IF(OR(A104="",B104=""),"",IF(AND(H104="Yes",D104&lt;&gt;"No"),"Yes","No"))</f>
        <v/>
      </c>
      <c r="J104">
        <f>IF(I104="Yes",COUNTIF($I$3:I104,"Yes"),"")</f>
        <v/>
      </c>
      <c r="K104">
        <f>IF(I104&lt;&gt;"Yes","",COUNTIFS($A$3:A104,SUBSTITUTE(SUBSTITUTE(A104,"?","~?"),"*","~*"),$I$3:I104,"Yes"))</f>
        <v/>
      </c>
      <c r="L104">
        <f>IF(K104="","",A104&amp;"|"&amp;K104)</f>
        <v/>
      </c>
      <c r="M104">
        <f>IF(I104&lt;&gt;"Yes","",COUNTIFS(Values!$A$3:$A$502,SUBSTITUTE(SUBSTITUTE(A104,"?","~?"),"*","~*"),Values!$I$3:$I$502,"Yes"))</f>
        <v/>
      </c>
      <c r="N104">
        <f>IF(I104&lt;&gt;"Yes","",IF(M104&lt;2,"",INDEX(Values!$B$3:$B$502,MATCH(A104&amp;"|"&amp;IF(K104=M104,1,K104+1),Values!$L$3:$L$502,0))))</f>
        <v/>
      </c>
      <c r="O104">
        <f>IF(N104="","",INDEX(Values!$J$3:$J$502,MATCH(A104&amp;"|"&amp;IF(K104=M104,1,K104+1),Values!$L$3:$L$502,0)))</f>
        <v/>
      </c>
    </row>
    <row r="105">
      <c r="H105">
        <f>IF(A105="","",IFERROR(INDEX(Attributes!$F$3:$F$52,MATCH(A105,Attributes!$A$3:$A$52,0))&amp;"","Unknown attribute"))</f>
        <v/>
      </c>
      <c r="I105">
        <f>IF(OR(A105="",B105=""),"",IF(AND(H105="Yes",D105&lt;&gt;"No"),"Yes","No"))</f>
        <v/>
      </c>
      <c r="J105">
        <f>IF(I105="Yes",COUNTIF($I$3:I105,"Yes"),"")</f>
        <v/>
      </c>
      <c r="K105">
        <f>IF(I105&lt;&gt;"Yes","",COUNTIFS($A$3:A105,SUBSTITUTE(SUBSTITUTE(A105,"?","~?"),"*","~*"),$I$3:I105,"Yes"))</f>
        <v/>
      </c>
      <c r="L105">
        <f>IF(K105="","",A105&amp;"|"&amp;K105)</f>
        <v/>
      </c>
      <c r="M105">
        <f>IF(I105&lt;&gt;"Yes","",COUNTIFS(Values!$A$3:$A$502,SUBSTITUTE(SUBSTITUTE(A105,"?","~?"),"*","~*"),Values!$I$3:$I$502,"Yes"))</f>
        <v/>
      </c>
      <c r="N105">
        <f>IF(I105&lt;&gt;"Yes","",IF(M105&lt;2,"",INDEX(Values!$B$3:$B$502,MATCH(A105&amp;"|"&amp;IF(K105=M105,1,K105+1),Values!$L$3:$L$502,0))))</f>
        <v/>
      </c>
      <c r="O105">
        <f>IF(N105="","",INDEX(Values!$J$3:$J$502,MATCH(A105&amp;"|"&amp;IF(K105=M105,1,K105+1),Values!$L$3:$L$502,0)))</f>
        <v/>
      </c>
    </row>
    <row r="106">
      <c r="H106">
        <f>IF(A106="","",IFERROR(INDEX(Attributes!$F$3:$F$52,MATCH(A106,Attributes!$A$3:$A$52,0))&amp;"","Unknown attribute"))</f>
        <v/>
      </c>
      <c r="I106">
        <f>IF(OR(A106="",B106=""),"",IF(AND(H106="Yes",D106&lt;&gt;"No"),"Yes","No"))</f>
        <v/>
      </c>
      <c r="J106">
        <f>IF(I106="Yes",COUNTIF($I$3:I106,"Yes"),"")</f>
        <v/>
      </c>
      <c r="K106">
        <f>IF(I106&lt;&gt;"Yes","",COUNTIFS($A$3:A106,SUBSTITUTE(SUBSTITUTE(A106,"?","~?"),"*","~*"),$I$3:I106,"Yes"))</f>
        <v/>
      </c>
      <c r="L106">
        <f>IF(K106="","",A106&amp;"|"&amp;K106)</f>
        <v/>
      </c>
      <c r="M106">
        <f>IF(I106&lt;&gt;"Yes","",COUNTIFS(Values!$A$3:$A$502,SUBSTITUTE(SUBSTITUTE(A106,"?","~?"),"*","~*"),Values!$I$3:$I$502,"Yes"))</f>
        <v/>
      </c>
      <c r="N106">
        <f>IF(I106&lt;&gt;"Yes","",IF(M106&lt;2,"",INDEX(Values!$B$3:$B$502,MATCH(A106&amp;"|"&amp;IF(K106=M106,1,K106+1),Values!$L$3:$L$502,0))))</f>
        <v/>
      </c>
      <c r="O106">
        <f>IF(N106="","",INDEX(Values!$J$3:$J$502,MATCH(A106&amp;"|"&amp;IF(K106=M106,1,K106+1),Values!$L$3:$L$502,0)))</f>
        <v/>
      </c>
    </row>
    <row r="107">
      <c r="H107">
        <f>IF(A107="","",IFERROR(INDEX(Attributes!$F$3:$F$52,MATCH(A107,Attributes!$A$3:$A$52,0))&amp;"","Unknown attribute"))</f>
        <v/>
      </c>
      <c r="I107">
        <f>IF(OR(A107="",B107=""),"",IF(AND(H107="Yes",D107&lt;&gt;"No"),"Yes","No"))</f>
        <v/>
      </c>
      <c r="J107">
        <f>IF(I107="Yes",COUNTIF($I$3:I107,"Yes"),"")</f>
        <v/>
      </c>
      <c r="K107">
        <f>IF(I107&lt;&gt;"Yes","",COUNTIFS($A$3:A107,SUBSTITUTE(SUBSTITUTE(A107,"?","~?"),"*","~*"),$I$3:I107,"Yes"))</f>
        <v/>
      </c>
      <c r="L107">
        <f>IF(K107="","",A107&amp;"|"&amp;K107)</f>
        <v/>
      </c>
      <c r="M107">
        <f>IF(I107&lt;&gt;"Yes","",COUNTIFS(Values!$A$3:$A$502,SUBSTITUTE(SUBSTITUTE(A107,"?","~?"),"*","~*"),Values!$I$3:$I$502,"Yes"))</f>
        <v/>
      </c>
      <c r="N107">
        <f>IF(I107&lt;&gt;"Yes","",IF(M107&lt;2,"",INDEX(Values!$B$3:$B$502,MATCH(A107&amp;"|"&amp;IF(K107=M107,1,K107+1),Values!$L$3:$L$502,0))))</f>
        <v/>
      </c>
      <c r="O107">
        <f>IF(N107="","",INDEX(Values!$J$3:$J$502,MATCH(A107&amp;"|"&amp;IF(K107=M107,1,K107+1),Values!$L$3:$L$502,0)))</f>
        <v/>
      </c>
    </row>
    <row r="108">
      <c r="H108">
        <f>IF(A108="","",IFERROR(INDEX(Attributes!$F$3:$F$52,MATCH(A108,Attributes!$A$3:$A$52,0))&amp;"","Unknown attribute"))</f>
        <v/>
      </c>
      <c r="I108">
        <f>IF(OR(A108="",B108=""),"",IF(AND(H108="Yes",D108&lt;&gt;"No"),"Yes","No"))</f>
        <v/>
      </c>
      <c r="J108">
        <f>IF(I108="Yes",COUNTIF($I$3:I108,"Yes"),"")</f>
        <v/>
      </c>
      <c r="K108">
        <f>IF(I108&lt;&gt;"Yes","",COUNTIFS($A$3:A108,SUBSTITUTE(SUBSTITUTE(A108,"?","~?"),"*","~*"),$I$3:I108,"Yes"))</f>
        <v/>
      </c>
      <c r="L108">
        <f>IF(K108="","",A108&amp;"|"&amp;K108)</f>
        <v/>
      </c>
      <c r="M108">
        <f>IF(I108&lt;&gt;"Yes","",COUNTIFS(Values!$A$3:$A$502,SUBSTITUTE(SUBSTITUTE(A108,"?","~?"),"*","~*"),Values!$I$3:$I$502,"Yes"))</f>
        <v/>
      </c>
      <c r="N108">
        <f>IF(I108&lt;&gt;"Yes","",IF(M108&lt;2,"",INDEX(Values!$B$3:$B$502,MATCH(A108&amp;"|"&amp;IF(K108=M108,1,K108+1),Values!$L$3:$L$502,0))))</f>
        <v/>
      </c>
      <c r="O108">
        <f>IF(N108="","",INDEX(Values!$J$3:$J$502,MATCH(A108&amp;"|"&amp;IF(K108=M108,1,K108+1),Values!$L$3:$L$502,0)))</f>
        <v/>
      </c>
    </row>
    <row r="109">
      <c r="H109">
        <f>IF(A109="","",IFERROR(INDEX(Attributes!$F$3:$F$52,MATCH(A109,Attributes!$A$3:$A$52,0))&amp;"","Unknown attribute"))</f>
        <v/>
      </c>
      <c r="I109">
        <f>IF(OR(A109="",B109=""),"",IF(AND(H109="Yes",D109&lt;&gt;"No"),"Yes","No"))</f>
        <v/>
      </c>
      <c r="J109">
        <f>IF(I109="Yes",COUNTIF($I$3:I109,"Yes"),"")</f>
        <v/>
      </c>
      <c r="K109">
        <f>IF(I109&lt;&gt;"Yes","",COUNTIFS($A$3:A109,SUBSTITUTE(SUBSTITUTE(A109,"?","~?"),"*","~*"),$I$3:I109,"Yes"))</f>
        <v/>
      </c>
      <c r="L109">
        <f>IF(K109="","",A109&amp;"|"&amp;K109)</f>
        <v/>
      </c>
      <c r="M109">
        <f>IF(I109&lt;&gt;"Yes","",COUNTIFS(Values!$A$3:$A$502,SUBSTITUTE(SUBSTITUTE(A109,"?","~?"),"*","~*"),Values!$I$3:$I$502,"Yes"))</f>
        <v/>
      </c>
      <c r="N109">
        <f>IF(I109&lt;&gt;"Yes","",IF(M109&lt;2,"",INDEX(Values!$B$3:$B$502,MATCH(A109&amp;"|"&amp;IF(K109=M109,1,K109+1),Values!$L$3:$L$502,0))))</f>
        <v/>
      </c>
      <c r="O109">
        <f>IF(N109="","",INDEX(Values!$J$3:$J$502,MATCH(A109&amp;"|"&amp;IF(K109=M109,1,K109+1),Values!$L$3:$L$502,0)))</f>
        <v/>
      </c>
    </row>
    <row r="110">
      <c r="H110">
        <f>IF(A110="","",IFERROR(INDEX(Attributes!$F$3:$F$52,MATCH(A110,Attributes!$A$3:$A$52,0))&amp;"","Unknown attribute"))</f>
        <v/>
      </c>
      <c r="I110">
        <f>IF(OR(A110="",B110=""),"",IF(AND(H110="Yes",D110&lt;&gt;"No"),"Yes","No"))</f>
        <v/>
      </c>
      <c r="J110">
        <f>IF(I110="Yes",COUNTIF($I$3:I110,"Yes"),"")</f>
        <v/>
      </c>
      <c r="K110">
        <f>IF(I110&lt;&gt;"Yes","",COUNTIFS($A$3:A110,SUBSTITUTE(SUBSTITUTE(A110,"?","~?"),"*","~*"),$I$3:I110,"Yes"))</f>
        <v/>
      </c>
      <c r="L110">
        <f>IF(K110="","",A110&amp;"|"&amp;K110)</f>
        <v/>
      </c>
      <c r="M110">
        <f>IF(I110&lt;&gt;"Yes","",COUNTIFS(Values!$A$3:$A$502,SUBSTITUTE(SUBSTITUTE(A110,"?","~?"),"*","~*"),Values!$I$3:$I$502,"Yes"))</f>
        <v/>
      </c>
      <c r="N110">
        <f>IF(I110&lt;&gt;"Yes","",IF(M110&lt;2,"",INDEX(Values!$B$3:$B$502,MATCH(A110&amp;"|"&amp;IF(K110=M110,1,K110+1),Values!$L$3:$L$502,0))))</f>
        <v/>
      </c>
      <c r="O110">
        <f>IF(N110="","",INDEX(Values!$J$3:$J$502,MATCH(A110&amp;"|"&amp;IF(K110=M110,1,K110+1),Values!$L$3:$L$502,0)))</f>
        <v/>
      </c>
    </row>
    <row r="111">
      <c r="H111">
        <f>IF(A111="","",IFERROR(INDEX(Attributes!$F$3:$F$52,MATCH(A111,Attributes!$A$3:$A$52,0))&amp;"","Unknown attribute"))</f>
        <v/>
      </c>
      <c r="I111">
        <f>IF(OR(A111="",B111=""),"",IF(AND(H111="Yes",D111&lt;&gt;"No"),"Yes","No"))</f>
        <v/>
      </c>
      <c r="J111">
        <f>IF(I111="Yes",COUNTIF($I$3:I111,"Yes"),"")</f>
        <v/>
      </c>
      <c r="K111">
        <f>IF(I111&lt;&gt;"Yes","",COUNTIFS($A$3:A111,SUBSTITUTE(SUBSTITUTE(A111,"?","~?"),"*","~*"),$I$3:I111,"Yes"))</f>
        <v/>
      </c>
      <c r="L111">
        <f>IF(K111="","",A111&amp;"|"&amp;K111)</f>
        <v/>
      </c>
      <c r="M111">
        <f>IF(I111&lt;&gt;"Yes","",COUNTIFS(Values!$A$3:$A$502,SUBSTITUTE(SUBSTITUTE(A111,"?","~?"),"*","~*"),Values!$I$3:$I$502,"Yes"))</f>
        <v/>
      </c>
      <c r="N111">
        <f>IF(I111&lt;&gt;"Yes","",IF(M111&lt;2,"",INDEX(Values!$B$3:$B$502,MATCH(A111&amp;"|"&amp;IF(K111=M111,1,K111+1),Values!$L$3:$L$502,0))))</f>
        <v/>
      </c>
      <c r="O111">
        <f>IF(N111="","",INDEX(Values!$J$3:$J$502,MATCH(A111&amp;"|"&amp;IF(K111=M111,1,K111+1),Values!$L$3:$L$502,0)))</f>
        <v/>
      </c>
    </row>
    <row r="112">
      <c r="H112">
        <f>IF(A112="","",IFERROR(INDEX(Attributes!$F$3:$F$52,MATCH(A112,Attributes!$A$3:$A$52,0))&amp;"","Unknown attribute"))</f>
        <v/>
      </c>
      <c r="I112">
        <f>IF(OR(A112="",B112=""),"",IF(AND(H112="Yes",D112&lt;&gt;"No"),"Yes","No"))</f>
        <v/>
      </c>
      <c r="J112">
        <f>IF(I112="Yes",COUNTIF($I$3:I112,"Yes"),"")</f>
        <v/>
      </c>
      <c r="K112">
        <f>IF(I112&lt;&gt;"Yes","",COUNTIFS($A$3:A112,SUBSTITUTE(SUBSTITUTE(A112,"?","~?"),"*","~*"),$I$3:I112,"Yes"))</f>
        <v/>
      </c>
      <c r="L112">
        <f>IF(K112="","",A112&amp;"|"&amp;K112)</f>
        <v/>
      </c>
      <c r="M112">
        <f>IF(I112&lt;&gt;"Yes","",COUNTIFS(Values!$A$3:$A$502,SUBSTITUTE(SUBSTITUTE(A112,"?","~?"),"*","~*"),Values!$I$3:$I$502,"Yes"))</f>
        <v/>
      </c>
      <c r="N112">
        <f>IF(I112&lt;&gt;"Yes","",IF(M112&lt;2,"",INDEX(Values!$B$3:$B$502,MATCH(A112&amp;"|"&amp;IF(K112=M112,1,K112+1),Values!$L$3:$L$502,0))))</f>
        <v/>
      </c>
      <c r="O112">
        <f>IF(N112="","",INDEX(Values!$J$3:$J$502,MATCH(A112&amp;"|"&amp;IF(K112=M112,1,K112+1),Values!$L$3:$L$502,0)))</f>
        <v/>
      </c>
    </row>
    <row r="113">
      <c r="H113">
        <f>IF(A113="","",IFERROR(INDEX(Attributes!$F$3:$F$52,MATCH(A113,Attributes!$A$3:$A$52,0))&amp;"","Unknown attribute"))</f>
        <v/>
      </c>
      <c r="I113">
        <f>IF(OR(A113="",B113=""),"",IF(AND(H113="Yes",D113&lt;&gt;"No"),"Yes","No"))</f>
        <v/>
      </c>
      <c r="J113">
        <f>IF(I113="Yes",COUNTIF($I$3:I113,"Yes"),"")</f>
        <v/>
      </c>
      <c r="K113">
        <f>IF(I113&lt;&gt;"Yes","",COUNTIFS($A$3:A113,SUBSTITUTE(SUBSTITUTE(A113,"?","~?"),"*","~*"),$I$3:I113,"Yes"))</f>
        <v/>
      </c>
      <c r="L113">
        <f>IF(K113="","",A113&amp;"|"&amp;K113)</f>
        <v/>
      </c>
      <c r="M113">
        <f>IF(I113&lt;&gt;"Yes","",COUNTIFS(Values!$A$3:$A$502,SUBSTITUTE(SUBSTITUTE(A113,"?","~?"),"*","~*"),Values!$I$3:$I$502,"Yes"))</f>
        <v/>
      </c>
      <c r="N113">
        <f>IF(I113&lt;&gt;"Yes","",IF(M113&lt;2,"",INDEX(Values!$B$3:$B$502,MATCH(A113&amp;"|"&amp;IF(K113=M113,1,K113+1),Values!$L$3:$L$502,0))))</f>
        <v/>
      </c>
      <c r="O113">
        <f>IF(N113="","",INDEX(Values!$J$3:$J$502,MATCH(A113&amp;"|"&amp;IF(K113=M113,1,K113+1),Values!$L$3:$L$502,0)))</f>
        <v/>
      </c>
    </row>
    <row r="114">
      <c r="H114">
        <f>IF(A114="","",IFERROR(INDEX(Attributes!$F$3:$F$52,MATCH(A114,Attributes!$A$3:$A$52,0))&amp;"","Unknown attribute"))</f>
        <v/>
      </c>
      <c r="I114">
        <f>IF(OR(A114="",B114=""),"",IF(AND(H114="Yes",D114&lt;&gt;"No"),"Yes","No"))</f>
        <v/>
      </c>
      <c r="J114">
        <f>IF(I114="Yes",COUNTIF($I$3:I114,"Yes"),"")</f>
        <v/>
      </c>
      <c r="K114">
        <f>IF(I114&lt;&gt;"Yes","",COUNTIFS($A$3:A114,SUBSTITUTE(SUBSTITUTE(A114,"?","~?"),"*","~*"),$I$3:I114,"Yes"))</f>
        <v/>
      </c>
      <c r="L114">
        <f>IF(K114="","",A114&amp;"|"&amp;K114)</f>
        <v/>
      </c>
      <c r="M114">
        <f>IF(I114&lt;&gt;"Yes","",COUNTIFS(Values!$A$3:$A$502,SUBSTITUTE(SUBSTITUTE(A114,"?","~?"),"*","~*"),Values!$I$3:$I$502,"Yes"))</f>
        <v/>
      </c>
      <c r="N114">
        <f>IF(I114&lt;&gt;"Yes","",IF(M114&lt;2,"",INDEX(Values!$B$3:$B$502,MATCH(A114&amp;"|"&amp;IF(K114=M114,1,K114+1),Values!$L$3:$L$502,0))))</f>
        <v/>
      </c>
      <c r="O114">
        <f>IF(N114="","",INDEX(Values!$J$3:$J$502,MATCH(A114&amp;"|"&amp;IF(K114=M114,1,K114+1),Values!$L$3:$L$502,0)))</f>
        <v/>
      </c>
    </row>
    <row r="115">
      <c r="H115">
        <f>IF(A115="","",IFERROR(INDEX(Attributes!$F$3:$F$52,MATCH(A115,Attributes!$A$3:$A$52,0))&amp;"","Unknown attribute"))</f>
        <v/>
      </c>
      <c r="I115">
        <f>IF(OR(A115="",B115=""),"",IF(AND(H115="Yes",D115&lt;&gt;"No"),"Yes","No"))</f>
        <v/>
      </c>
      <c r="J115">
        <f>IF(I115="Yes",COUNTIF($I$3:I115,"Yes"),"")</f>
        <v/>
      </c>
      <c r="K115">
        <f>IF(I115&lt;&gt;"Yes","",COUNTIFS($A$3:A115,SUBSTITUTE(SUBSTITUTE(A115,"?","~?"),"*","~*"),$I$3:I115,"Yes"))</f>
        <v/>
      </c>
      <c r="L115">
        <f>IF(K115="","",A115&amp;"|"&amp;K115)</f>
        <v/>
      </c>
      <c r="M115">
        <f>IF(I115&lt;&gt;"Yes","",COUNTIFS(Values!$A$3:$A$502,SUBSTITUTE(SUBSTITUTE(A115,"?","~?"),"*","~*"),Values!$I$3:$I$502,"Yes"))</f>
        <v/>
      </c>
      <c r="N115">
        <f>IF(I115&lt;&gt;"Yes","",IF(M115&lt;2,"",INDEX(Values!$B$3:$B$502,MATCH(A115&amp;"|"&amp;IF(K115=M115,1,K115+1),Values!$L$3:$L$502,0))))</f>
        <v/>
      </c>
      <c r="O115">
        <f>IF(N115="","",INDEX(Values!$J$3:$J$502,MATCH(A115&amp;"|"&amp;IF(K115=M115,1,K115+1),Values!$L$3:$L$502,0)))</f>
        <v/>
      </c>
    </row>
    <row r="116">
      <c r="H116">
        <f>IF(A116="","",IFERROR(INDEX(Attributes!$F$3:$F$52,MATCH(A116,Attributes!$A$3:$A$52,0))&amp;"","Unknown attribute"))</f>
        <v/>
      </c>
      <c r="I116">
        <f>IF(OR(A116="",B116=""),"",IF(AND(H116="Yes",D116&lt;&gt;"No"),"Yes","No"))</f>
        <v/>
      </c>
      <c r="J116">
        <f>IF(I116="Yes",COUNTIF($I$3:I116,"Yes"),"")</f>
        <v/>
      </c>
      <c r="K116">
        <f>IF(I116&lt;&gt;"Yes","",COUNTIFS($A$3:A116,SUBSTITUTE(SUBSTITUTE(A116,"?","~?"),"*","~*"),$I$3:I116,"Yes"))</f>
        <v/>
      </c>
      <c r="L116">
        <f>IF(K116="","",A116&amp;"|"&amp;K116)</f>
        <v/>
      </c>
      <c r="M116">
        <f>IF(I116&lt;&gt;"Yes","",COUNTIFS(Values!$A$3:$A$502,SUBSTITUTE(SUBSTITUTE(A116,"?","~?"),"*","~*"),Values!$I$3:$I$502,"Yes"))</f>
        <v/>
      </c>
      <c r="N116">
        <f>IF(I116&lt;&gt;"Yes","",IF(M116&lt;2,"",INDEX(Values!$B$3:$B$502,MATCH(A116&amp;"|"&amp;IF(K116=M116,1,K116+1),Values!$L$3:$L$502,0))))</f>
        <v/>
      </c>
      <c r="O116">
        <f>IF(N116="","",INDEX(Values!$J$3:$J$502,MATCH(A116&amp;"|"&amp;IF(K116=M116,1,K116+1),Values!$L$3:$L$502,0)))</f>
        <v/>
      </c>
    </row>
    <row r="117">
      <c r="H117">
        <f>IF(A117="","",IFERROR(INDEX(Attributes!$F$3:$F$52,MATCH(A117,Attributes!$A$3:$A$52,0))&amp;"","Unknown attribute"))</f>
        <v/>
      </c>
      <c r="I117">
        <f>IF(OR(A117="",B117=""),"",IF(AND(H117="Yes",D117&lt;&gt;"No"),"Yes","No"))</f>
        <v/>
      </c>
      <c r="J117">
        <f>IF(I117="Yes",COUNTIF($I$3:I117,"Yes"),"")</f>
        <v/>
      </c>
      <c r="K117">
        <f>IF(I117&lt;&gt;"Yes","",COUNTIFS($A$3:A117,SUBSTITUTE(SUBSTITUTE(A117,"?","~?"),"*","~*"),$I$3:I117,"Yes"))</f>
        <v/>
      </c>
      <c r="L117">
        <f>IF(K117="","",A117&amp;"|"&amp;K117)</f>
        <v/>
      </c>
      <c r="M117">
        <f>IF(I117&lt;&gt;"Yes","",COUNTIFS(Values!$A$3:$A$502,SUBSTITUTE(SUBSTITUTE(A117,"?","~?"),"*","~*"),Values!$I$3:$I$502,"Yes"))</f>
        <v/>
      </c>
      <c r="N117">
        <f>IF(I117&lt;&gt;"Yes","",IF(M117&lt;2,"",INDEX(Values!$B$3:$B$502,MATCH(A117&amp;"|"&amp;IF(K117=M117,1,K117+1),Values!$L$3:$L$502,0))))</f>
        <v/>
      </c>
      <c r="O117">
        <f>IF(N117="","",INDEX(Values!$J$3:$J$502,MATCH(A117&amp;"|"&amp;IF(K117=M117,1,K117+1),Values!$L$3:$L$502,0)))</f>
        <v/>
      </c>
    </row>
    <row r="118">
      <c r="H118">
        <f>IF(A118="","",IFERROR(INDEX(Attributes!$F$3:$F$52,MATCH(A118,Attributes!$A$3:$A$52,0))&amp;"","Unknown attribute"))</f>
        <v/>
      </c>
      <c r="I118">
        <f>IF(OR(A118="",B118=""),"",IF(AND(H118="Yes",D118&lt;&gt;"No"),"Yes","No"))</f>
        <v/>
      </c>
      <c r="J118">
        <f>IF(I118="Yes",COUNTIF($I$3:I118,"Yes"),"")</f>
        <v/>
      </c>
      <c r="K118">
        <f>IF(I118&lt;&gt;"Yes","",COUNTIFS($A$3:A118,SUBSTITUTE(SUBSTITUTE(A118,"?","~?"),"*","~*"),$I$3:I118,"Yes"))</f>
        <v/>
      </c>
      <c r="L118">
        <f>IF(K118="","",A118&amp;"|"&amp;K118)</f>
        <v/>
      </c>
      <c r="M118">
        <f>IF(I118&lt;&gt;"Yes","",COUNTIFS(Values!$A$3:$A$502,SUBSTITUTE(SUBSTITUTE(A118,"?","~?"),"*","~*"),Values!$I$3:$I$502,"Yes"))</f>
        <v/>
      </c>
      <c r="N118">
        <f>IF(I118&lt;&gt;"Yes","",IF(M118&lt;2,"",INDEX(Values!$B$3:$B$502,MATCH(A118&amp;"|"&amp;IF(K118=M118,1,K118+1),Values!$L$3:$L$502,0))))</f>
        <v/>
      </c>
      <c r="O118">
        <f>IF(N118="","",INDEX(Values!$J$3:$J$502,MATCH(A118&amp;"|"&amp;IF(K118=M118,1,K118+1),Values!$L$3:$L$502,0)))</f>
        <v/>
      </c>
    </row>
    <row r="119">
      <c r="H119">
        <f>IF(A119="","",IFERROR(INDEX(Attributes!$F$3:$F$52,MATCH(A119,Attributes!$A$3:$A$52,0))&amp;"","Unknown attribute"))</f>
        <v/>
      </c>
      <c r="I119">
        <f>IF(OR(A119="",B119=""),"",IF(AND(H119="Yes",D119&lt;&gt;"No"),"Yes","No"))</f>
        <v/>
      </c>
      <c r="J119">
        <f>IF(I119="Yes",COUNTIF($I$3:I119,"Yes"),"")</f>
        <v/>
      </c>
      <c r="K119">
        <f>IF(I119&lt;&gt;"Yes","",COUNTIFS($A$3:A119,SUBSTITUTE(SUBSTITUTE(A119,"?","~?"),"*","~*"),$I$3:I119,"Yes"))</f>
        <v/>
      </c>
      <c r="L119">
        <f>IF(K119="","",A119&amp;"|"&amp;K119)</f>
        <v/>
      </c>
      <c r="M119">
        <f>IF(I119&lt;&gt;"Yes","",COUNTIFS(Values!$A$3:$A$502,SUBSTITUTE(SUBSTITUTE(A119,"?","~?"),"*","~*"),Values!$I$3:$I$502,"Yes"))</f>
        <v/>
      </c>
      <c r="N119">
        <f>IF(I119&lt;&gt;"Yes","",IF(M119&lt;2,"",INDEX(Values!$B$3:$B$502,MATCH(A119&amp;"|"&amp;IF(K119=M119,1,K119+1),Values!$L$3:$L$502,0))))</f>
        <v/>
      </c>
      <c r="O119">
        <f>IF(N119="","",INDEX(Values!$J$3:$J$502,MATCH(A119&amp;"|"&amp;IF(K119=M119,1,K119+1),Values!$L$3:$L$502,0)))</f>
        <v/>
      </c>
    </row>
    <row r="120">
      <c r="H120">
        <f>IF(A120="","",IFERROR(INDEX(Attributes!$F$3:$F$52,MATCH(A120,Attributes!$A$3:$A$52,0))&amp;"","Unknown attribute"))</f>
        <v/>
      </c>
      <c r="I120">
        <f>IF(OR(A120="",B120=""),"",IF(AND(H120="Yes",D120&lt;&gt;"No"),"Yes","No"))</f>
        <v/>
      </c>
      <c r="J120">
        <f>IF(I120="Yes",COUNTIF($I$3:I120,"Yes"),"")</f>
        <v/>
      </c>
      <c r="K120">
        <f>IF(I120&lt;&gt;"Yes","",COUNTIFS($A$3:A120,SUBSTITUTE(SUBSTITUTE(A120,"?","~?"),"*","~*"),$I$3:I120,"Yes"))</f>
        <v/>
      </c>
      <c r="L120">
        <f>IF(K120="","",A120&amp;"|"&amp;K120)</f>
        <v/>
      </c>
      <c r="M120">
        <f>IF(I120&lt;&gt;"Yes","",COUNTIFS(Values!$A$3:$A$502,SUBSTITUTE(SUBSTITUTE(A120,"?","~?"),"*","~*"),Values!$I$3:$I$502,"Yes"))</f>
        <v/>
      </c>
      <c r="N120">
        <f>IF(I120&lt;&gt;"Yes","",IF(M120&lt;2,"",INDEX(Values!$B$3:$B$502,MATCH(A120&amp;"|"&amp;IF(K120=M120,1,K120+1),Values!$L$3:$L$502,0))))</f>
        <v/>
      </c>
      <c r="O120">
        <f>IF(N120="","",INDEX(Values!$J$3:$J$502,MATCH(A120&amp;"|"&amp;IF(K120=M120,1,K120+1),Values!$L$3:$L$502,0)))</f>
        <v/>
      </c>
    </row>
    <row r="121">
      <c r="H121">
        <f>IF(A121="","",IFERROR(INDEX(Attributes!$F$3:$F$52,MATCH(A121,Attributes!$A$3:$A$52,0))&amp;"","Unknown attribute"))</f>
        <v/>
      </c>
      <c r="I121">
        <f>IF(OR(A121="",B121=""),"",IF(AND(H121="Yes",D121&lt;&gt;"No"),"Yes","No"))</f>
        <v/>
      </c>
      <c r="J121">
        <f>IF(I121="Yes",COUNTIF($I$3:I121,"Yes"),"")</f>
        <v/>
      </c>
      <c r="K121">
        <f>IF(I121&lt;&gt;"Yes","",COUNTIFS($A$3:A121,SUBSTITUTE(SUBSTITUTE(A121,"?","~?"),"*","~*"),$I$3:I121,"Yes"))</f>
        <v/>
      </c>
      <c r="L121">
        <f>IF(K121="","",A121&amp;"|"&amp;K121)</f>
        <v/>
      </c>
      <c r="M121">
        <f>IF(I121&lt;&gt;"Yes","",COUNTIFS(Values!$A$3:$A$502,SUBSTITUTE(SUBSTITUTE(A121,"?","~?"),"*","~*"),Values!$I$3:$I$502,"Yes"))</f>
        <v/>
      </c>
      <c r="N121">
        <f>IF(I121&lt;&gt;"Yes","",IF(M121&lt;2,"",INDEX(Values!$B$3:$B$502,MATCH(A121&amp;"|"&amp;IF(K121=M121,1,K121+1),Values!$L$3:$L$502,0))))</f>
        <v/>
      </c>
      <c r="O121">
        <f>IF(N121="","",INDEX(Values!$J$3:$J$502,MATCH(A121&amp;"|"&amp;IF(K121=M121,1,K121+1),Values!$L$3:$L$502,0)))</f>
        <v/>
      </c>
    </row>
    <row r="122">
      <c r="H122">
        <f>IF(A122="","",IFERROR(INDEX(Attributes!$F$3:$F$52,MATCH(A122,Attributes!$A$3:$A$52,0))&amp;"","Unknown attribute"))</f>
        <v/>
      </c>
      <c r="I122">
        <f>IF(OR(A122="",B122=""),"",IF(AND(H122="Yes",D122&lt;&gt;"No"),"Yes","No"))</f>
        <v/>
      </c>
      <c r="J122">
        <f>IF(I122="Yes",COUNTIF($I$3:I122,"Yes"),"")</f>
        <v/>
      </c>
      <c r="K122">
        <f>IF(I122&lt;&gt;"Yes","",COUNTIFS($A$3:A122,SUBSTITUTE(SUBSTITUTE(A122,"?","~?"),"*","~*"),$I$3:I122,"Yes"))</f>
        <v/>
      </c>
      <c r="L122">
        <f>IF(K122="","",A122&amp;"|"&amp;K122)</f>
        <v/>
      </c>
      <c r="M122">
        <f>IF(I122&lt;&gt;"Yes","",COUNTIFS(Values!$A$3:$A$502,SUBSTITUTE(SUBSTITUTE(A122,"?","~?"),"*","~*"),Values!$I$3:$I$502,"Yes"))</f>
        <v/>
      </c>
      <c r="N122">
        <f>IF(I122&lt;&gt;"Yes","",IF(M122&lt;2,"",INDEX(Values!$B$3:$B$502,MATCH(A122&amp;"|"&amp;IF(K122=M122,1,K122+1),Values!$L$3:$L$502,0))))</f>
        <v/>
      </c>
      <c r="O122">
        <f>IF(N122="","",INDEX(Values!$J$3:$J$502,MATCH(A122&amp;"|"&amp;IF(K122=M122,1,K122+1),Values!$L$3:$L$502,0)))</f>
        <v/>
      </c>
    </row>
    <row r="123">
      <c r="H123">
        <f>IF(A123="","",IFERROR(INDEX(Attributes!$F$3:$F$52,MATCH(A123,Attributes!$A$3:$A$52,0))&amp;"","Unknown attribute"))</f>
        <v/>
      </c>
      <c r="I123">
        <f>IF(OR(A123="",B123=""),"",IF(AND(H123="Yes",D123&lt;&gt;"No"),"Yes","No"))</f>
        <v/>
      </c>
      <c r="J123">
        <f>IF(I123="Yes",COUNTIF($I$3:I123,"Yes"),"")</f>
        <v/>
      </c>
      <c r="K123">
        <f>IF(I123&lt;&gt;"Yes","",COUNTIFS($A$3:A123,SUBSTITUTE(SUBSTITUTE(A123,"?","~?"),"*","~*"),$I$3:I123,"Yes"))</f>
        <v/>
      </c>
      <c r="L123">
        <f>IF(K123="","",A123&amp;"|"&amp;K123)</f>
        <v/>
      </c>
      <c r="M123">
        <f>IF(I123&lt;&gt;"Yes","",COUNTIFS(Values!$A$3:$A$502,SUBSTITUTE(SUBSTITUTE(A123,"?","~?"),"*","~*"),Values!$I$3:$I$502,"Yes"))</f>
        <v/>
      </c>
      <c r="N123">
        <f>IF(I123&lt;&gt;"Yes","",IF(M123&lt;2,"",INDEX(Values!$B$3:$B$502,MATCH(A123&amp;"|"&amp;IF(K123=M123,1,K123+1),Values!$L$3:$L$502,0))))</f>
        <v/>
      </c>
      <c r="O123">
        <f>IF(N123="","",INDEX(Values!$J$3:$J$502,MATCH(A123&amp;"|"&amp;IF(K123=M123,1,K123+1),Values!$L$3:$L$502,0)))</f>
        <v/>
      </c>
    </row>
    <row r="124">
      <c r="H124">
        <f>IF(A124="","",IFERROR(INDEX(Attributes!$F$3:$F$52,MATCH(A124,Attributes!$A$3:$A$52,0))&amp;"","Unknown attribute"))</f>
        <v/>
      </c>
      <c r="I124">
        <f>IF(OR(A124="",B124=""),"",IF(AND(H124="Yes",D124&lt;&gt;"No"),"Yes","No"))</f>
        <v/>
      </c>
      <c r="J124">
        <f>IF(I124="Yes",COUNTIF($I$3:I124,"Yes"),"")</f>
        <v/>
      </c>
      <c r="K124">
        <f>IF(I124&lt;&gt;"Yes","",COUNTIFS($A$3:A124,SUBSTITUTE(SUBSTITUTE(A124,"?","~?"),"*","~*"),$I$3:I124,"Yes"))</f>
        <v/>
      </c>
      <c r="L124">
        <f>IF(K124="","",A124&amp;"|"&amp;K124)</f>
        <v/>
      </c>
      <c r="M124">
        <f>IF(I124&lt;&gt;"Yes","",COUNTIFS(Values!$A$3:$A$502,SUBSTITUTE(SUBSTITUTE(A124,"?","~?"),"*","~*"),Values!$I$3:$I$502,"Yes"))</f>
        <v/>
      </c>
      <c r="N124">
        <f>IF(I124&lt;&gt;"Yes","",IF(M124&lt;2,"",INDEX(Values!$B$3:$B$502,MATCH(A124&amp;"|"&amp;IF(K124=M124,1,K124+1),Values!$L$3:$L$502,0))))</f>
        <v/>
      </c>
      <c r="O124">
        <f>IF(N124="","",INDEX(Values!$J$3:$J$502,MATCH(A124&amp;"|"&amp;IF(K124=M124,1,K124+1),Values!$L$3:$L$502,0)))</f>
        <v/>
      </c>
    </row>
    <row r="125">
      <c r="H125">
        <f>IF(A125="","",IFERROR(INDEX(Attributes!$F$3:$F$52,MATCH(A125,Attributes!$A$3:$A$52,0))&amp;"","Unknown attribute"))</f>
        <v/>
      </c>
      <c r="I125">
        <f>IF(OR(A125="",B125=""),"",IF(AND(H125="Yes",D125&lt;&gt;"No"),"Yes","No"))</f>
        <v/>
      </c>
      <c r="J125">
        <f>IF(I125="Yes",COUNTIF($I$3:I125,"Yes"),"")</f>
        <v/>
      </c>
      <c r="K125">
        <f>IF(I125&lt;&gt;"Yes","",COUNTIFS($A$3:A125,SUBSTITUTE(SUBSTITUTE(A125,"?","~?"),"*","~*"),$I$3:I125,"Yes"))</f>
        <v/>
      </c>
      <c r="L125">
        <f>IF(K125="","",A125&amp;"|"&amp;K125)</f>
        <v/>
      </c>
      <c r="M125">
        <f>IF(I125&lt;&gt;"Yes","",COUNTIFS(Values!$A$3:$A$502,SUBSTITUTE(SUBSTITUTE(A125,"?","~?"),"*","~*"),Values!$I$3:$I$502,"Yes"))</f>
        <v/>
      </c>
      <c r="N125">
        <f>IF(I125&lt;&gt;"Yes","",IF(M125&lt;2,"",INDEX(Values!$B$3:$B$502,MATCH(A125&amp;"|"&amp;IF(K125=M125,1,K125+1),Values!$L$3:$L$502,0))))</f>
        <v/>
      </c>
      <c r="O125">
        <f>IF(N125="","",INDEX(Values!$J$3:$J$502,MATCH(A125&amp;"|"&amp;IF(K125=M125,1,K125+1),Values!$L$3:$L$502,0)))</f>
        <v/>
      </c>
    </row>
    <row r="126">
      <c r="H126">
        <f>IF(A126="","",IFERROR(INDEX(Attributes!$F$3:$F$52,MATCH(A126,Attributes!$A$3:$A$52,0))&amp;"","Unknown attribute"))</f>
        <v/>
      </c>
      <c r="I126">
        <f>IF(OR(A126="",B126=""),"",IF(AND(H126="Yes",D126&lt;&gt;"No"),"Yes","No"))</f>
        <v/>
      </c>
      <c r="J126">
        <f>IF(I126="Yes",COUNTIF($I$3:I126,"Yes"),"")</f>
        <v/>
      </c>
      <c r="K126">
        <f>IF(I126&lt;&gt;"Yes","",COUNTIFS($A$3:A126,SUBSTITUTE(SUBSTITUTE(A126,"?","~?"),"*","~*"),$I$3:I126,"Yes"))</f>
        <v/>
      </c>
      <c r="L126">
        <f>IF(K126="","",A126&amp;"|"&amp;K126)</f>
        <v/>
      </c>
      <c r="M126">
        <f>IF(I126&lt;&gt;"Yes","",COUNTIFS(Values!$A$3:$A$502,SUBSTITUTE(SUBSTITUTE(A126,"?","~?"),"*","~*"),Values!$I$3:$I$502,"Yes"))</f>
        <v/>
      </c>
      <c r="N126">
        <f>IF(I126&lt;&gt;"Yes","",IF(M126&lt;2,"",INDEX(Values!$B$3:$B$502,MATCH(A126&amp;"|"&amp;IF(K126=M126,1,K126+1),Values!$L$3:$L$502,0))))</f>
        <v/>
      </c>
      <c r="O126">
        <f>IF(N126="","",INDEX(Values!$J$3:$J$502,MATCH(A126&amp;"|"&amp;IF(K126=M126,1,K126+1),Values!$L$3:$L$502,0)))</f>
        <v/>
      </c>
    </row>
    <row r="127">
      <c r="H127">
        <f>IF(A127="","",IFERROR(INDEX(Attributes!$F$3:$F$52,MATCH(A127,Attributes!$A$3:$A$52,0))&amp;"","Unknown attribute"))</f>
        <v/>
      </c>
      <c r="I127">
        <f>IF(OR(A127="",B127=""),"",IF(AND(H127="Yes",D127&lt;&gt;"No"),"Yes","No"))</f>
        <v/>
      </c>
      <c r="J127">
        <f>IF(I127="Yes",COUNTIF($I$3:I127,"Yes"),"")</f>
        <v/>
      </c>
      <c r="K127">
        <f>IF(I127&lt;&gt;"Yes","",COUNTIFS($A$3:A127,SUBSTITUTE(SUBSTITUTE(A127,"?","~?"),"*","~*"),$I$3:I127,"Yes"))</f>
        <v/>
      </c>
      <c r="L127">
        <f>IF(K127="","",A127&amp;"|"&amp;K127)</f>
        <v/>
      </c>
      <c r="M127">
        <f>IF(I127&lt;&gt;"Yes","",COUNTIFS(Values!$A$3:$A$502,SUBSTITUTE(SUBSTITUTE(A127,"?","~?"),"*","~*"),Values!$I$3:$I$502,"Yes"))</f>
        <v/>
      </c>
      <c r="N127">
        <f>IF(I127&lt;&gt;"Yes","",IF(M127&lt;2,"",INDEX(Values!$B$3:$B$502,MATCH(A127&amp;"|"&amp;IF(K127=M127,1,K127+1),Values!$L$3:$L$502,0))))</f>
        <v/>
      </c>
      <c r="O127">
        <f>IF(N127="","",INDEX(Values!$J$3:$J$502,MATCH(A127&amp;"|"&amp;IF(K127=M127,1,K127+1),Values!$L$3:$L$502,0)))</f>
        <v/>
      </c>
    </row>
    <row r="128">
      <c r="H128">
        <f>IF(A128="","",IFERROR(INDEX(Attributes!$F$3:$F$52,MATCH(A128,Attributes!$A$3:$A$52,0))&amp;"","Unknown attribute"))</f>
        <v/>
      </c>
      <c r="I128">
        <f>IF(OR(A128="",B128=""),"",IF(AND(H128="Yes",D128&lt;&gt;"No"),"Yes","No"))</f>
        <v/>
      </c>
      <c r="J128">
        <f>IF(I128="Yes",COUNTIF($I$3:I128,"Yes"),"")</f>
        <v/>
      </c>
      <c r="K128">
        <f>IF(I128&lt;&gt;"Yes","",COUNTIFS($A$3:A128,SUBSTITUTE(SUBSTITUTE(A128,"?","~?"),"*","~*"),$I$3:I128,"Yes"))</f>
        <v/>
      </c>
      <c r="L128">
        <f>IF(K128="","",A128&amp;"|"&amp;K128)</f>
        <v/>
      </c>
      <c r="M128">
        <f>IF(I128&lt;&gt;"Yes","",COUNTIFS(Values!$A$3:$A$502,SUBSTITUTE(SUBSTITUTE(A128,"?","~?"),"*","~*"),Values!$I$3:$I$502,"Yes"))</f>
        <v/>
      </c>
      <c r="N128">
        <f>IF(I128&lt;&gt;"Yes","",IF(M128&lt;2,"",INDEX(Values!$B$3:$B$502,MATCH(A128&amp;"|"&amp;IF(K128=M128,1,K128+1),Values!$L$3:$L$502,0))))</f>
        <v/>
      </c>
      <c r="O128">
        <f>IF(N128="","",INDEX(Values!$J$3:$J$502,MATCH(A128&amp;"|"&amp;IF(K128=M128,1,K128+1),Values!$L$3:$L$502,0)))</f>
        <v/>
      </c>
    </row>
    <row r="129">
      <c r="H129">
        <f>IF(A129="","",IFERROR(INDEX(Attributes!$F$3:$F$52,MATCH(A129,Attributes!$A$3:$A$52,0))&amp;"","Unknown attribute"))</f>
        <v/>
      </c>
      <c r="I129">
        <f>IF(OR(A129="",B129=""),"",IF(AND(H129="Yes",D129&lt;&gt;"No"),"Yes","No"))</f>
        <v/>
      </c>
      <c r="J129">
        <f>IF(I129="Yes",COUNTIF($I$3:I129,"Yes"),"")</f>
        <v/>
      </c>
      <c r="K129">
        <f>IF(I129&lt;&gt;"Yes","",COUNTIFS($A$3:A129,SUBSTITUTE(SUBSTITUTE(A129,"?","~?"),"*","~*"),$I$3:I129,"Yes"))</f>
        <v/>
      </c>
      <c r="L129">
        <f>IF(K129="","",A129&amp;"|"&amp;K129)</f>
        <v/>
      </c>
      <c r="M129">
        <f>IF(I129&lt;&gt;"Yes","",COUNTIFS(Values!$A$3:$A$502,SUBSTITUTE(SUBSTITUTE(A129,"?","~?"),"*","~*"),Values!$I$3:$I$502,"Yes"))</f>
        <v/>
      </c>
      <c r="N129">
        <f>IF(I129&lt;&gt;"Yes","",IF(M129&lt;2,"",INDEX(Values!$B$3:$B$502,MATCH(A129&amp;"|"&amp;IF(K129=M129,1,K129+1),Values!$L$3:$L$502,0))))</f>
        <v/>
      </c>
      <c r="O129">
        <f>IF(N129="","",INDEX(Values!$J$3:$J$502,MATCH(A129&amp;"|"&amp;IF(K129=M129,1,K129+1),Values!$L$3:$L$502,0)))</f>
        <v/>
      </c>
    </row>
    <row r="130">
      <c r="H130">
        <f>IF(A130="","",IFERROR(INDEX(Attributes!$F$3:$F$52,MATCH(A130,Attributes!$A$3:$A$52,0))&amp;"","Unknown attribute"))</f>
        <v/>
      </c>
      <c r="I130">
        <f>IF(OR(A130="",B130=""),"",IF(AND(H130="Yes",D130&lt;&gt;"No"),"Yes","No"))</f>
        <v/>
      </c>
      <c r="J130">
        <f>IF(I130="Yes",COUNTIF($I$3:I130,"Yes"),"")</f>
        <v/>
      </c>
      <c r="K130">
        <f>IF(I130&lt;&gt;"Yes","",COUNTIFS($A$3:A130,SUBSTITUTE(SUBSTITUTE(A130,"?","~?"),"*","~*"),$I$3:I130,"Yes"))</f>
        <v/>
      </c>
      <c r="L130">
        <f>IF(K130="","",A130&amp;"|"&amp;K130)</f>
        <v/>
      </c>
      <c r="M130">
        <f>IF(I130&lt;&gt;"Yes","",COUNTIFS(Values!$A$3:$A$502,SUBSTITUTE(SUBSTITUTE(A130,"?","~?"),"*","~*"),Values!$I$3:$I$502,"Yes"))</f>
        <v/>
      </c>
      <c r="N130">
        <f>IF(I130&lt;&gt;"Yes","",IF(M130&lt;2,"",INDEX(Values!$B$3:$B$502,MATCH(A130&amp;"|"&amp;IF(K130=M130,1,K130+1),Values!$L$3:$L$502,0))))</f>
        <v/>
      </c>
      <c r="O130">
        <f>IF(N130="","",INDEX(Values!$J$3:$J$502,MATCH(A130&amp;"|"&amp;IF(K130=M130,1,K130+1),Values!$L$3:$L$502,0)))</f>
        <v/>
      </c>
    </row>
    <row r="131">
      <c r="H131">
        <f>IF(A131="","",IFERROR(INDEX(Attributes!$F$3:$F$52,MATCH(A131,Attributes!$A$3:$A$52,0))&amp;"","Unknown attribute"))</f>
        <v/>
      </c>
      <c r="I131">
        <f>IF(OR(A131="",B131=""),"",IF(AND(H131="Yes",D131&lt;&gt;"No"),"Yes","No"))</f>
        <v/>
      </c>
      <c r="J131">
        <f>IF(I131="Yes",COUNTIF($I$3:I131,"Yes"),"")</f>
        <v/>
      </c>
      <c r="K131">
        <f>IF(I131&lt;&gt;"Yes","",COUNTIFS($A$3:A131,SUBSTITUTE(SUBSTITUTE(A131,"?","~?"),"*","~*"),$I$3:I131,"Yes"))</f>
        <v/>
      </c>
      <c r="L131">
        <f>IF(K131="","",A131&amp;"|"&amp;K131)</f>
        <v/>
      </c>
      <c r="M131">
        <f>IF(I131&lt;&gt;"Yes","",COUNTIFS(Values!$A$3:$A$502,SUBSTITUTE(SUBSTITUTE(A131,"?","~?"),"*","~*"),Values!$I$3:$I$502,"Yes"))</f>
        <v/>
      </c>
      <c r="N131">
        <f>IF(I131&lt;&gt;"Yes","",IF(M131&lt;2,"",INDEX(Values!$B$3:$B$502,MATCH(A131&amp;"|"&amp;IF(K131=M131,1,K131+1),Values!$L$3:$L$502,0))))</f>
        <v/>
      </c>
      <c r="O131">
        <f>IF(N131="","",INDEX(Values!$J$3:$J$502,MATCH(A131&amp;"|"&amp;IF(K131=M131,1,K131+1),Values!$L$3:$L$502,0)))</f>
        <v/>
      </c>
    </row>
    <row r="132">
      <c r="H132">
        <f>IF(A132="","",IFERROR(INDEX(Attributes!$F$3:$F$52,MATCH(A132,Attributes!$A$3:$A$52,0))&amp;"","Unknown attribute"))</f>
        <v/>
      </c>
      <c r="I132">
        <f>IF(OR(A132="",B132=""),"",IF(AND(H132="Yes",D132&lt;&gt;"No"),"Yes","No"))</f>
        <v/>
      </c>
      <c r="J132">
        <f>IF(I132="Yes",COUNTIF($I$3:I132,"Yes"),"")</f>
        <v/>
      </c>
      <c r="K132">
        <f>IF(I132&lt;&gt;"Yes","",COUNTIFS($A$3:A132,SUBSTITUTE(SUBSTITUTE(A132,"?","~?"),"*","~*"),$I$3:I132,"Yes"))</f>
        <v/>
      </c>
      <c r="L132">
        <f>IF(K132="","",A132&amp;"|"&amp;K132)</f>
        <v/>
      </c>
      <c r="M132">
        <f>IF(I132&lt;&gt;"Yes","",COUNTIFS(Values!$A$3:$A$502,SUBSTITUTE(SUBSTITUTE(A132,"?","~?"),"*","~*"),Values!$I$3:$I$502,"Yes"))</f>
        <v/>
      </c>
      <c r="N132">
        <f>IF(I132&lt;&gt;"Yes","",IF(M132&lt;2,"",INDEX(Values!$B$3:$B$502,MATCH(A132&amp;"|"&amp;IF(K132=M132,1,K132+1),Values!$L$3:$L$502,0))))</f>
        <v/>
      </c>
      <c r="O132">
        <f>IF(N132="","",INDEX(Values!$J$3:$J$502,MATCH(A132&amp;"|"&amp;IF(K132=M132,1,K132+1),Values!$L$3:$L$502,0)))</f>
        <v/>
      </c>
    </row>
    <row r="133">
      <c r="H133">
        <f>IF(A133="","",IFERROR(INDEX(Attributes!$F$3:$F$52,MATCH(A133,Attributes!$A$3:$A$52,0))&amp;"","Unknown attribute"))</f>
        <v/>
      </c>
      <c r="I133">
        <f>IF(OR(A133="",B133=""),"",IF(AND(H133="Yes",D133&lt;&gt;"No"),"Yes","No"))</f>
        <v/>
      </c>
      <c r="J133">
        <f>IF(I133="Yes",COUNTIF($I$3:I133,"Yes"),"")</f>
        <v/>
      </c>
      <c r="K133">
        <f>IF(I133&lt;&gt;"Yes","",COUNTIFS($A$3:A133,SUBSTITUTE(SUBSTITUTE(A133,"?","~?"),"*","~*"),$I$3:I133,"Yes"))</f>
        <v/>
      </c>
      <c r="L133">
        <f>IF(K133="","",A133&amp;"|"&amp;K133)</f>
        <v/>
      </c>
      <c r="M133">
        <f>IF(I133&lt;&gt;"Yes","",COUNTIFS(Values!$A$3:$A$502,SUBSTITUTE(SUBSTITUTE(A133,"?","~?"),"*","~*"),Values!$I$3:$I$502,"Yes"))</f>
        <v/>
      </c>
      <c r="N133">
        <f>IF(I133&lt;&gt;"Yes","",IF(M133&lt;2,"",INDEX(Values!$B$3:$B$502,MATCH(A133&amp;"|"&amp;IF(K133=M133,1,K133+1),Values!$L$3:$L$502,0))))</f>
        <v/>
      </c>
      <c r="O133">
        <f>IF(N133="","",INDEX(Values!$J$3:$J$502,MATCH(A133&amp;"|"&amp;IF(K133=M133,1,K133+1),Values!$L$3:$L$502,0)))</f>
        <v/>
      </c>
    </row>
    <row r="134">
      <c r="H134">
        <f>IF(A134="","",IFERROR(INDEX(Attributes!$F$3:$F$52,MATCH(A134,Attributes!$A$3:$A$52,0))&amp;"","Unknown attribute"))</f>
        <v/>
      </c>
      <c r="I134">
        <f>IF(OR(A134="",B134=""),"",IF(AND(H134="Yes",D134&lt;&gt;"No"),"Yes","No"))</f>
        <v/>
      </c>
      <c r="J134">
        <f>IF(I134="Yes",COUNTIF($I$3:I134,"Yes"),"")</f>
        <v/>
      </c>
      <c r="K134">
        <f>IF(I134&lt;&gt;"Yes","",COUNTIFS($A$3:A134,SUBSTITUTE(SUBSTITUTE(A134,"?","~?"),"*","~*"),$I$3:I134,"Yes"))</f>
        <v/>
      </c>
      <c r="L134">
        <f>IF(K134="","",A134&amp;"|"&amp;K134)</f>
        <v/>
      </c>
      <c r="M134">
        <f>IF(I134&lt;&gt;"Yes","",COUNTIFS(Values!$A$3:$A$502,SUBSTITUTE(SUBSTITUTE(A134,"?","~?"),"*","~*"),Values!$I$3:$I$502,"Yes"))</f>
        <v/>
      </c>
      <c r="N134">
        <f>IF(I134&lt;&gt;"Yes","",IF(M134&lt;2,"",INDEX(Values!$B$3:$B$502,MATCH(A134&amp;"|"&amp;IF(K134=M134,1,K134+1),Values!$L$3:$L$502,0))))</f>
        <v/>
      </c>
      <c r="O134">
        <f>IF(N134="","",INDEX(Values!$J$3:$J$502,MATCH(A134&amp;"|"&amp;IF(K134=M134,1,K134+1),Values!$L$3:$L$502,0)))</f>
        <v/>
      </c>
    </row>
    <row r="135">
      <c r="H135">
        <f>IF(A135="","",IFERROR(INDEX(Attributes!$F$3:$F$52,MATCH(A135,Attributes!$A$3:$A$52,0))&amp;"","Unknown attribute"))</f>
        <v/>
      </c>
      <c r="I135">
        <f>IF(OR(A135="",B135=""),"",IF(AND(H135="Yes",D135&lt;&gt;"No"),"Yes","No"))</f>
        <v/>
      </c>
      <c r="J135">
        <f>IF(I135="Yes",COUNTIF($I$3:I135,"Yes"),"")</f>
        <v/>
      </c>
      <c r="K135">
        <f>IF(I135&lt;&gt;"Yes","",COUNTIFS($A$3:A135,SUBSTITUTE(SUBSTITUTE(A135,"?","~?"),"*","~*"),$I$3:I135,"Yes"))</f>
        <v/>
      </c>
      <c r="L135">
        <f>IF(K135="","",A135&amp;"|"&amp;K135)</f>
        <v/>
      </c>
      <c r="M135">
        <f>IF(I135&lt;&gt;"Yes","",COUNTIFS(Values!$A$3:$A$502,SUBSTITUTE(SUBSTITUTE(A135,"?","~?"),"*","~*"),Values!$I$3:$I$502,"Yes"))</f>
        <v/>
      </c>
      <c r="N135">
        <f>IF(I135&lt;&gt;"Yes","",IF(M135&lt;2,"",INDEX(Values!$B$3:$B$502,MATCH(A135&amp;"|"&amp;IF(K135=M135,1,K135+1),Values!$L$3:$L$502,0))))</f>
        <v/>
      </c>
      <c r="O135">
        <f>IF(N135="","",INDEX(Values!$J$3:$J$502,MATCH(A135&amp;"|"&amp;IF(K135=M135,1,K135+1),Values!$L$3:$L$502,0)))</f>
        <v/>
      </c>
    </row>
    <row r="136">
      <c r="H136">
        <f>IF(A136="","",IFERROR(INDEX(Attributes!$F$3:$F$52,MATCH(A136,Attributes!$A$3:$A$52,0))&amp;"","Unknown attribute"))</f>
        <v/>
      </c>
      <c r="I136">
        <f>IF(OR(A136="",B136=""),"",IF(AND(H136="Yes",D136&lt;&gt;"No"),"Yes","No"))</f>
        <v/>
      </c>
      <c r="J136">
        <f>IF(I136="Yes",COUNTIF($I$3:I136,"Yes"),"")</f>
        <v/>
      </c>
      <c r="K136">
        <f>IF(I136&lt;&gt;"Yes","",COUNTIFS($A$3:A136,SUBSTITUTE(SUBSTITUTE(A136,"?","~?"),"*","~*"),$I$3:I136,"Yes"))</f>
        <v/>
      </c>
      <c r="L136">
        <f>IF(K136="","",A136&amp;"|"&amp;K136)</f>
        <v/>
      </c>
      <c r="M136">
        <f>IF(I136&lt;&gt;"Yes","",COUNTIFS(Values!$A$3:$A$502,SUBSTITUTE(SUBSTITUTE(A136,"?","~?"),"*","~*"),Values!$I$3:$I$502,"Yes"))</f>
        <v/>
      </c>
      <c r="N136">
        <f>IF(I136&lt;&gt;"Yes","",IF(M136&lt;2,"",INDEX(Values!$B$3:$B$502,MATCH(A136&amp;"|"&amp;IF(K136=M136,1,K136+1),Values!$L$3:$L$502,0))))</f>
        <v/>
      </c>
      <c r="O136">
        <f>IF(N136="","",INDEX(Values!$J$3:$J$502,MATCH(A136&amp;"|"&amp;IF(K136=M136,1,K136+1),Values!$L$3:$L$502,0)))</f>
        <v/>
      </c>
    </row>
    <row r="137">
      <c r="H137">
        <f>IF(A137="","",IFERROR(INDEX(Attributes!$F$3:$F$52,MATCH(A137,Attributes!$A$3:$A$52,0))&amp;"","Unknown attribute"))</f>
        <v/>
      </c>
      <c r="I137">
        <f>IF(OR(A137="",B137=""),"",IF(AND(H137="Yes",D137&lt;&gt;"No"),"Yes","No"))</f>
        <v/>
      </c>
      <c r="J137">
        <f>IF(I137="Yes",COUNTIF($I$3:I137,"Yes"),"")</f>
        <v/>
      </c>
      <c r="K137">
        <f>IF(I137&lt;&gt;"Yes","",COUNTIFS($A$3:A137,SUBSTITUTE(SUBSTITUTE(A137,"?","~?"),"*","~*"),$I$3:I137,"Yes"))</f>
        <v/>
      </c>
      <c r="L137">
        <f>IF(K137="","",A137&amp;"|"&amp;K137)</f>
        <v/>
      </c>
      <c r="M137">
        <f>IF(I137&lt;&gt;"Yes","",COUNTIFS(Values!$A$3:$A$502,SUBSTITUTE(SUBSTITUTE(A137,"?","~?"),"*","~*"),Values!$I$3:$I$502,"Yes"))</f>
        <v/>
      </c>
      <c r="N137">
        <f>IF(I137&lt;&gt;"Yes","",IF(M137&lt;2,"",INDEX(Values!$B$3:$B$502,MATCH(A137&amp;"|"&amp;IF(K137=M137,1,K137+1),Values!$L$3:$L$502,0))))</f>
        <v/>
      </c>
      <c r="O137">
        <f>IF(N137="","",INDEX(Values!$J$3:$J$502,MATCH(A137&amp;"|"&amp;IF(K137=M137,1,K137+1),Values!$L$3:$L$502,0)))</f>
        <v/>
      </c>
    </row>
    <row r="138">
      <c r="H138">
        <f>IF(A138="","",IFERROR(INDEX(Attributes!$F$3:$F$52,MATCH(A138,Attributes!$A$3:$A$52,0))&amp;"","Unknown attribute"))</f>
        <v/>
      </c>
      <c r="I138">
        <f>IF(OR(A138="",B138=""),"",IF(AND(H138="Yes",D138&lt;&gt;"No"),"Yes","No"))</f>
        <v/>
      </c>
      <c r="J138">
        <f>IF(I138="Yes",COUNTIF($I$3:I138,"Yes"),"")</f>
        <v/>
      </c>
      <c r="K138">
        <f>IF(I138&lt;&gt;"Yes","",COUNTIFS($A$3:A138,SUBSTITUTE(SUBSTITUTE(A138,"?","~?"),"*","~*"),$I$3:I138,"Yes"))</f>
        <v/>
      </c>
      <c r="L138">
        <f>IF(K138="","",A138&amp;"|"&amp;K138)</f>
        <v/>
      </c>
      <c r="M138">
        <f>IF(I138&lt;&gt;"Yes","",COUNTIFS(Values!$A$3:$A$502,SUBSTITUTE(SUBSTITUTE(A138,"?","~?"),"*","~*"),Values!$I$3:$I$502,"Yes"))</f>
        <v/>
      </c>
      <c r="N138">
        <f>IF(I138&lt;&gt;"Yes","",IF(M138&lt;2,"",INDEX(Values!$B$3:$B$502,MATCH(A138&amp;"|"&amp;IF(K138=M138,1,K138+1),Values!$L$3:$L$502,0))))</f>
        <v/>
      </c>
      <c r="O138">
        <f>IF(N138="","",INDEX(Values!$J$3:$J$502,MATCH(A138&amp;"|"&amp;IF(K138=M138,1,K138+1),Values!$L$3:$L$502,0)))</f>
        <v/>
      </c>
    </row>
    <row r="139">
      <c r="H139">
        <f>IF(A139="","",IFERROR(INDEX(Attributes!$F$3:$F$52,MATCH(A139,Attributes!$A$3:$A$52,0))&amp;"","Unknown attribute"))</f>
        <v/>
      </c>
      <c r="I139">
        <f>IF(OR(A139="",B139=""),"",IF(AND(H139="Yes",D139&lt;&gt;"No"),"Yes","No"))</f>
        <v/>
      </c>
      <c r="J139">
        <f>IF(I139="Yes",COUNTIF($I$3:I139,"Yes"),"")</f>
        <v/>
      </c>
      <c r="K139">
        <f>IF(I139&lt;&gt;"Yes","",COUNTIFS($A$3:A139,SUBSTITUTE(SUBSTITUTE(A139,"?","~?"),"*","~*"),$I$3:I139,"Yes"))</f>
        <v/>
      </c>
      <c r="L139">
        <f>IF(K139="","",A139&amp;"|"&amp;K139)</f>
        <v/>
      </c>
      <c r="M139">
        <f>IF(I139&lt;&gt;"Yes","",COUNTIFS(Values!$A$3:$A$502,SUBSTITUTE(SUBSTITUTE(A139,"?","~?"),"*","~*"),Values!$I$3:$I$502,"Yes"))</f>
        <v/>
      </c>
      <c r="N139">
        <f>IF(I139&lt;&gt;"Yes","",IF(M139&lt;2,"",INDEX(Values!$B$3:$B$502,MATCH(A139&amp;"|"&amp;IF(K139=M139,1,K139+1),Values!$L$3:$L$502,0))))</f>
        <v/>
      </c>
      <c r="O139">
        <f>IF(N139="","",INDEX(Values!$J$3:$J$502,MATCH(A139&amp;"|"&amp;IF(K139=M139,1,K139+1),Values!$L$3:$L$502,0)))</f>
        <v/>
      </c>
    </row>
    <row r="140">
      <c r="H140">
        <f>IF(A140="","",IFERROR(INDEX(Attributes!$F$3:$F$52,MATCH(A140,Attributes!$A$3:$A$52,0))&amp;"","Unknown attribute"))</f>
        <v/>
      </c>
      <c r="I140">
        <f>IF(OR(A140="",B140=""),"",IF(AND(H140="Yes",D140&lt;&gt;"No"),"Yes","No"))</f>
        <v/>
      </c>
      <c r="J140">
        <f>IF(I140="Yes",COUNTIF($I$3:I140,"Yes"),"")</f>
        <v/>
      </c>
      <c r="K140">
        <f>IF(I140&lt;&gt;"Yes","",COUNTIFS($A$3:A140,SUBSTITUTE(SUBSTITUTE(A140,"?","~?"),"*","~*"),$I$3:I140,"Yes"))</f>
        <v/>
      </c>
      <c r="L140">
        <f>IF(K140="","",A140&amp;"|"&amp;K140)</f>
        <v/>
      </c>
      <c r="M140">
        <f>IF(I140&lt;&gt;"Yes","",COUNTIFS(Values!$A$3:$A$502,SUBSTITUTE(SUBSTITUTE(A140,"?","~?"),"*","~*"),Values!$I$3:$I$502,"Yes"))</f>
        <v/>
      </c>
      <c r="N140">
        <f>IF(I140&lt;&gt;"Yes","",IF(M140&lt;2,"",INDEX(Values!$B$3:$B$502,MATCH(A140&amp;"|"&amp;IF(K140=M140,1,K140+1),Values!$L$3:$L$502,0))))</f>
        <v/>
      </c>
      <c r="O140">
        <f>IF(N140="","",INDEX(Values!$J$3:$J$502,MATCH(A140&amp;"|"&amp;IF(K140=M140,1,K140+1),Values!$L$3:$L$502,0)))</f>
        <v/>
      </c>
    </row>
    <row r="141">
      <c r="H141">
        <f>IF(A141="","",IFERROR(INDEX(Attributes!$F$3:$F$52,MATCH(A141,Attributes!$A$3:$A$52,0))&amp;"","Unknown attribute"))</f>
        <v/>
      </c>
      <c r="I141">
        <f>IF(OR(A141="",B141=""),"",IF(AND(H141="Yes",D141&lt;&gt;"No"),"Yes","No"))</f>
        <v/>
      </c>
      <c r="J141">
        <f>IF(I141="Yes",COUNTIF($I$3:I141,"Yes"),"")</f>
        <v/>
      </c>
      <c r="K141">
        <f>IF(I141&lt;&gt;"Yes","",COUNTIFS($A$3:A141,SUBSTITUTE(SUBSTITUTE(A141,"?","~?"),"*","~*"),$I$3:I141,"Yes"))</f>
        <v/>
      </c>
      <c r="L141">
        <f>IF(K141="","",A141&amp;"|"&amp;K141)</f>
        <v/>
      </c>
      <c r="M141">
        <f>IF(I141&lt;&gt;"Yes","",COUNTIFS(Values!$A$3:$A$502,SUBSTITUTE(SUBSTITUTE(A141,"?","~?"),"*","~*"),Values!$I$3:$I$502,"Yes"))</f>
        <v/>
      </c>
      <c r="N141">
        <f>IF(I141&lt;&gt;"Yes","",IF(M141&lt;2,"",INDEX(Values!$B$3:$B$502,MATCH(A141&amp;"|"&amp;IF(K141=M141,1,K141+1),Values!$L$3:$L$502,0))))</f>
        <v/>
      </c>
      <c r="O141">
        <f>IF(N141="","",INDEX(Values!$J$3:$J$502,MATCH(A141&amp;"|"&amp;IF(K141=M141,1,K141+1),Values!$L$3:$L$502,0)))</f>
        <v/>
      </c>
    </row>
    <row r="142">
      <c r="H142">
        <f>IF(A142="","",IFERROR(INDEX(Attributes!$F$3:$F$52,MATCH(A142,Attributes!$A$3:$A$52,0))&amp;"","Unknown attribute"))</f>
        <v/>
      </c>
      <c r="I142">
        <f>IF(OR(A142="",B142=""),"",IF(AND(H142="Yes",D142&lt;&gt;"No"),"Yes","No"))</f>
        <v/>
      </c>
      <c r="J142">
        <f>IF(I142="Yes",COUNTIF($I$3:I142,"Yes"),"")</f>
        <v/>
      </c>
      <c r="K142">
        <f>IF(I142&lt;&gt;"Yes","",COUNTIFS($A$3:A142,SUBSTITUTE(SUBSTITUTE(A142,"?","~?"),"*","~*"),$I$3:I142,"Yes"))</f>
        <v/>
      </c>
      <c r="L142">
        <f>IF(K142="","",A142&amp;"|"&amp;K142)</f>
        <v/>
      </c>
      <c r="M142">
        <f>IF(I142&lt;&gt;"Yes","",COUNTIFS(Values!$A$3:$A$502,SUBSTITUTE(SUBSTITUTE(A142,"?","~?"),"*","~*"),Values!$I$3:$I$502,"Yes"))</f>
        <v/>
      </c>
      <c r="N142">
        <f>IF(I142&lt;&gt;"Yes","",IF(M142&lt;2,"",INDEX(Values!$B$3:$B$502,MATCH(A142&amp;"|"&amp;IF(K142=M142,1,K142+1),Values!$L$3:$L$502,0))))</f>
        <v/>
      </c>
      <c r="O142">
        <f>IF(N142="","",INDEX(Values!$J$3:$J$502,MATCH(A142&amp;"|"&amp;IF(K142=M142,1,K142+1),Values!$L$3:$L$502,0)))</f>
        <v/>
      </c>
    </row>
    <row r="143">
      <c r="H143">
        <f>IF(A143="","",IFERROR(INDEX(Attributes!$F$3:$F$52,MATCH(A143,Attributes!$A$3:$A$52,0))&amp;"","Unknown attribute"))</f>
        <v/>
      </c>
      <c r="I143">
        <f>IF(OR(A143="",B143=""),"",IF(AND(H143="Yes",D143&lt;&gt;"No"),"Yes","No"))</f>
        <v/>
      </c>
      <c r="J143">
        <f>IF(I143="Yes",COUNTIF($I$3:I143,"Yes"),"")</f>
        <v/>
      </c>
      <c r="K143">
        <f>IF(I143&lt;&gt;"Yes","",COUNTIFS($A$3:A143,SUBSTITUTE(SUBSTITUTE(A143,"?","~?"),"*","~*"),$I$3:I143,"Yes"))</f>
        <v/>
      </c>
      <c r="L143">
        <f>IF(K143="","",A143&amp;"|"&amp;K143)</f>
        <v/>
      </c>
      <c r="M143">
        <f>IF(I143&lt;&gt;"Yes","",COUNTIFS(Values!$A$3:$A$502,SUBSTITUTE(SUBSTITUTE(A143,"?","~?"),"*","~*"),Values!$I$3:$I$502,"Yes"))</f>
        <v/>
      </c>
      <c r="N143">
        <f>IF(I143&lt;&gt;"Yes","",IF(M143&lt;2,"",INDEX(Values!$B$3:$B$502,MATCH(A143&amp;"|"&amp;IF(K143=M143,1,K143+1),Values!$L$3:$L$502,0))))</f>
        <v/>
      </c>
      <c r="O143">
        <f>IF(N143="","",INDEX(Values!$J$3:$J$502,MATCH(A143&amp;"|"&amp;IF(K143=M143,1,K143+1),Values!$L$3:$L$502,0)))</f>
        <v/>
      </c>
    </row>
    <row r="144">
      <c r="H144">
        <f>IF(A144="","",IFERROR(INDEX(Attributes!$F$3:$F$52,MATCH(A144,Attributes!$A$3:$A$52,0))&amp;"","Unknown attribute"))</f>
        <v/>
      </c>
      <c r="I144">
        <f>IF(OR(A144="",B144=""),"",IF(AND(H144="Yes",D144&lt;&gt;"No"),"Yes","No"))</f>
        <v/>
      </c>
      <c r="J144">
        <f>IF(I144="Yes",COUNTIF($I$3:I144,"Yes"),"")</f>
        <v/>
      </c>
      <c r="K144">
        <f>IF(I144&lt;&gt;"Yes","",COUNTIFS($A$3:A144,SUBSTITUTE(SUBSTITUTE(A144,"?","~?"),"*","~*"),$I$3:I144,"Yes"))</f>
        <v/>
      </c>
      <c r="L144">
        <f>IF(K144="","",A144&amp;"|"&amp;K144)</f>
        <v/>
      </c>
      <c r="M144">
        <f>IF(I144&lt;&gt;"Yes","",COUNTIFS(Values!$A$3:$A$502,SUBSTITUTE(SUBSTITUTE(A144,"?","~?"),"*","~*"),Values!$I$3:$I$502,"Yes"))</f>
        <v/>
      </c>
      <c r="N144">
        <f>IF(I144&lt;&gt;"Yes","",IF(M144&lt;2,"",INDEX(Values!$B$3:$B$502,MATCH(A144&amp;"|"&amp;IF(K144=M144,1,K144+1),Values!$L$3:$L$502,0))))</f>
        <v/>
      </c>
      <c r="O144">
        <f>IF(N144="","",INDEX(Values!$J$3:$J$502,MATCH(A144&amp;"|"&amp;IF(K144=M144,1,K144+1),Values!$L$3:$L$502,0)))</f>
        <v/>
      </c>
    </row>
    <row r="145">
      <c r="H145">
        <f>IF(A145="","",IFERROR(INDEX(Attributes!$F$3:$F$52,MATCH(A145,Attributes!$A$3:$A$52,0))&amp;"","Unknown attribute"))</f>
        <v/>
      </c>
      <c r="I145">
        <f>IF(OR(A145="",B145=""),"",IF(AND(H145="Yes",D145&lt;&gt;"No"),"Yes","No"))</f>
        <v/>
      </c>
      <c r="J145">
        <f>IF(I145="Yes",COUNTIF($I$3:I145,"Yes"),"")</f>
        <v/>
      </c>
      <c r="K145">
        <f>IF(I145&lt;&gt;"Yes","",COUNTIFS($A$3:A145,SUBSTITUTE(SUBSTITUTE(A145,"?","~?"),"*","~*"),$I$3:I145,"Yes"))</f>
        <v/>
      </c>
      <c r="L145">
        <f>IF(K145="","",A145&amp;"|"&amp;K145)</f>
        <v/>
      </c>
      <c r="M145">
        <f>IF(I145&lt;&gt;"Yes","",COUNTIFS(Values!$A$3:$A$502,SUBSTITUTE(SUBSTITUTE(A145,"?","~?"),"*","~*"),Values!$I$3:$I$502,"Yes"))</f>
        <v/>
      </c>
      <c r="N145">
        <f>IF(I145&lt;&gt;"Yes","",IF(M145&lt;2,"",INDEX(Values!$B$3:$B$502,MATCH(A145&amp;"|"&amp;IF(K145=M145,1,K145+1),Values!$L$3:$L$502,0))))</f>
        <v/>
      </c>
      <c r="O145">
        <f>IF(N145="","",INDEX(Values!$J$3:$J$502,MATCH(A145&amp;"|"&amp;IF(K145=M145,1,K145+1),Values!$L$3:$L$502,0)))</f>
        <v/>
      </c>
    </row>
    <row r="146">
      <c r="H146">
        <f>IF(A146="","",IFERROR(INDEX(Attributes!$F$3:$F$52,MATCH(A146,Attributes!$A$3:$A$52,0))&amp;"","Unknown attribute"))</f>
        <v/>
      </c>
      <c r="I146">
        <f>IF(OR(A146="",B146=""),"",IF(AND(H146="Yes",D146&lt;&gt;"No"),"Yes","No"))</f>
        <v/>
      </c>
      <c r="J146">
        <f>IF(I146="Yes",COUNTIF($I$3:I146,"Yes"),"")</f>
        <v/>
      </c>
      <c r="K146">
        <f>IF(I146&lt;&gt;"Yes","",COUNTIFS($A$3:A146,SUBSTITUTE(SUBSTITUTE(A146,"?","~?"),"*","~*"),$I$3:I146,"Yes"))</f>
        <v/>
      </c>
      <c r="L146">
        <f>IF(K146="","",A146&amp;"|"&amp;K146)</f>
        <v/>
      </c>
      <c r="M146">
        <f>IF(I146&lt;&gt;"Yes","",COUNTIFS(Values!$A$3:$A$502,SUBSTITUTE(SUBSTITUTE(A146,"?","~?"),"*","~*"),Values!$I$3:$I$502,"Yes"))</f>
        <v/>
      </c>
      <c r="N146">
        <f>IF(I146&lt;&gt;"Yes","",IF(M146&lt;2,"",INDEX(Values!$B$3:$B$502,MATCH(A146&amp;"|"&amp;IF(K146=M146,1,K146+1),Values!$L$3:$L$502,0))))</f>
        <v/>
      </c>
      <c r="O146">
        <f>IF(N146="","",INDEX(Values!$J$3:$J$502,MATCH(A146&amp;"|"&amp;IF(K146=M146,1,K146+1),Values!$L$3:$L$502,0)))</f>
        <v/>
      </c>
    </row>
    <row r="147">
      <c r="H147">
        <f>IF(A147="","",IFERROR(INDEX(Attributes!$F$3:$F$52,MATCH(A147,Attributes!$A$3:$A$52,0))&amp;"","Unknown attribute"))</f>
        <v/>
      </c>
      <c r="I147">
        <f>IF(OR(A147="",B147=""),"",IF(AND(H147="Yes",D147&lt;&gt;"No"),"Yes","No"))</f>
        <v/>
      </c>
      <c r="J147">
        <f>IF(I147="Yes",COUNTIF($I$3:I147,"Yes"),"")</f>
        <v/>
      </c>
      <c r="K147">
        <f>IF(I147&lt;&gt;"Yes","",COUNTIFS($A$3:A147,SUBSTITUTE(SUBSTITUTE(A147,"?","~?"),"*","~*"),$I$3:I147,"Yes"))</f>
        <v/>
      </c>
      <c r="L147">
        <f>IF(K147="","",A147&amp;"|"&amp;K147)</f>
        <v/>
      </c>
      <c r="M147">
        <f>IF(I147&lt;&gt;"Yes","",COUNTIFS(Values!$A$3:$A$502,SUBSTITUTE(SUBSTITUTE(A147,"?","~?"),"*","~*"),Values!$I$3:$I$502,"Yes"))</f>
        <v/>
      </c>
      <c r="N147">
        <f>IF(I147&lt;&gt;"Yes","",IF(M147&lt;2,"",INDEX(Values!$B$3:$B$502,MATCH(A147&amp;"|"&amp;IF(K147=M147,1,K147+1),Values!$L$3:$L$502,0))))</f>
        <v/>
      </c>
      <c r="O147">
        <f>IF(N147="","",INDEX(Values!$J$3:$J$502,MATCH(A147&amp;"|"&amp;IF(K147=M147,1,K147+1),Values!$L$3:$L$502,0)))</f>
        <v/>
      </c>
    </row>
    <row r="148">
      <c r="H148">
        <f>IF(A148="","",IFERROR(INDEX(Attributes!$F$3:$F$52,MATCH(A148,Attributes!$A$3:$A$52,0))&amp;"","Unknown attribute"))</f>
        <v/>
      </c>
      <c r="I148">
        <f>IF(OR(A148="",B148=""),"",IF(AND(H148="Yes",D148&lt;&gt;"No"),"Yes","No"))</f>
        <v/>
      </c>
      <c r="J148">
        <f>IF(I148="Yes",COUNTIF($I$3:I148,"Yes"),"")</f>
        <v/>
      </c>
      <c r="K148">
        <f>IF(I148&lt;&gt;"Yes","",COUNTIFS($A$3:A148,SUBSTITUTE(SUBSTITUTE(A148,"?","~?"),"*","~*"),$I$3:I148,"Yes"))</f>
        <v/>
      </c>
      <c r="L148">
        <f>IF(K148="","",A148&amp;"|"&amp;K148)</f>
        <v/>
      </c>
      <c r="M148">
        <f>IF(I148&lt;&gt;"Yes","",COUNTIFS(Values!$A$3:$A$502,SUBSTITUTE(SUBSTITUTE(A148,"?","~?"),"*","~*"),Values!$I$3:$I$502,"Yes"))</f>
        <v/>
      </c>
      <c r="N148">
        <f>IF(I148&lt;&gt;"Yes","",IF(M148&lt;2,"",INDEX(Values!$B$3:$B$502,MATCH(A148&amp;"|"&amp;IF(K148=M148,1,K148+1),Values!$L$3:$L$502,0))))</f>
        <v/>
      </c>
      <c r="O148">
        <f>IF(N148="","",INDEX(Values!$J$3:$J$502,MATCH(A148&amp;"|"&amp;IF(K148=M148,1,K148+1),Values!$L$3:$L$502,0)))</f>
        <v/>
      </c>
    </row>
    <row r="149">
      <c r="H149">
        <f>IF(A149="","",IFERROR(INDEX(Attributes!$F$3:$F$52,MATCH(A149,Attributes!$A$3:$A$52,0))&amp;"","Unknown attribute"))</f>
        <v/>
      </c>
      <c r="I149">
        <f>IF(OR(A149="",B149=""),"",IF(AND(H149="Yes",D149&lt;&gt;"No"),"Yes","No"))</f>
        <v/>
      </c>
      <c r="J149">
        <f>IF(I149="Yes",COUNTIF($I$3:I149,"Yes"),"")</f>
        <v/>
      </c>
      <c r="K149">
        <f>IF(I149&lt;&gt;"Yes","",COUNTIFS($A$3:A149,SUBSTITUTE(SUBSTITUTE(A149,"?","~?"),"*","~*"),$I$3:I149,"Yes"))</f>
        <v/>
      </c>
      <c r="L149">
        <f>IF(K149="","",A149&amp;"|"&amp;K149)</f>
        <v/>
      </c>
      <c r="M149">
        <f>IF(I149&lt;&gt;"Yes","",COUNTIFS(Values!$A$3:$A$502,SUBSTITUTE(SUBSTITUTE(A149,"?","~?"),"*","~*"),Values!$I$3:$I$502,"Yes"))</f>
        <v/>
      </c>
      <c r="N149">
        <f>IF(I149&lt;&gt;"Yes","",IF(M149&lt;2,"",INDEX(Values!$B$3:$B$502,MATCH(A149&amp;"|"&amp;IF(K149=M149,1,K149+1),Values!$L$3:$L$502,0))))</f>
        <v/>
      </c>
      <c r="O149">
        <f>IF(N149="","",INDEX(Values!$J$3:$J$502,MATCH(A149&amp;"|"&amp;IF(K149=M149,1,K149+1),Values!$L$3:$L$502,0)))</f>
        <v/>
      </c>
    </row>
    <row r="150">
      <c r="H150">
        <f>IF(A150="","",IFERROR(INDEX(Attributes!$F$3:$F$52,MATCH(A150,Attributes!$A$3:$A$52,0))&amp;"","Unknown attribute"))</f>
        <v/>
      </c>
      <c r="I150">
        <f>IF(OR(A150="",B150=""),"",IF(AND(H150="Yes",D150&lt;&gt;"No"),"Yes","No"))</f>
        <v/>
      </c>
      <c r="J150">
        <f>IF(I150="Yes",COUNTIF($I$3:I150,"Yes"),"")</f>
        <v/>
      </c>
      <c r="K150">
        <f>IF(I150&lt;&gt;"Yes","",COUNTIFS($A$3:A150,SUBSTITUTE(SUBSTITUTE(A150,"?","~?"),"*","~*"),$I$3:I150,"Yes"))</f>
        <v/>
      </c>
      <c r="L150">
        <f>IF(K150="","",A150&amp;"|"&amp;K150)</f>
        <v/>
      </c>
      <c r="M150">
        <f>IF(I150&lt;&gt;"Yes","",COUNTIFS(Values!$A$3:$A$502,SUBSTITUTE(SUBSTITUTE(A150,"?","~?"),"*","~*"),Values!$I$3:$I$502,"Yes"))</f>
        <v/>
      </c>
      <c r="N150">
        <f>IF(I150&lt;&gt;"Yes","",IF(M150&lt;2,"",INDEX(Values!$B$3:$B$502,MATCH(A150&amp;"|"&amp;IF(K150=M150,1,K150+1),Values!$L$3:$L$502,0))))</f>
        <v/>
      </c>
      <c r="O150">
        <f>IF(N150="","",INDEX(Values!$J$3:$J$502,MATCH(A150&amp;"|"&amp;IF(K150=M150,1,K150+1),Values!$L$3:$L$502,0)))</f>
        <v/>
      </c>
    </row>
    <row r="151">
      <c r="H151">
        <f>IF(A151="","",IFERROR(INDEX(Attributes!$F$3:$F$52,MATCH(A151,Attributes!$A$3:$A$52,0))&amp;"","Unknown attribute"))</f>
        <v/>
      </c>
      <c r="I151">
        <f>IF(OR(A151="",B151=""),"",IF(AND(H151="Yes",D151&lt;&gt;"No"),"Yes","No"))</f>
        <v/>
      </c>
      <c r="J151">
        <f>IF(I151="Yes",COUNTIF($I$3:I151,"Yes"),"")</f>
        <v/>
      </c>
      <c r="K151">
        <f>IF(I151&lt;&gt;"Yes","",COUNTIFS($A$3:A151,SUBSTITUTE(SUBSTITUTE(A151,"?","~?"),"*","~*"),$I$3:I151,"Yes"))</f>
        <v/>
      </c>
      <c r="L151">
        <f>IF(K151="","",A151&amp;"|"&amp;K151)</f>
        <v/>
      </c>
      <c r="M151">
        <f>IF(I151&lt;&gt;"Yes","",COUNTIFS(Values!$A$3:$A$502,SUBSTITUTE(SUBSTITUTE(A151,"?","~?"),"*","~*"),Values!$I$3:$I$502,"Yes"))</f>
        <v/>
      </c>
      <c r="N151">
        <f>IF(I151&lt;&gt;"Yes","",IF(M151&lt;2,"",INDEX(Values!$B$3:$B$502,MATCH(A151&amp;"|"&amp;IF(K151=M151,1,K151+1),Values!$L$3:$L$502,0))))</f>
        <v/>
      </c>
      <c r="O151">
        <f>IF(N151="","",INDEX(Values!$J$3:$J$502,MATCH(A151&amp;"|"&amp;IF(K151=M151,1,K151+1),Values!$L$3:$L$502,0)))</f>
        <v/>
      </c>
    </row>
    <row r="152">
      <c r="H152">
        <f>IF(A152="","",IFERROR(INDEX(Attributes!$F$3:$F$52,MATCH(A152,Attributes!$A$3:$A$52,0))&amp;"","Unknown attribute"))</f>
        <v/>
      </c>
      <c r="I152">
        <f>IF(OR(A152="",B152=""),"",IF(AND(H152="Yes",D152&lt;&gt;"No"),"Yes","No"))</f>
        <v/>
      </c>
      <c r="J152">
        <f>IF(I152="Yes",COUNTIF($I$3:I152,"Yes"),"")</f>
        <v/>
      </c>
      <c r="K152">
        <f>IF(I152&lt;&gt;"Yes","",COUNTIFS($A$3:A152,SUBSTITUTE(SUBSTITUTE(A152,"?","~?"),"*","~*"),$I$3:I152,"Yes"))</f>
        <v/>
      </c>
      <c r="L152">
        <f>IF(K152="","",A152&amp;"|"&amp;K152)</f>
        <v/>
      </c>
      <c r="M152">
        <f>IF(I152&lt;&gt;"Yes","",COUNTIFS(Values!$A$3:$A$502,SUBSTITUTE(SUBSTITUTE(A152,"?","~?"),"*","~*"),Values!$I$3:$I$502,"Yes"))</f>
        <v/>
      </c>
      <c r="N152">
        <f>IF(I152&lt;&gt;"Yes","",IF(M152&lt;2,"",INDEX(Values!$B$3:$B$502,MATCH(A152&amp;"|"&amp;IF(K152=M152,1,K152+1),Values!$L$3:$L$502,0))))</f>
        <v/>
      </c>
      <c r="O152">
        <f>IF(N152="","",INDEX(Values!$J$3:$J$502,MATCH(A152&amp;"|"&amp;IF(K152=M152,1,K152+1),Values!$L$3:$L$502,0)))</f>
        <v/>
      </c>
    </row>
    <row r="153">
      <c r="H153">
        <f>IF(A153="","",IFERROR(INDEX(Attributes!$F$3:$F$52,MATCH(A153,Attributes!$A$3:$A$52,0))&amp;"","Unknown attribute"))</f>
        <v/>
      </c>
      <c r="I153">
        <f>IF(OR(A153="",B153=""),"",IF(AND(H153="Yes",D153&lt;&gt;"No"),"Yes","No"))</f>
        <v/>
      </c>
      <c r="J153">
        <f>IF(I153="Yes",COUNTIF($I$3:I153,"Yes"),"")</f>
        <v/>
      </c>
      <c r="K153">
        <f>IF(I153&lt;&gt;"Yes","",COUNTIFS($A$3:A153,SUBSTITUTE(SUBSTITUTE(A153,"?","~?"),"*","~*"),$I$3:I153,"Yes"))</f>
        <v/>
      </c>
      <c r="L153">
        <f>IF(K153="","",A153&amp;"|"&amp;K153)</f>
        <v/>
      </c>
      <c r="M153">
        <f>IF(I153&lt;&gt;"Yes","",COUNTIFS(Values!$A$3:$A$502,SUBSTITUTE(SUBSTITUTE(A153,"?","~?"),"*","~*"),Values!$I$3:$I$502,"Yes"))</f>
        <v/>
      </c>
      <c r="N153">
        <f>IF(I153&lt;&gt;"Yes","",IF(M153&lt;2,"",INDEX(Values!$B$3:$B$502,MATCH(A153&amp;"|"&amp;IF(K153=M153,1,K153+1),Values!$L$3:$L$502,0))))</f>
        <v/>
      </c>
      <c r="O153">
        <f>IF(N153="","",INDEX(Values!$J$3:$J$502,MATCH(A153&amp;"|"&amp;IF(K153=M153,1,K153+1),Values!$L$3:$L$502,0)))</f>
        <v/>
      </c>
    </row>
    <row r="154">
      <c r="H154">
        <f>IF(A154="","",IFERROR(INDEX(Attributes!$F$3:$F$52,MATCH(A154,Attributes!$A$3:$A$52,0))&amp;"","Unknown attribute"))</f>
        <v/>
      </c>
      <c r="I154">
        <f>IF(OR(A154="",B154=""),"",IF(AND(H154="Yes",D154&lt;&gt;"No"),"Yes","No"))</f>
        <v/>
      </c>
      <c r="J154">
        <f>IF(I154="Yes",COUNTIF($I$3:I154,"Yes"),"")</f>
        <v/>
      </c>
      <c r="K154">
        <f>IF(I154&lt;&gt;"Yes","",COUNTIFS($A$3:A154,SUBSTITUTE(SUBSTITUTE(A154,"?","~?"),"*","~*"),$I$3:I154,"Yes"))</f>
        <v/>
      </c>
      <c r="L154">
        <f>IF(K154="","",A154&amp;"|"&amp;K154)</f>
        <v/>
      </c>
      <c r="M154">
        <f>IF(I154&lt;&gt;"Yes","",COUNTIFS(Values!$A$3:$A$502,SUBSTITUTE(SUBSTITUTE(A154,"?","~?"),"*","~*"),Values!$I$3:$I$502,"Yes"))</f>
        <v/>
      </c>
      <c r="N154">
        <f>IF(I154&lt;&gt;"Yes","",IF(M154&lt;2,"",INDEX(Values!$B$3:$B$502,MATCH(A154&amp;"|"&amp;IF(K154=M154,1,K154+1),Values!$L$3:$L$502,0))))</f>
        <v/>
      </c>
      <c r="O154">
        <f>IF(N154="","",INDEX(Values!$J$3:$J$502,MATCH(A154&amp;"|"&amp;IF(K154=M154,1,K154+1),Values!$L$3:$L$502,0)))</f>
        <v/>
      </c>
    </row>
    <row r="155">
      <c r="H155">
        <f>IF(A155="","",IFERROR(INDEX(Attributes!$F$3:$F$52,MATCH(A155,Attributes!$A$3:$A$52,0))&amp;"","Unknown attribute"))</f>
        <v/>
      </c>
      <c r="I155">
        <f>IF(OR(A155="",B155=""),"",IF(AND(H155="Yes",D155&lt;&gt;"No"),"Yes","No"))</f>
        <v/>
      </c>
      <c r="J155">
        <f>IF(I155="Yes",COUNTIF($I$3:I155,"Yes"),"")</f>
        <v/>
      </c>
      <c r="K155">
        <f>IF(I155&lt;&gt;"Yes","",COUNTIFS($A$3:A155,SUBSTITUTE(SUBSTITUTE(A155,"?","~?"),"*","~*"),$I$3:I155,"Yes"))</f>
        <v/>
      </c>
      <c r="L155">
        <f>IF(K155="","",A155&amp;"|"&amp;K155)</f>
        <v/>
      </c>
      <c r="M155">
        <f>IF(I155&lt;&gt;"Yes","",COUNTIFS(Values!$A$3:$A$502,SUBSTITUTE(SUBSTITUTE(A155,"?","~?"),"*","~*"),Values!$I$3:$I$502,"Yes"))</f>
        <v/>
      </c>
      <c r="N155">
        <f>IF(I155&lt;&gt;"Yes","",IF(M155&lt;2,"",INDEX(Values!$B$3:$B$502,MATCH(A155&amp;"|"&amp;IF(K155=M155,1,K155+1),Values!$L$3:$L$502,0))))</f>
        <v/>
      </c>
      <c r="O155">
        <f>IF(N155="","",INDEX(Values!$J$3:$J$502,MATCH(A155&amp;"|"&amp;IF(K155=M155,1,K155+1),Values!$L$3:$L$502,0)))</f>
        <v/>
      </c>
    </row>
    <row r="156">
      <c r="H156">
        <f>IF(A156="","",IFERROR(INDEX(Attributes!$F$3:$F$52,MATCH(A156,Attributes!$A$3:$A$52,0))&amp;"","Unknown attribute"))</f>
        <v/>
      </c>
      <c r="I156">
        <f>IF(OR(A156="",B156=""),"",IF(AND(H156="Yes",D156&lt;&gt;"No"),"Yes","No"))</f>
        <v/>
      </c>
      <c r="J156">
        <f>IF(I156="Yes",COUNTIF($I$3:I156,"Yes"),"")</f>
        <v/>
      </c>
      <c r="K156">
        <f>IF(I156&lt;&gt;"Yes","",COUNTIFS($A$3:A156,SUBSTITUTE(SUBSTITUTE(A156,"?","~?"),"*","~*"),$I$3:I156,"Yes"))</f>
        <v/>
      </c>
      <c r="L156">
        <f>IF(K156="","",A156&amp;"|"&amp;K156)</f>
        <v/>
      </c>
      <c r="M156">
        <f>IF(I156&lt;&gt;"Yes","",COUNTIFS(Values!$A$3:$A$502,SUBSTITUTE(SUBSTITUTE(A156,"?","~?"),"*","~*"),Values!$I$3:$I$502,"Yes"))</f>
        <v/>
      </c>
      <c r="N156">
        <f>IF(I156&lt;&gt;"Yes","",IF(M156&lt;2,"",INDEX(Values!$B$3:$B$502,MATCH(A156&amp;"|"&amp;IF(K156=M156,1,K156+1),Values!$L$3:$L$502,0))))</f>
        <v/>
      </c>
      <c r="O156">
        <f>IF(N156="","",INDEX(Values!$J$3:$J$502,MATCH(A156&amp;"|"&amp;IF(K156=M156,1,K156+1),Values!$L$3:$L$502,0)))</f>
        <v/>
      </c>
    </row>
    <row r="157">
      <c r="H157">
        <f>IF(A157="","",IFERROR(INDEX(Attributes!$F$3:$F$52,MATCH(A157,Attributes!$A$3:$A$52,0))&amp;"","Unknown attribute"))</f>
        <v/>
      </c>
      <c r="I157">
        <f>IF(OR(A157="",B157=""),"",IF(AND(H157="Yes",D157&lt;&gt;"No"),"Yes","No"))</f>
        <v/>
      </c>
      <c r="J157">
        <f>IF(I157="Yes",COUNTIF($I$3:I157,"Yes"),"")</f>
        <v/>
      </c>
      <c r="K157">
        <f>IF(I157&lt;&gt;"Yes","",COUNTIFS($A$3:A157,SUBSTITUTE(SUBSTITUTE(A157,"?","~?"),"*","~*"),$I$3:I157,"Yes"))</f>
        <v/>
      </c>
      <c r="L157">
        <f>IF(K157="","",A157&amp;"|"&amp;K157)</f>
        <v/>
      </c>
      <c r="M157">
        <f>IF(I157&lt;&gt;"Yes","",COUNTIFS(Values!$A$3:$A$502,SUBSTITUTE(SUBSTITUTE(A157,"?","~?"),"*","~*"),Values!$I$3:$I$502,"Yes"))</f>
        <v/>
      </c>
      <c r="N157">
        <f>IF(I157&lt;&gt;"Yes","",IF(M157&lt;2,"",INDEX(Values!$B$3:$B$502,MATCH(A157&amp;"|"&amp;IF(K157=M157,1,K157+1),Values!$L$3:$L$502,0))))</f>
        <v/>
      </c>
      <c r="O157">
        <f>IF(N157="","",INDEX(Values!$J$3:$J$502,MATCH(A157&amp;"|"&amp;IF(K157=M157,1,K157+1),Values!$L$3:$L$502,0)))</f>
        <v/>
      </c>
    </row>
    <row r="158">
      <c r="H158">
        <f>IF(A158="","",IFERROR(INDEX(Attributes!$F$3:$F$52,MATCH(A158,Attributes!$A$3:$A$52,0))&amp;"","Unknown attribute"))</f>
        <v/>
      </c>
      <c r="I158">
        <f>IF(OR(A158="",B158=""),"",IF(AND(H158="Yes",D158&lt;&gt;"No"),"Yes","No"))</f>
        <v/>
      </c>
      <c r="J158">
        <f>IF(I158="Yes",COUNTIF($I$3:I158,"Yes"),"")</f>
        <v/>
      </c>
      <c r="K158">
        <f>IF(I158&lt;&gt;"Yes","",COUNTIFS($A$3:A158,SUBSTITUTE(SUBSTITUTE(A158,"?","~?"),"*","~*"),$I$3:I158,"Yes"))</f>
        <v/>
      </c>
      <c r="L158">
        <f>IF(K158="","",A158&amp;"|"&amp;K158)</f>
        <v/>
      </c>
      <c r="M158">
        <f>IF(I158&lt;&gt;"Yes","",COUNTIFS(Values!$A$3:$A$502,SUBSTITUTE(SUBSTITUTE(A158,"?","~?"),"*","~*"),Values!$I$3:$I$502,"Yes"))</f>
        <v/>
      </c>
      <c r="N158">
        <f>IF(I158&lt;&gt;"Yes","",IF(M158&lt;2,"",INDEX(Values!$B$3:$B$502,MATCH(A158&amp;"|"&amp;IF(K158=M158,1,K158+1),Values!$L$3:$L$502,0))))</f>
        <v/>
      </c>
      <c r="O158">
        <f>IF(N158="","",INDEX(Values!$J$3:$J$502,MATCH(A158&amp;"|"&amp;IF(K158=M158,1,K158+1),Values!$L$3:$L$502,0)))</f>
        <v/>
      </c>
    </row>
    <row r="159">
      <c r="H159">
        <f>IF(A159="","",IFERROR(INDEX(Attributes!$F$3:$F$52,MATCH(A159,Attributes!$A$3:$A$52,0))&amp;"","Unknown attribute"))</f>
        <v/>
      </c>
      <c r="I159">
        <f>IF(OR(A159="",B159=""),"",IF(AND(H159="Yes",D159&lt;&gt;"No"),"Yes","No"))</f>
        <v/>
      </c>
      <c r="J159">
        <f>IF(I159="Yes",COUNTIF($I$3:I159,"Yes"),"")</f>
        <v/>
      </c>
      <c r="K159">
        <f>IF(I159&lt;&gt;"Yes","",COUNTIFS($A$3:A159,SUBSTITUTE(SUBSTITUTE(A159,"?","~?"),"*","~*"),$I$3:I159,"Yes"))</f>
        <v/>
      </c>
      <c r="L159">
        <f>IF(K159="","",A159&amp;"|"&amp;K159)</f>
        <v/>
      </c>
      <c r="M159">
        <f>IF(I159&lt;&gt;"Yes","",COUNTIFS(Values!$A$3:$A$502,SUBSTITUTE(SUBSTITUTE(A159,"?","~?"),"*","~*"),Values!$I$3:$I$502,"Yes"))</f>
        <v/>
      </c>
      <c r="N159">
        <f>IF(I159&lt;&gt;"Yes","",IF(M159&lt;2,"",INDEX(Values!$B$3:$B$502,MATCH(A159&amp;"|"&amp;IF(K159=M159,1,K159+1),Values!$L$3:$L$502,0))))</f>
        <v/>
      </c>
      <c r="O159">
        <f>IF(N159="","",INDEX(Values!$J$3:$J$502,MATCH(A159&amp;"|"&amp;IF(K159=M159,1,K159+1),Values!$L$3:$L$502,0)))</f>
        <v/>
      </c>
    </row>
    <row r="160">
      <c r="H160">
        <f>IF(A160="","",IFERROR(INDEX(Attributes!$F$3:$F$52,MATCH(A160,Attributes!$A$3:$A$52,0))&amp;"","Unknown attribute"))</f>
        <v/>
      </c>
      <c r="I160">
        <f>IF(OR(A160="",B160=""),"",IF(AND(H160="Yes",D160&lt;&gt;"No"),"Yes","No"))</f>
        <v/>
      </c>
      <c r="J160">
        <f>IF(I160="Yes",COUNTIF($I$3:I160,"Yes"),"")</f>
        <v/>
      </c>
      <c r="K160">
        <f>IF(I160&lt;&gt;"Yes","",COUNTIFS($A$3:A160,SUBSTITUTE(SUBSTITUTE(A160,"?","~?"),"*","~*"),$I$3:I160,"Yes"))</f>
        <v/>
      </c>
      <c r="L160">
        <f>IF(K160="","",A160&amp;"|"&amp;K160)</f>
        <v/>
      </c>
      <c r="M160">
        <f>IF(I160&lt;&gt;"Yes","",COUNTIFS(Values!$A$3:$A$502,SUBSTITUTE(SUBSTITUTE(A160,"?","~?"),"*","~*"),Values!$I$3:$I$502,"Yes"))</f>
        <v/>
      </c>
      <c r="N160">
        <f>IF(I160&lt;&gt;"Yes","",IF(M160&lt;2,"",INDEX(Values!$B$3:$B$502,MATCH(A160&amp;"|"&amp;IF(K160=M160,1,K160+1),Values!$L$3:$L$502,0))))</f>
        <v/>
      </c>
      <c r="O160">
        <f>IF(N160="","",INDEX(Values!$J$3:$J$502,MATCH(A160&amp;"|"&amp;IF(K160=M160,1,K160+1),Values!$L$3:$L$502,0)))</f>
        <v/>
      </c>
    </row>
    <row r="161">
      <c r="H161">
        <f>IF(A161="","",IFERROR(INDEX(Attributes!$F$3:$F$52,MATCH(A161,Attributes!$A$3:$A$52,0))&amp;"","Unknown attribute"))</f>
        <v/>
      </c>
      <c r="I161">
        <f>IF(OR(A161="",B161=""),"",IF(AND(H161="Yes",D161&lt;&gt;"No"),"Yes","No"))</f>
        <v/>
      </c>
      <c r="J161">
        <f>IF(I161="Yes",COUNTIF($I$3:I161,"Yes"),"")</f>
        <v/>
      </c>
      <c r="K161">
        <f>IF(I161&lt;&gt;"Yes","",COUNTIFS($A$3:A161,SUBSTITUTE(SUBSTITUTE(A161,"?","~?"),"*","~*"),$I$3:I161,"Yes"))</f>
        <v/>
      </c>
      <c r="L161">
        <f>IF(K161="","",A161&amp;"|"&amp;K161)</f>
        <v/>
      </c>
      <c r="M161">
        <f>IF(I161&lt;&gt;"Yes","",COUNTIFS(Values!$A$3:$A$502,SUBSTITUTE(SUBSTITUTE(A161,"?","~?"),"*","~*"),Values!$I$3:$I$502,"Yes"))</f>
        <v/>
      </c>
      <c r="N161">
        <f>IF(I161&lt;&gt;"Yes","",IF(M161&lt;2,"",INDEX(Values!$B$3:$B$502,MATCH(A161&amp;"|"&amp;IF(K161=M161,1,K161+1),Values!$L$3:$L$502,0))))</f>
        <v/>
      </c>
      <c r="O161">
        <f>IF(N161="","",INDEX(Values!$J$3:$J$502,MATCH(A161&amp;"|"&amp;IF(K161=M161,1,K161+1),Values!$L$3:$L$502,0)))</f>
        <v/>
      </c>
    </row>
    <row r="162">
      <c r="H162">
        <f>IF(A162="","",IFERROR(INDEX(Attributes!$F$3:$F$52,MATCH(A162,Attributes!$A$3:$A$52,0))&amp;"","Unknown attribute"))</f>
        <v/>
      </c>
      <c r="I162">
        <f>IF(OR(A162="",B162=""),"",IF(AND(H162="Yes",D162&lt;&gt;"No"),"Yes","No"))</f>
        <v/>
      </c>
      <c r="J162">
        <f>IF(I162="Yes",COUNTIF($I$3:I162,"Yes"),"")</f>
        <v/>
      </c>
      <c r="K162">
        <f>IF(I162&lt;&gt;"Yes","",COUNTIFS($A$3:A162,SUBSTITUTE(SUBSTITUTE(A162,"?","~?"),"*","~*"),$I$3:I162,"Yes"))</f>
        <v/>
      </c>
      <c r="L162">
        <f>IF(K162="","",A162&amp;"|"&amp;K162)</f>
        <v/>
      </c>
      <c r="M162">
        <f>IF(I162&lt;&gt;"Yes","",COUNTIFS(Values!$A$3:$A$502,SUBSTITUTE(SUBSTITUTE(A162,"?","~?"),"*","~*"),Values!$I$3:$I$502,"Yes"))</f>
        <v/>
      </c>
      <c r="N162">
        <f>IF(I162&lt;&gt;"Yes","",IF(M162&lt;2,"",INDEX(Values!$B$3:$B$502,MATCH(A162&amp;"|"&amp;IF(K162=M162,1,K162+1),Values!$L$3:$L$502,0))))</f>
        <v/>
      </c>
      <c r="O162">
        <f>IF(N162="","",INDEX(Values!$J$3:$J$502,MATCH(A162&amp;"|"&amp;IF(K162=M162,1,K162+1),Values!$L$3:$L$502,0)))</f>
        <v/>
      </c>
    </row>
    <row r="163">
      <c r="H163">
        <f>IF(A163="","",IFERROR(INDEX(Attributes!$F$3:$F$52,MATCH(A163,Attributes!$A$3:$A$52,0))&amp;"","Unknown attribute"))</f>
        <v/>
      </c>
      <c r="I163">
        <f>IF(OR(A163="",B163=""),"",IF(AND(H163="Yes",D163&lt;&gt;"No"),"Yes","No"))</f>
        <v/>
      </c>
      <c r="J163">
        <f>IF(I163="Yes",COUNTIF($I$3:I163,"Yes"),"")</f>
        <v/>
      </c>
      <c r="K163">
        <f>IF(I163&lt;&gt;"Yes","",COUNTIFS($A$3:A163,SUBSTITUTE(SUBSTITUTE(A163,"?","~?"),"*","~*"),$I$3:I163,"Yes"))</f>
        <v/>
      </c>
      <c r="L163">
        <f>IF(K163="","",A163&amp;"|"&amp;K163)</f>
        <v/>
      </c>
      <c r="M163">
        <f>IF(I163&lt;&gt;"Yes","",COUNTIFS(Values!$A$3:$A$502,SUBSTITUTE(SUBSTITUTE(A163,"?","~?"),"*","~*"),Values!$I$3:$I$502,"Yes"))</f>
        <v/>
      </c>
      <c r="N163">
        <f>IF(I163&lt;&gt;"Yes","",IF(M163&lt;2,"",INDEX(Values!$B$3:$B$502,MATCH(A163&amp;"|"&amp;IF(K163=M163,1,K163+1),Values!$L$3:$L$502,0))))</f>
        <v/>
      </c>
      <c r="O163">
        <f>IF(N163="","",INDEX(Values!$J$3:$J$502,MATCH(A163&amp;"|"&amp;IF(K163=M163,1,K163+1),Values!$L$3:$L$502,0)))</f>
        <v/>
      </c>
    </row>
    <row r="164">
      <c r="H164">
        <f>IF(A164="","",IFERROR(INDEX(Attributes!$F$3:$F$52,MATCH(A164,Attributes!$A$3:$A$52,0))&amp;"","Unknown attribute"))</f>
        <v/>
      </c>
      <c r="I164">
        <f>IF(OR(A164="",B164=""),"",IF(AND(H164="Yes",D164&lt;&gt;"No"),"Yes","No"))</f>
        <v/>
      </c>
      <c r="J164">
        <f>IF(I164="Yes",COUNTIF($I$3:I164,"Yes"),"")</f>
        <v/>
      </c>
      <c r="K164">
        <f>IF(I164&lt;&gt;"Yes","",COUNTIFS($A$3:A164,SUBSTITUTE(SUBSTITUTE(A164,"?","~?"),"*","~*"),$I$3:I164,"Yes"))</f>
        <v/>
      </c>
      <c r="L164">
        <f>IF(K164="","",A164&amp;"|"&amp;K164)</f>
        <v/>
      </c>
      <c r="M164">
        <f>IF(I164&lt;&gt;"Yes","",COUNTIFS(Values!$A$3:$A$502,SUBSTITUTE(SUBSTITUTE(A164,"?","~?"),"*","~*"),Values!$I$3:$I$502,"Yes"))</f>
        <v/>
      </c>
      <c r="N164">
        <f>IF(I164&lt;&gt;"Yes","",IF(M164&lt;2,"",INDEX(Values!$B$3:$B$502,MATCH(A164&amp;"|"&amp;IF(K164=M164,1,K164+1),Values!$L$3:$L$502,0))))</f>
        <v/>
      </c>
      <c r="O164">
        <f>IF(N164="","",INDEX(Values!$J$3:$J$502,MATCH(A164&amp;"|"&amp;IF(K164=M164,1,K164+1),Values!$L$3:$L$502,0)))</f>
        <v/>
      </c>
    </row>
    <row r="165">
      <c r="H165">
        <f>IF(A165="","",IFERROR(INDEX(Attributes!$F$3:$F$52,MATCH(A165,Attributes!$A$3:$A$52,0))&amp;"","Unknown attribute"))</f>
        <v/>
      </c>
      <c r="I165">
        <f>IF(OR(A165="",B165=""),"",IF(AND(H165="Yes",D165&lt;&gt;"No"),"Yes","No"))</f>
        <v/>
      </c>
      <c r="J165">
        <f>IF(I165="Yes",COUNTIF($I$3:I165,"Yes"),"")</f>
        <v/>
      </c>
      <c r="K165">
        <f>IF(I165&lt;&gt;"Yes","",COUNTIFS($A$3:A165,SUBSTITUTE(SUBSTITUTE(A165,"?","~?"),"*","~*"),$I$3:I165,"Yes"))</f>
        <v/>
      </c>
      <c r="L165">
        <f>IF(K165="","",A165&amp;"|"&amp;K165)</f>
        <v/>
      </c>
      <c r="M165">
        <f>IF(I165&lt;&gt;"Yes","",COUNTIFS(Values!$A$3:$A$502,SUBSTITUTE(SUBSTITUTE(A165,"?","~?"),"*","~*"),Values!$I$3:$I$502,"Yes"))</f>
        <v/>
      </c>
      <c r="N165">
        <f>IF(I165&lt;&gt;"Yes","",IF(M165&lt;2,"",INDEX(Values!$B$3:$B$502,MATCH(A165&amp;"|"&amp;IF(K165=M165,1,K165+1),Values!$L$3:$L$502,0))))</f>
        <v/>
      </c>
      <c r="O165">
        <f>IF(N165="","",INDEX(Values!$J$3:$J$502,MATCH(A165&amp;"|"&amp;IF(K165=M165,1,K165+1),Values!$L$3:$L$502,0)))</f>
        <v/>
      </c>
    </row>
    <row r="166">
      <c r="H166">
        <f>IF(A166="","",IFERROR(INDEX(Attributes!$F$3:$F$52,MATCH(A166,Attributes!$A$3:$A$52,0))&amp;"","Unknown attribute"))</f>
        <v/>
      </c>
      <c r="I166">
        <f>IF(OR(A166="",B166=""),"",IF(AND(H166="Yes",D166&lt;&gt;"No"),"Yes","No"))</f>
        <v/>
      </c>
      <c r="J166">
        <f>IF(I166="Yes",COUNTIF($I$3:I166,"Yes"),"")</f>
        <v/>
      </c>
      <c r="K166">
        <f>IF(I166&lt;&gt;"Yes","",COUNTIFS($A$3:A166,SUBSTITUTE(SUBSTITUTE(A166,"?","~?"),"*","~*"),$I$3:I166,"Yes"))</f>
        <v/>
      </c>
      <c r="L166">
        <f>IF(K166="","",A166&amp;"|"&amp;K166)</f>
        <v/>
      </c>
      <c r="M166">
        <f>IF(I166&lt;&gt;"Yes","",COUNTIFS(Values!$A$3:$A$502,SUBSTITUTE(SUBSTITUTE(A166,"?","~?"),"*","~*"),Values!$I$3:$I$502,"Yes"))</f>
        <v/>
      </c>
      <c r="N166">
        <f>IF(I166&lt;&gt;"Yes","",IF(M166&lt;2,"",INDEX(Values!$B$3:$B$502,MATCH(A166&amp;"|"&amp;IF(K166=M166,1,K166+1),Values!$L$3:$L$502,0))))</f>
        <v/>
      </c>
      <c r="O166">
        <f>IF(N166="","",INDEX(Values!$J$3:$J$502,MATCH(A166&amp;"|"&amp;IF(K166=M166,1,K166+1),Values!$L$3:$L$502,0)))</f>
        <v/>
      </c>
    </row>
    <row r="167">
      <c r="H167">
        <f>IF(A167="","",IFERROR(INDEX(Attributes!$F$3:$F$52,MATCH(A167,Attributes!$A$3:$A$52,0))&amp;"","Unknown attribute"))</f>
        <v/>
      </c>
      <c r="I167">
        <f>IF(OR(A167="",B167=""),"",IF(AND(H167="Yes",D167&lt;&gt;"No"),"Yes","No"))</f>
        <v/>
      </c>
      <c r="J167">
        <f>IF(I167="Yes",COUNTIF($I$3:I167,"Yes"),"")</f>
        <v/>
      </c>
      <c r="K167">
        <f>IF(I167&lt;&gt;"Yes","",COUNTIFS($A$3:A167,SUBSTITUTE(SUBSTITUTE(A167,"?","~?"),"*","~*"),$I$3:I167,"Yes"))</f>
        <v/>
      </c>
      <c r="L167">
        <f>IF(K167="","",A167&amp;"|"&amp;K167)</f>
        <v/>
      </c>
      <c r="M167">
        <f>IF(I167&lt;&gt;"Yes","",COUNTIFS(Values!$A$3:$A$502,SUBSTITUTE(SUBSTITUTE(A167,"?","~?"),"*","~*"),Values!$I$3:$I$502,"Yes"))</f>
        <v/>
      </c>
      <c r="N167">
        <f>IF(I167&lt;&gt;"Yes","",IF(M167&lt;2,"",INDEX(Values!$B$3:$B$502,MATCH(A167&amp;"|"&amp;IF(K167=M167,1,K167+1),Values!$L$3:$L$502,0))))</f>
        <v/>
      </c>
      <c r="O167">
        <f>IF(N167="","",INDEX(Values!$J$3:$J$502,MATCH(A167&amp;"|"&amp;IF(K167=M167,1,K167+1),Values!$L$3:$L$502,0)))</f>
        <v/>
      </c>
    </row>
    <row r="168">
      <c r="H168">
        <f>IF(A168="","",IFERROR(INDEX(Attributes!$F$3:$F$52,MATCH(A168,Attributes!$A$3:$A$52,0))&amp;"","Unknown attribute"))</f>
        <v/>
      </c>
      <c r="I168">
        <f>IF(OR(A168="",B168=""),"",IF(AND(H168="Yes",D168&lt;&gt;"No"),"Yes","No"))</f>
        <v/>
      </c>
      <c r="J168">
        <f>IF(I168="Yes",COUNTIF($I$3:I168,"Yes"),"")</f>
        <v/>
      </c>
      <c r="K168">
        <f>IF(I168&lt;&gt;"Yes","",COUNTIFS($A$3:A168,SUBSTITUTE(SUBSTITUTE(A168,"?","~?"),"*","~*"),$I$3:I168,"Yes"))</f>
        <v/>
      </c>
      <c r="L168">
        <f>IF(K168="","",A168&amp;"|"&amp;K168)</f>
        <v/>
      </c>
      <c r="M168">
        <f>IF(I168&lt;&gt;"Yes","",COUNTIFS(Values!$A$3:$A$502,SUBSTITUTE(SUBSTITUTE(A168,"?","~?"),"*","~*"),Values!$I$3:$I$502,"Yes"))</f>
        <v/>
      </c>
      <c r="N168">
        <f>IF(I168&lt;&gt;"Yes","",IF(M168&lt;2,"",INDEX(Values!$B$3:$B$502,MATCH(A168&amp;"|"&amp;IF(K168=M168,1,K168+1),Values!$L$3:$L$502,0))))</f>
        <v/>
      </c>
      <c r="O168">
        <f>IF(N168="","",INDEX(Values!$J$3:$J$502,MATCH(A168&amp;"|"&amp;IF(K168=M168,1,K168+1),Values!$L$3:$L$502,0)))</f>
        <v/>
      </c>
    </row>
    <row r="169">
      <c r="H169">
        <f>IF(A169="","",IFERROR(INDEX(Attributes!$F$3:$F$52,MATCH(A169,Attributes!$A$3:$A$52,0))&amp;"","Unknown attribute"))</f>
        <v/>
      </c>
      <c r="I169">
        <f>IF(OR(A169="",B169=""),"",IF(AND(H169="Yes",D169&lt;&gt;"No"),"Yes","No"))</f>
        <v/>
      </c>
      <c r="J169">
        <f>IF(I169="Yes",COUNTIF($I$3:I169,"Yes"),"")</f>
        <v/>
      </c>
      <c r="K169">
        <f>IF(I169&lt;&gt;"Yes","",COUNTIFS($A$3:A169,SUBSTITUTE(SUBSTITUTE(A169,"?","~?"),"*","~*"),$I$3:I169,"Yes"))</f>
        <v/>
      </c>
      <c r="L169">
        <f>IF(K169="","",A169&amp;"|"&amp;K169)</f>
        <v/>
      </c>
      <c r="M169">
        <f>IF(I169&lt;&gt;"Yes","",COUNTIFS(Values!$A$3:$A$502,SUBSTITUTE(SUBSTITUTE(A169,"?","~?"),"*","~*"),Values!$I$3:$I$502,"Yes"))</f>
        <v/>
      </c>
      <c r="N169">
        <f>IF(I169&lt;&gt;"Yes","",IF(M169&lt;2,"",INDEX(Values!$B$3:$B$502,MATCH(A169&amp;"|"&amp;IF(K169=M169,1,K169+1),Values!$L$3:$L$502,0))))</f>
        <v/>
      </c>
      <c r="O169">
        <f>IF(N169="","",INDEX(Values!$J$3:$J$502,MATCH(A169&amp;"|"&amp;IF(K169=M169,1,K169+1),Values!$L$3:$L$502,0)))</f>
        <v/>
      </c>
    </row>
    <row r="170">
      <c r="H170">
        <f>IF(A170="","",IFERROR(INDEX(Attributes!$F$3:$F$52,MATCH(A170,Attributes!$A$3:$A$52,0))&amp;"","Unknown attribute"))</f>
        <v/>
      </c>
      <c r="I170">
        <f>IF(OR(A170="",B170=""),"",IF(AND(H170="Yes",D170&lt;&gt;"No"),"Yes","No"))</f>
        <v/>
      </c>
      <c r="J170">
        <f>IF(I170="Yes",COUNTIF($I$3:I170,"Yes"),"")</f>
        <v/>
      </c>
      <c r="K170">
        <f>IF(I170&lt;&gt;"Yes","",COUNTIFS($A$3:A170,SUBSTITUTE(SUBSTITUTE(A170,"?","~?"),"*","~*"),$I$3:I170,"Yes"))</f>
        <v/>
      </c>
      <c r="L170">
        <f>IF(K170="","",A170&amp;"|"&amp;K170)</f>
        <v/>
      </c>
      <c r="M170">
        <f>IF(I170&lt;&gt;"Yes","",COUNTIFS(Values!$A$3:$A$502,SUBSTITUTE(SUBSTITUTE(A170,"?","~?"),"*","~*"),Values!$I$3:$I$502,"Yes"))</f>
        <v/>
      </c>
      <c r="N170">
        <f>IF(I170&lt;&gt;"Yes","",IF(M170&lt;2,"",INDEX(Values!$B$3:$B$502,MATCH(A170&amp;"|"&amp;IF(K170=M170,1,K170+1),Values!$L$3:$L$502,0))))</f>
        <v/>
      </c>
      <c r="O170">
        <f>IF(N170="","",INDEX(Values!$J$3:$J$502,MATCH(A170&amp;"|"&amp;IF(K170=M170,1,K170+1),Values!$L$3:$L$502,0)))</f>
        <v/>
      </c>
    </row>
    <row r="171">
      <c r="H171">
        <f>IF(A171="","",IFERROR(INDEX(Attributes!$F$3:$F$52,MATCH(A171,Attributes!$A$3:$A$52,0))&amp;"","Unknown attribute"))</f>
        <v/>
      </c>
      <c r="I171">
        <f>IF(OR(A171="",B171=""),"",IF(AND(H171="Yes",D171&lt;&gt;"No"),"Yes","No"))</f>
        <v/>
      </c>
      <c r="J171">
        <f>IF(I171="Yes",COUNTIF($I$3:I171,"Yes"),"")</f>
        <v/>
      </c>
      <c r="K171">
        <f>IF(I171&lt;&gt;"Yes","",COUNTIFS($A$3:A171,SUBSTITUTE(SUBSTITUTE(A171,"?","~?"),"*","~*"),$I$3:I171,"Yes"))</f>
        <v/>
      </c>
      <c r="L171">
        <f>IF(K171="","",A171&amp;"|"&amp;K171)</f>
        <v/>
      </c>
      <c r="M171">
        <f>IF(I171&lt;&gt;"Yes","",COUNTIFS(Values!$A$3:$A$502,SUBSTITUTE(SUBSTITUTE(A171,"?","~?"),"*","~*"),Values!$I$3:$I$502,"Yes"))</f>
        <v/>
      </c>
      <c r="N171">
        <f>IF(I171&lt;&gt;"Yes","",IF(M171&lt;2,"",INDEX(Values!$B$3:$B$502,MATCH(A171&amp;"|"&amp;IF(K171=M171,1,K171+1),Values!$L$3:$L$502,0))))</f>
        <v/>
      </c>
      <c r="O171">
        <f>IF(N171="","",INDEX(Values!$J$3:$J$502,MATCH(A171&amp;"|"&amp;IF(K171=M171,1,K171+1),Values!$L$3:$L$502,0)))</f>
        <v/>
      </c>
    </row>
    <row r="172">
      <c r="H172">
        <f>IF(A172="","",IFERROR(INDEX(Attributes!$F$3:$F$52,MATCH(A172,Attributes!$A$3:$A$52,0))&amp;"","Unknown attribute"))</f>
        <v/>
      </c>
      <c r="I172">
        <f>IF(OR(A172="",B172=""),"",IF(AND(H172="Yes",D172&lt;&gt;"No"),"Yes","No"))</f>
        <v/>
      </c>
      <c r="J172">
        <f>IF(I172="Yes",COUNTIF($I$3:I172,"Yes"),"")</f>
        <v/>
      </c>
      <c r="K172">
        <f>IF(I172&lt;&gt;"Yes","",COUNTIFS($A$3:A172,SUBSTITUTE(SUBSTITUTE(A172,"?","~?"),"*","~*"),$I$3:I172,"Yes"))</f>
        <v/>
      </c>
      <c r="L172">
        <f>IF(K172="","",A172&amp;"|"&amp;K172)</f>
        <v/>
      </c>
      <c r="M172">
        <f>IF(I172&lt;&gt;"Yes","",COUNTIFS(Values!$A$3:$A$502,SUBSTITUTE(SUBSTITUTE(A172,"?","~?"),"*","~*"),Values!$I$3:$I$502,"Yes"))</f>
        <v/>
      </c>
      <c r="N172">
        <f>IF(I172&lt;&gt;"Yes","",IF(M172&lt;2,"",INDEX(Values!$B$3:$B$502,MATCH(A172&amp;"|"&amp;IF(K172=M172,1,K172+1),Values!$L$3:$L$502,0))))</f>
        <v/>
      </c>
      <c r="O172">
        <f>IF(N172="","",INDEX(Values!$J$3:$J$502,MATCH(A172&amp;"|"&amp;IF(K172=M172,1,K172+1),Values!$L$3:$L$502,0)))</f>
        <v/>
      </c>
    </row>
    <row r="173">
      <c r="H173">
        <f>IF(A173="","",IFERROR(INDEX(Attributes!$F$3:$F$52,MATCH(A173,Attributes!$A$3:$A$52,0))&amp;"","Unknown attribute"))</f>
        <v/>
      </c>
      <c r="I173">
        <f>IF(OR(A173="",B173=""),"",IF(AND(H173="Yes",D173&lt;&gt;"No"),"Yes","No"))</f>
        <v/>
      </c>
      <c r="J173">
        <f>IF(I173="Yes",COUNTIF($I$3:I173,"Yes"),"")</f>
        <v/>
      </c>
      <c r="K173">
        <f>IF(I173&lt;&gt;"Yes","",COUNTIFS($A$3:A173,SUBSTITUTE(SUBSTITUTE(A173,"?","~?"),"*","~*"),$I$3:I173,"Yes"))</f>
        <v/>
      </c>
      <c r="L173">
        <f>IF(K173="","",A173&amp;"|"&amp;K173)</f>
        <v/>
      </c>
      <c r="M173">
        <f>IF(I173&lt;&gt;"Yes","",COUNTIFS(Values!$A$3:$A$502,SUBSTITUTE(SUBSTITUTE(A173,"?","~?"),"*","~*"),Values!$I$3:$I$502,"Yes"))</f>
        <v/>
      </c>
      <c r="N173">
        <f>IF(I173&lt;&gt;"Yes","",IF(M173&lt;2,"",INDEX(Values!$B$3:$B$502,MATCH(A173&amp;"|"&amp;IF(K173=M173,1,K173+1),Values!$L$3:$L$502,0))))</f>
        <v/>
      </c>
      <c r="O173">
        <f>IF(N173="","",INDEX(Values!$J$3:$J$502,MATCH(A173&amp;"|"&amp;IF(K173=M173,1,K173+1),Values!$L$3:$L$502,0)))</f>
        <v/>
      </c>
    </row>
    <row r="174">
      <c r="H174">
        <f>IF(A174="","",IFERROR(INDEX(Attributes!$F$3:$F$52,MATCH(A174,Attributes!$A$3:$A$52,0))&amp;"","Unknown attribute"))</f>
        <v/>
      </c>
      <c r="I174">
        <f>IF(OR(A174="",B174=""),"",IF(AND(H174="Yes",D174&lt;&gt;"No"),"Yes","No"))</f>
        <v/>
      </c>
      <c r="J174">
        <f>IF(I174="Yes",COUNTIF($I$3:I174,"Yes"),"")</f>
        <v/>
      </c>
      <c r="K174">
        <f>IF(I174&lt;&gt;"Yes","",COUNTIFS($A$3:A174,SUBSTITUTE(SUBSTITUTE(A174,"?","~?"),"*","~*"),$I$3:I174,"Yes"))</f>
        <v/>
      </c>
      <c r="L174">
        <f>IF(K174="","",A174&amp;"|"&amp;K174)</f>
        <v/>
      </c>
      <c r="M174">
        <f>IF(I174&lt;&gt;"Yes","",COUNTIFS(Values!$A$3:$A$502,SUBSTITUTE(SUBSTITUTE(A174,"?","~?"),"*","~*"),Values!$I$3:$I$502,"Yes"))</f>
        <v/>
      </c>
      <c r="N174">
        <f>IF(I174&lt;&gt;"Yes","",IF(M174&lt;2,"",INDEX(Values!$B$3:$B$502,MATCH(A174&amp;"|"&amp;IF(K174=M174,1,K174+1),Values!$L$3:$L$502,0))))</f>
        <v/>
      </c>
      <c r="O174">
        <f>IF(N174="","",INDEX(Values!$J$3:$J$502,MATCH(A174&amp;"|"&amp;IF(K174=M174,1,K174+1),Values!$L$3:$L$502,0)))</f>
        <v/>
      </c>
    </row>
    <row r="175">
      <c r="H175">
        <f>IF(A175="","",IFERROR(INDEX(Attributes!$F$3:$F$52,MATCH(A175,Attributes!$A$3:$A$52,0))&amp;"","Unknown attribute"))</f>
        <v/>
      </c>
      <c r="I175">
        <f>IF(OR(A175="",B175=""),"",IF(AND(H175="Yes",D175&lt;&gt;"No"),"Yes","No"))</f>
        <v/>
      </c>
      <c r="J175">
        <f>IF(I175="Yes",COUNTIF($I$3:I175,"Yes"),"")</f>
        <v/>
      </c>
      <c r="K175">
        <f>IF(I175&lt;&gt;"Yes","",COUNTIFS($A$3:A175,SUBSTITUTE(SUBSTITUTE(A175,"?","~?"),"*","~*"),$I$3:I175,"Yes"))</f>
        <v/>
      </c>
      <c r="L175">
        <f>IF(K175="","",A175&amp;"|"&amp;K175)</f>
        <v/>
      </c>
      <c r="M175">
        <f>IF(I175&lt;&gt;"Yes","",COUNTIFS(Values!$A$3:$A$502,SUBSTITUTE(SUBSTITUTE(A175,"?","~?"),"*","~*"),Values!$I$3:$I$502,"Yes"))</f>
        <v/>
      </c>
      <c r="N175">
        <f>IF(I175&lt;&gt;"Yes","",IF(M175&lt;2,"",INDEX(Values!$B$3:$B$502,MATCH(A175&amp;"|"&amp;IF(K175=M175,1,K175+1),Values!$L$3:$L$502,0))))</f>
        <v/>
      </c>
      <c r="O175">
        <f>IF(N175="","",INDEX(Values!$J$3:$J$502,MATCH(A175&amp;"|"&amp;IF(K175=M175,1,K175+1),Values!$L$3:$L$502,0)))</f>
        <v/>
      </c>
    </row>
    <row r="176">
      <c r="H176">
        <f>IF(A176="","",IFERROR(INDEX(Attributes!$F$3:$F$52,MATCH(A176,Attributes!$A$3:$A$52,0))&amp;"","Unknown attribute"))</f>
        <v/>
      </c>
      <c r="I176">
        <f>IF(OR(A176="",B176=""),"",IF(AND(H176="Yes",D176&lt;&gt;"No"),"Yes","No"))</f>
        <v/>
      </c>
      <c r="J176">
        <f>IF(I176="Yes",COUNTIF($I$3:I176,"Yes"),"")</f>
        <v/>
      </c>
      <c r="K176">
        <f>IF(I176&lt;&gt;"Yes","",COUNTIFS($A$3:A176,SUBSTITUTE(SUBSTITUTE(A176,"?","~?"),"*","~*"),$I$3:I176,"Yes"))</f>
        <v/>
      </c>
      <c r="L176">
        <f>IF(K176="","",A176&amp;"|"&amp;K176)</f>
        <v/>
      </c>
      <c r="M176">
        <f>IF(I176&lt;&gt;"Yes","",COUNTIFS(Values!$A$3:$A$502,SUBSTITUTE(SUBSTITUTE(A176,"?","~?"),"*","~*"),Values!$I$3:$I$502,"Yes"))</f>
        <v/>
      </c>
      <c r="N176">
        <f>IF(I176&lt;&gt;"Yes","",IF(M176&lt;2,"",INDEX(Values!$B$3:$B$502,MATCH(A176&amp;"|"&amp;IF(K176=M176,1,K176+1),Values!$L$3:$L$502,0))))</f>
        <v/>
      </c>
      <c r="O176">
        <f>IF(N176="","",INDEX(Values!$J$3:$J$502,MATCH(A176&amp;"|"&amp;IF(K176=M176,1,K176+1),Values!$L$3:$L$502,0)))</f>
        <v/>
      </c>
    </row>
    <row r="177">
      <c r="H177">
        <f>IF(A177="","",IFERROR(INDEX(Attributes!$F$3:$F$52,MATCH(A177,Attributes!$A$3:$A$52,0))&amp;"","Unknown attribute"))</f>
        <v/>
      </c>
      <c r="I177">
        <f>IF(OR(A177="",B177=""),"",IF(AND(H177="Yes",D177&lt;&gt;"No"),"Yes","No"))</f>
        <v/>
      </c>
      <c r="J177">
        <f>IF(I177="Yes",COUNTIF($I$3:I177,"Yes"),"")</f>
        <v/>
      </c>
      <c r="K177">
        <f>IF(I177&lt;&gt;"Yes","",COUNTIFS($A$3:A177,SUBSTITUTE(SUBSTITUTE(A177,"?","~?"),"*","~*"),$I$3:I177,"Yes"))</f>
        <v/>
      </c>
      <c r="L177">
        <f>IF(K177="","",A177&amp;"|"&amp;K177)</f>
        <v/>
      </c>
      <c r="M177">
        <f>IF(I177&lt;&gt;"Yes","",COUNTIFS(Values!$A$3:$A$502,SUBSTITUTE(SUBSTITUTE(A177,"?","~?"),"*","~*"),Values!$I$3:$I$502,"Yes"))</f>
        <v/>
      </c>
      <c r="N177">
        <f>IF(I177&lt;&gt;"Yes","",IF(M177&lt;2,"",INDEX(Values!$B$3:$B$502,MATCH(A177&amp;"|"&amp;IF(K177=M177,1,K177+1),Values!$L$3:$L$502,0))))</f>
        <v/>
      </c>
      <c r="O177">
        <f>IF(N177="","",INDEX(Values!$J$3:$J$502,MATCH(A177&amp;"|"&amp;IF(K177=M177,1,K177+1),Values!$L$3:$L$502,0)))</f>
        <v/>
      </c>
    </row>
    <row r="178">
      <c r="H178">
        <f>IF(A178="","",IFERROR(INDEX(Attributes!$F$3:$F$52,MATCH(A178,Attributes!$A$3:$A$52,0))&amp;"","Unknown attribute"))</f>
        <v/>
      </c>
      <c r="I178">
        <f>IF(OR(A178="",B178=""),"",IF(AND(H178="Yes",D178&lt;&gt;"No"),"Yes","No"))</f>
        <v/>
      </c>
      <c r="J178">
        <f>IF(I178="Yes",COUNTIF($I$3:I178,"Yes"),"")</f>
        <v/>
      </c>
      <c r="K178">
        <f>IF(I178&lt;&gt;"Yes","",COUNTIFS($A$3:A178,SUBSTITUTE(SUBSTITUTE(A178,"?","~?"),"*","~*"),$I$3:I178,"Yes"))</f>
        <v/>
      </c>
      <c r="L178">
        <f>IF(K178="","",A178&amp;"|"&amp;K178)</f>
        <v/>
      </c>
      <c r="M178">
        <f>IF(I178&lt;&gt;"Yes","",COUNTIFS(Values!$A$3:$A$502,SUBSTITUTE(SUBSTITUTE(A178,"?","~?"),"*","~*"),Values!$I$3:$I$502,"Yes"))</f>
        <v/>
      </c>
      <c r="N178">
        <f>IF(I178&lt;&gt;"Yes","",IF(M178&lt;2,"",INDEX(Values!$B$3:$B$502,MATCH(A178&amp;"|"&amp;IF(K178=M178,1,K178+1),Values!$L$3:$L$502,0))))</f>
        <v/>
      </c>
      <c r="O178">
        <f>IF(N178="","",INDEX(Values!$J$3:$J$502,MATCH(A178&amp;"|"&amp;IF(K178=M178,1,K178+1),Values!$L$3:$L$502,0)))</f>
        <v/>
      </c>
    </row>
    <row r="179">
      <c r="H179">
        <f>IF(A179="","",IFERROR(INDEX(Attributes!$F$3:$F$52,MATCH(A179,Attributes!$A$3:$A$52,0))&amp;"","Unknown attribute"))</f>
        <v/>
      </c>
      <c r="I179">
        <f>IF(OR(A179="",B179=""),"",IF(AND(H179="Yes",D179&lt;&gt;"No"),"Yes","No"))</f>
        <v/>
      </c>
      <c r="J179">
        <f>IF(I179="Yes",COUNTIF($I$3:I179,"Yes"),"")</f>
        <v/>
      </c>
      <c r="K179">
        <f>IF(I179&lt;&gt;"Yes","",COUNTIFS($A$3:A179,SUBSTITUTE(SUBSTITUTE(A179,"?","~?"),"*","~*"),$I$3:I179,"Yes"))</f>
        <v/>
      </c>
      <c r="L179">
        <f>IF(K179="","",A179&amp;"|"&amp;K179)</f>
        <v/>
      </c>
      <c r="M179">
        <f>IF(I179&lt;&gt;"Yes","",COUNTIFS(Values!$A$3:$A$502,SUBSTITUTE(SUBSTITUTE(A179,"?","~?"),"*","~*"),Values!$I$3:$I$502,"Yes"))</f>
        <v/>
      </c>
      <c r="N179">
        <f>IF(I179&lt;&gt;"Yes","",IF(M179&lt;2,"",INDEX(Values!$B$3:$B$502,MATCH(A179&amp;"|"&amp;IF(K179=M179,1,K179+1),Values!$L$3:$L$502,0))))</f>
        <v/>
      </c>
      <c r="O179">
        <f>IF(N179="","",INDEX(Values!$J$3:$J$502,MATCH(A179&amp;"|"&amp;IF(K179=M179,1,K179+1),Values!$L$3:$L$502,0)))</f>
        <v/>
      </c>
    </row>
    <row r="180">
      <c r="H180">
        <f>IF(A180="","",IFERROR(INDEX(Attributes!$F$3:$F$52,MATCH(A180,Attributes!$A$3:$A$52,0))&amp;"","Unknown attribute"))</f>
        <v/>
      </c>
      <c r="I180">
        <f>IF(OR(A180="",B180=""),"",IF(AND(H180="Yes",D180&lt;&gt;"No"),"Yes","No"))</f>
        <v/>
      </c>
      <c r="J180">
        <f>IF(I180="Yes",COUNTIF($I$3:I180,"Yes"),"")</f>
        <v/>
      </c>
      <c r="K180">
        <f>IF(I180&lt;&gt;"Yes","",COUNTIFS($A$3:A180,SUBSTITUTE(SUBSTITUTE(A180,"?","~?"),"*","~*"),$I$3:I180,"Yes"))</f>
        <v/>
      </c>
      <c r="L180">
        <f>IF(K180="","",A180&amp;"|"&amp;K180)</f>
        <v/>
      </c>
      <c r="M180">
        <f>IF(I180&lt;&gt;"Yes","",COUNTIFS(Values!$A$3:$A$502,SUBSTITUTE(SUBSTITUTE(A180,"?","~?"),"*","~*"),Values!$I$3:$I$502,"Yes"))</f>
        <v/>
      </c>
      <c r="N180">
        <f>IF(I180&lt;&gt;"Yes","",IF(M180&lt;2,"",INDEX(Values!$B$3:$B$502,MATCH(A180&amp;"|"&amp;IF(K180=M180,1,K180+1),Values!$L$3:$L$502,0))))</f>
        <v/>
      </c>
      <c r="O180">
        <f>IF(N180="","",INDEX(Values!$J$3:$J$502,MATCH(A180&amp;"|"&amp;IF(K180=M180,1,K180+1),Values!$L$3:$L$502,0)))</f>
        <v/>
      </c>
    </row>
    <row r="181">
      <c r="H181">
        <f>IF(A181="","",IFERROR(INDEX(Attributes!$F$3:$F$52,MATCH(A181,Attributes!$A$3:$A$52,0))&amp;"","Unknown attribute"))</f>
        <v/>
      </c>
      <c r="I181">
        <f>IF(OR(A181="",B181=""),"",IF(AND(H181="Yes",D181&lt;&gt;"No"),"Yes","No"))</f>
        <v/>
      </c>
      <c r="J181">
        <f>IF(I181="Yes",COUNTIF($I$3:I181,"Yes"),"")</f>
        <v/>
      </c>
      <c r="K181">
        <f>IF(I181&lt;&gt;"Yes","",COUNTIFS($A$3:A181,SUBSTITUTE(SUBSTITUTE(A181,"?","~?"),"*","~*"),$I$3:I181,"Yes"))</f>
        <v/>
      </c>
      <c r="L181">
        <f>IF(K181="","",A181&amp;"|"&amp;K181)</f>
        <v/>
      </c>
      <c r="M181">
        <f>IF(I181&lt;&gt;"Yes","",COUNTIFS(Values!$A$3:$A$502,SUBSTITUTE(SUBSTITUTE(A181,"?","~?"),"*","~*"),Values!$I$3:$I$502,"Yes"))</f>
        <v/>
      </c>
      <c r="N181">
        <f>IF(I181&lt;&gt;"Yes","",IF(M181&lt;2,"",INDEX(Values!$B$3:$B$502,MATCH(A181&amp;"|"&amp;IF(K181=M181,1,K181+1),Values!$L$3:$L$502,0))))</f>
        <v/>
      </c>
      <c r="O181">
        <f>IF(N181="","",INDEX(Values!$J$3:$J$502,MATCH(A181&amp;"|"&amp;IF(K181=M181,1,K181+1),Values!$L$3:$L$502,0)))</f>
        <v/>
      </c>
    </row>
    <row r="182">
      <c r="H182">
        <f>IF(A182="","",IFERROR(INDEX(Attributes!$F$3:$F$52,MATCH(A182,Attributes!$A$3:$A$52,0))&amp;"","Unknown attribute"))</f>
        <v/>
      </c>
      <c r="I182">
        <f>IF(OR(A182="",B182=""),"",IF(AND(H182="Yes",D182&lt;&gt;"No"),"Yes","No"))</f>
        <v/>
      </c>
      <c r="J182">
        <f>IF(I182="Yes",COUNTIF($I$3:I182,"Yes"),"")</f>
        <v/>
      </c>
      <c r="K182">
        <f>IF(I182&lt;&gt;"Yes","",COUNTIFS($A$3:A182,SUBSTITUTE(SUBSTITUTE(A182,"?","~?"),"*","~*"),$I$3:I182,"Yes"))</f>
        <v/>
      </c>
      <c r="L182">
        <f>IF(K182="","",A182&amp;"|"&amp;K182)</f>
        <v/>
      </c>
      <c r="M182">
        <f>IF(I182&lt;&gt;"Yes","",COUNTIFS(Values!$A$3:$A$502,SUBSTITUTE(SUBSTITUTE(A182,"?","~?"),"*","~*"),Values!$I$3:$I$502,"Yes"))</f>
        <v/>
      </c>
      <c r="N182">
        <f>IF(I182&lt;&gt;"Yes","",IF(M182&lt;2,"",INDEX(Values!$B$3:$B$502,MATCH(A182&amp;"|"&amp;IF(K182=M182,1,K182+1),Values!$L$3:$L$502,0))))</f>
        <v/>
      </c>
      <c r="O182">
        <f>IF(N182="","",INDEX(Values!$J$3:$J$502,MATCH(A182&amp;"|"&amp;IF(K182=M182,1,K182+1),Values!$L$3:$L$502,0)))</f>
        <v/>
      </c>
    </row>
    <row r="183">
      <c r="H183">
        <f>IF(A183="","",IFERROR(INDEX(Attributes!$F$3:$F$52,MATCH(A183,Attributes!$A$3:$A$52,0))&amp;"","Unknown attribute"))</f>
        <v/>
      </c>
      <c r="I183">
        <f>IF(OR(A183="",B183=""),"",IF(AND(H183="Yes",D183&lt;&gt;"No"),"Yes","No"))</f>
        <v/>
      </c>
      <c r="J183">
        <f>IF(I183="Yes",COUNTIF($I$3:I183,"Yes"),"")</f>
        <v/>
      </c>
      <c r="K183">
        <f>IF(I183&lt;&gt;"Yes","",COUNTIFS($A$3:A183,SUBSTITUTE(SUBSTITUTE(A183,"?","~?"),"*","~*"),$I$3:I183,"Yes"))</f>
        <v/>
      </c>
      <c r="L183">
        <f>IF(K183="","",A183&amp;"|"&amp;K183)</f>
        <v/>
      </c>
      <c r="M183">
        <f>IF(I183&lt;&gt;"Yes","",COUNTIFS(Values!$A$3:$A$502,SUBSTITUTE(SUBSTITUTE(A183,"?","~?"),"*","~*"),Values!$I$3:$I$502,"Yes"))</f>
        <v/>
      </c>
      <c r="N183">
        <f>IF(I183&lt;&gt;"Yes","",IF(M183&lt;2,"",INDEX(Values!$B$3:$B$502,MATCH(A183&amp;"|"&amp;IF(K183=M183,1,K183+1),Values!$L$3:$L$502,0))))</f>
        <v/>
      </c>
      <c r="O183">
        <f>IF(N183="","",INDEX(Values!$J$3:$J$502,MATCH(A183&amp;"|"&amp;IF(K183=M183,1,K183+1),Values!$L$3:$L$502,0)))</f>
        <v/>
      </c>
    </row>
    <row r="184">
      <c r="H184">
        <f>IF(A184="","",IFERROR(INDEX(Attributes!$F$3:$F$52,MATCH(A184,Attributes!$A$3:$A$52,0))&amp;"","Unknown attribute"))</f>
        <v/>
      </c>
      <c r="I184">
        <f>IF(OR(A184="",B184=""),"",IF(AND(H184="Yes",D184&lt;&gt;"No"),"Yes","No"))</f>
        <v/>
      </c>
      <c r="J184">
        <f>IF(I184="Yes",COUNTIF($I$3:I184,"Yes"),"")</f>
        <v/>
      </c>
      <c r="K184">
        <f>IF(I184&lt;&gt;"Yes","",COUNTIFS($A$3:A184,SUBSTITUTE(SUBSTITUTE(A184,"?","~?"),"*","~*"),$I$3:I184,"Yes"))</f>
        <v/>
      </c>
      <c r="L184">
        <f>IF(K184="","",A184&amp;"|"&amp;K184)</f>
        <v/>
      </c>
      <c r="M184">
        <f>IF(I184&lt;&gt;"Yes","",COUNTIFS(Values!$A$3:$A$502,SUBSTITUTE(SUBSTITUTE(A184,"?","~?"),"*","~*"),Values!$I$3:$I$502,"Yes"))</f>
        <v/>
      </c>
      <c r="N184">
        <f>IF(I184&lt;&gt;"Yes","",IF(M184&lt;2,"",INDEX(Values!$B$3:$B$502,MATCH(A184&amp;"|"&amp;IF(K184=M184,1,K184+1),Values!$L$3:$L$502,0))))</f>
        <v/>
      </c>
      <c r="O184">
        <f>IF(N184="","",INDEX(Values!$J$3:$J$502,MATCH(A184&amp;"|"&amp;IF(K184=M184,1,K184+1),Values!$L$3:$L$502,0)))</f>
        <v/>
      </c>
    </row>
    <row r="185">
      <c r="H185">
        <f>IF(A185="","",IFERROR(INDEX(Attributes!$F$3:$F$52,MATCH(A185,Attributes!$A$3:$A$52,0))&amp;"","Unknown attribute"))</f>
        <v/>
      </c>
      <c r="I185">
        <f>IF(OR(A185="",B185=""),"",IF(AND(H185="Yes",D185&lt;&gt;"No"),"Yes","No"))</f>
        <v/>
      </c>
      <c r="J185">
        <f>IF(I185="Yes",COUNTIF($I$3:I185,"Yes"),"")</f>
        <v/>
      </c>
      <c r="K185">
        <f>IF(I185&lt;&gt;"Yes","",COUNTIFS($A$3:A185,SUBSTITUTE(SUBSTITUTE(A185,"?","~?"),"*","~*"),$I$3:I185,"Yes"))</f>
        <v/>
      </c>
      <c r="L185">
        <f>IF(K185="","",A185&amp;"|"&amp;K185)</f>
        <v/>
      </c>
      <c r="M185">
        <f>IF(I185&lt;&gt;"Yes","",COUNTIFS(Values!$A$3:$A$502,SUBSTITUTE(SUBSTITUTE(A185,"?","~?"),"*","~*"),Values!$I$3:$I$502,"Yes"))</f>
        <v/>
      </c>
      <c r="N185">
        <f>IF(I185&lt;&gt;"Yes","",IF(M185&lt;2,"",INDEX(Values!$B$3:$B$502,MATCH(A185&amp;"|"&amp;IF(K185=M185,1,K185+1),Values!$L$3:$L$502,0))))</f>
        <v/>
      </c>
      <c r="O185">
        <f>IF(N185="","",INDEX(Values!$J$3:$J$502,MATCH(A185&amp;"|"&amp;IF(K185=M185,1,K185+1),Values!$L$3:$L$502,0)))</f>
        <v/>
      </c>
    </row>
    <row r="186">
      <c r="H186">
        <f>IF(A186="","",IFERROR(INDEX(Attributes!$F$3:$F$52,MATCH(A186,Attributes!$A$3:$A$52,0))&amp;"","Unknown attribute"))</f>
        <v/>
      </c>
      <c r="I186">
        <f>IF(OR(A186="",B186=""),"",IF(AND(H186="Yes",D186&lt;&gt;"No"),"Yes","No"))</f>
        <v/>
      </c>
      <c r="J186">
        <f>IF(I186="Yes",COUNTIF($I$3:I186,"Yes"),"")</f>
        <v/>
      </c>
      <c r="K186">
        <f>IF(I186&lt;&gt;"Yes","",COUNTIFS($A$3:A186,SUBSTITUTE(SUBSTITUTE(A186,"?","~?"),"*","~*"),$I$3:I186,"Yes"))</f>
        <v/>
      </c>
      <c r="L186">
        <f>IF(K186="","",A186&amp;"|"&amp;K186)</f>
        <v/>
      </c>
      <c r="M186">
        <f>IF(I186&lt;&gt;"Yes","",COUNTIFS(Values!$A$3:$A$502,SUBSTITUTE(SUBSTITUTE(A186,"?","~?"),"*","~*"),Values!$I$3:$I$502,"Yes"))</f>
        <v/>
      </c>
      <c r="N186">
        <f>IF(I186&lt;&gt;"Yes","",IF(M186&lt;2,"",INDEX(Values!$B$3:$B$502,MATCH(A186&amp;"|"&amp;IF(K186=M186,1,K186+1),Values!$L$3:$L$502,0))))</f>
        <v/>
      </c>
      <c r="O186">
        <f>IF(N186="","",INDEX(Values!$J$3:$J$502,MATCH(A186&amp;"|"&amp;IF(K186=M186,1,K186+1),Values!$L$3:$L$502,0)))</f>
        <v/>
      </c>
    </row>
    <row r="187">
      <c r="H187">
        <f>IF(A187="","",IFERROR(INDEX(Attributes!$F$3:$F$52,MATCH(A187,Attributes!$A$3:$A$52,0))&amp;"","Unknown attribute"))</f>
        <v/>
      </c>
      <c r="I187">
        <f>IF(OR(A187="",B187=""),"",IF(AND(H187="Yes",D187&lt;&gt;"No"),"Yes","No"))</f>
        <v/>
      </c>
      <c r="J187">
        <f>IF(I187="Yes",COUNTIF($I$3:I187,"Yes"),"")</f>
        <v/>
      </c>
      <c r="K187">
        <f>IF(I187&lt;&gt;"Yes","",COUNTIFS($A$3:A187,SUBSTITUTE(SUBSTITUTE(A187,"?","~?"),"*","~*"),$I$3:I187,"Yes"))</f>
        <v/>
      </c>
      <c r="L187">
        <f>IF(K187="","",A187&amp;"|"&amp;K187)</f>
        <v/>
      </c>
      <c r="M187">
        <f>IF(I187&lt;&gt;"Yes","",COUNTIFS(Values!$A$3:$A$502,SUBSTITUTE(SUBSTITUTE(A187,"?","~?"),"*","~*"),Values!$I$3:$I$502,"Yes"))</f>
        <v/>
      </c>
      <c r="N187">
        <f>IF(I187&lt;&gt;"Yes","",IF(M187&lt;2,"",INDEX(Values!$B$3:$B$502,MATCH(A187&amp;"|"&amp;IF(K187=M187,1,K187+1),Values!$L$3:$L$502,0))))</f>
        <v/>
      </c>
      <c r="O187">
        <f>IF(N187="","",INDEX(Values!$J$3:$J$502,MATCH(A187&amp;"|"&amp;IF(K187=M187,1,K187+1),Values!$L$3:$L$502,0)))</f>
        <v/>
      </c>
    </row>
    <row r="188">
      <c r="H188">
        <f>IF(A188="","",IFERROR(INDEX(Attributes!$F$3:$F$52,MATCH(A188,Attributes!$A$3:$A$52,0))&amp;"","Unknown attribute"))</f>
        <v/>
      </c>
      <c r="I188">
        <f>IF(OR(A188="",B188=""),"",IF(AND(H188="Yes",D188&lt;&gt;"No"),"Yes","No"))</f>
        <v/>
      </c>
      <c r="J188">
        <f>IF(I188="Yes",COUNTIF($I$3:I188,"Yes"),"")</f>
        <v/>
      </c>
      <c r="K188">
        <f>IF(I188&lt;&gt;"Yes","",COUNTIFS($A$3:A188,SUBSTITUTE(SUBSTITUTE(A188,"?","~?"),"*","~*"),$I$3:I188,"Yes"))</f>
        <v/>
      </c>
      <c r="L188">
        <f>IF(K188="","",A188&amp;"|"&amp;K188)</f>
        <v/>
      </c>
      <c r="M188">
        <f>IF(I188&lt;&gt;"Yes","",COUNTIFS(Values!$A$3:$A$502,SUBSTITUTE(SUBSTITUTE(A188,"?","~?"),"*","~*"),Values!$I$3:$I$502,"Yes"))</f>
        <v/>
      </c>
      <c r="N188">
        <f>IF(I188&lt;&gt;"Yes","",IF(M188&lt;2,"",INDEX(Values!$B$3:$B$502,MATCH(A188&amp;"|"&amp;IF(K188=M188,1,K188+1),Values!$L$3:$L$502,0))))</f>
        <v/>
      </c>
      <c r="O188">
        <f>IF(N188="","",INDEX(Values!$J$3:$J$502,MATCH(A188&amp;"|"&amp;IF(K188=M188,1,K188+1),Values!$L$3:$L$502,0)))</f>
        <v/>
      </c>
    </row>
    <row r="189">
      <c r="H189">
        <f>IF(A189="","",IFERROR(INDEX(Attributes!$F$3:$F$52,MATCH(A189,Attributes!$A$3:$A$52,0))&amp;"","Unknown attribute"))</f>
        <v/>
      </c>
      <c r="I189">
        <f>IF(OR(A189="",B189=""),"",IF(AND(H189="Yes",D189&lt;&gt;"No"),"Yes","No"))</f>
        <v/>
      </c>
      <c r="J189">
        <f>IF(I189="Yes",COUNTIF($I$3:I189,"Yes"),"")</f>
        <v/>
      </c>
      <c r="K189">
        <f>IF(I189&lt;&gt;"Yes","",COUNTIFS($A$3:A189,SUBSTITUTE(SUBSTITUTE(A189,"?","~?"),"*","~*"),$I$3:I189,"Yes"))</f>
        <v/>
      </c>
      <c r="L189">
        <f>IF(K189="","",A189&amp;"|"&amp;K189)</f>
        <v/>
      </c>
      <c r="M189">
        <f>IF(I189&lt;&gt;"Yes","",COUNTIFS(Values!$A$3:$A$502,SUBSTITUTE(SUBSTITUTE(A189,"?","~?"),"*","~*"),Values!$I$3:$I$502,"Yes"))</f>
        <v/>
      </c>
      <c r="N189">
        <f>IF(I189&lt;&gt;"Yes","",IF(M189&lt;2,"",INDEX(Values!$B$3:$B$502,MATCH(A189&amp;"|"&amp;IF(K189=M189,1,K189+1),Values!$L$3:$L$502,0))))</f>
        <v/>
      </c>
      <c r="O189">
        <f>IF(N189="","",INDEX(Values!$J$3:$J$502,MATCH(A189&amp;"|"&amp;IF(K189=M189,1,K189+1),Values!$L$3:$L$502,0)))</f>
        <v/>
      </c>
    </row>
    <row r="190">
      <c r="H190">
        <f>IF(A190="","",IFERROR(INDEX(Attributes!$F$3:$F$52,MATCH(A190,Attributes!$A$3:$A$52,0))&amp;"","Unknown attribute"))</f>
        <v/>
      </c>
      <c r="I190">
        <f>IF(OR(A190="",B190=""),"",IF(AND(H190="Yes",D190&lt;&gt;"No"),"Yes","No"))</f>
        <v/>
      </c>
      <c r="J190">
        <f>IF(I190="Yes",COUNTIF($I$3:I190,"Yes"),"")</f>
        <v/>
      </c>
      <c r="K190">
        <f>IF(I190&lt;&gt;"Yes","",COUNTIFS($A$3:A190,SUBSTITUTE(SUBSTITUTE(A190,"?","~?"),"*","~*"),$I$3:I190,"Yes"))</f>
        <v/>
      </c>
      <c r="L190">
        <f>IF(K190="","",A190&amp;"|"&amp;K190)</f>
        <v/>
      </c>
      <c r="M190">
        <f>IF(I190&lt;&gt;"Yes","",COUNTIFS(Values!$A$3:$A$502,SUBSTITUTE(SUBSTITUTE(A190,"?","~?"),"*","~*"),Values!$I$3:$I$502,"Yes"))</f>
        <v/>
      </c>
      <c r="N190">
        <f>IF(I190&lt;&gt;"Yes","",IF(M190&lt;2,"",INDEX(Values!$B$3:$B$502,MATCH(A190&amp;"|"&amp;IF(K190=M190,1,K190+1),Values!$L$3:$L$502,0))))</f>
        <v/>
      </c>
      <c r="O190">
        <f>IF(N190="","",INDEX(Values!$J$3:$J$502,MATCH(A190&amp;"|"&amp;IF(K190=M190,1,K190+1),Values!$L$3:$L$502,0)))</f>
        <v/>
      </c>
    </row>
    <row r="191">
      <c r="H191">
        <f>IF(A191="","",IFERROR(INDEX(Attributes!$F$3:$F$52,MATCH(A191,Attributes!$A$3:$A$52,0))&amp;"","Unknown attribute"))</f>
        <v/>
      </c>
      <c r="I191">
        <f>IF(OR(A191="",B191=""),"",IF(AND(H191="Yes",D191&lt;&gt;"No"),"Yes","No"))</f>
        <v/>
      </c>
      <c r="J191">
        <f>IF(I191="Yes",COUNTIF($I$3:I191,"Yes"),"")</f>
        <v/>
      </c>
      <c r="K191">
        <f>IF(I191&lt;&gt;"Yes","",COUNTIFS($A$3:A191,SUBSTITUTE(SUBSTITUTE(A191,"?","~?"),"*","~*"),$I$3:I191,"Yes"))</f>
        <v/>
      </c>
      <c r="L191">
        <f>IF(K191="","",A191&amp;"|"&amp;K191)</f>
        <v/>
      </c>
      <c r="M191">
        <f>IF(I191&lt;&gt;"Yes","",COUNTIFS(Values!$A$3:$A$502,SUBSTITUTE(SUBSTITUTE(A191,"?","~?"),"*","~*"),Values!$I$3:$I$502,"Yes"))</f>
        <v/>
      </c>
      <c r="N191">
        <f>IF(I191&lt;&gt;"Yes","",IF(M191&lt;2,"",INDEX(Values!$B$3:$B$502,MATCH(A191&amp;"|"&amp;IF(K191=M191,1,K191+1),Values!$L$3:$L$502,0))))</f>
        <v/>
      </c>
      <c r="O191">
        <f>IF(N191="","",INDEX(Values!$J$3:$J$502,MATCH(A191&amp;"|"&amp;IF(K191=M191,1,K191+1),Values!$L$3:$L$502,0)))</f>
        <v/>
      </c>
    </row>
    <row r="192">
      <c r="H192">
        <f>IF(A192="","",IFERROR(INDEX(Attributes!$F$3:$F$52,MATCH(A192,Attributes!$A$3:$A$52,0))&amp;"","Unknown attribute"))</f>
        <v/>
      </c>
      <c r="I192">
        <f>IF(OR(A192="",B192=""),"",IF(AND(H192="Yes",D192&lt;&gt;"No"),"Yes","No"))</f>
        <v/>
      </c>
      <c r="J192">
        <f>IF(I192="Yes",COUNTIF($I$3:I192,"Yes"),"")</f>
        <v/>
      </c>
      <c r="K192">
        <f>IF(I192&lt;&gt;"Yes","",COUNTIFS($A$3:A192,SUBSTITUTE(SUBSTITUTE(A192,"?","~?"),"*","~*"),$I$3:I192,"Yes"))</f>
        <v/>
      </c>
      <c r="L192">
        <f>IF(K192="","",A192&amp;"|"&amp;K192)</f>
        <v/>
      </c>
      <c r="M192">
        <f>IF(I192&lt;&gt;"Yes","",COUNTIFS(Values!$A$3:$A$502,SUBSTITUTE(SUBSTITUTE(A192,"?","~?"),"*","~*"),Values!$I$3:$I$502,"Yes"))</f>
        <v/>
      </c>
      <c r="N192">
        <f>IF(I192&lt;&gt;"Yes","",IF(M192&lt;2,"",INDEX(Values!$B$3:$B$502,MATCH(A192&amp;"|"&amp;IF(K192=M192,1,K192+1),Values!$L$3:$L$502,0))))</f>
        <v/>
      </c>
      <c r="O192">
        <f>IF(N192="","",INDEX(Values!$J$3:$J$502,MATCH(A192&amp;"|"&amp;IF(K192=M192,1,K192+1),Values!$L$3:$L$502,0)))</f>
        <v/>
      </c>
    </row>
    <row r="193">
      <c r="H193">
        <f>IF(A193="","",IFERROR(INDEX(Attributes!$F$3:$F$52,MATCH(A193,Attributes!$A$3:$A$52,0))&amp;"","Unknown attribute"))</f>
        <v/>
      </c>
      <c r="I193">
        <f>IF(OR(A193="",B193=""),"",IF(AND(H193="Yes",D193&lt;&gt;"No"),"Yes","No"))</f>
        <v/>
      </c>
      <c r="J193">
        <f>IF(I193="Yes",COUNTIF($I$3:I193,"Yes"),"")</f>
        <v/>
      </c>
      <c r="K193">
        <f>IF(I193&lt;&gt;"Yes","",COUNTIFS($A$3:A193,SUBSTITUTE(SUBSTITUTE(A193,"?","~?"),"*","~*"),$I$3:I193,"Yes"))</f>
        <v/>
      </c>
      <c r="L193">
        <f>IF(K193="","",A193&amp;"|"&amp;K193)</f>
        <v/>
      </c>
      <c r="M193">
        <f>IF(I193&lt;&gt;"Yes","",COUNTIFS(Values!$A$3:$A$502,SUBSTITUTE(SUBSTITUTE(A193,"?","~?"),"*","~*"),Values!$I$3:$I$502,"Yes"))</f>
        <v/>
      </c>
      <c r="N193">
        <f>IF(I193&lt;&gt;"Yes","",IF(M193&lt;2,"",INDEX(Values!$B$3:$B$502,MATCH(A193&amp;"|"&amp;IF(K193=M193,1,K193+1),Values!$L$3:$L$502,0))))</f>
        <v/>
      </c>
      <c r="O193">
        <f>IF(N193="","",INDEX(Values!$J$3:$J$502,MATCH(A193&amp;"|"&amp;IF(K193=M193,1,K193+1),Values!$L$3:$L$502,0)))</f>
        <v/>
      </c>
    </row>
    <row r="194">
      <c r="H194">
        <f>IF(A194="","",IFERROR(INDEX(Attributes!$F$3:$F$52,MATCH(A194,Attributes!$A$3:$A$52,0))&amp;"","Unknown attribute"))</f>
        <v/>
      </c>
      <c r="I194">
        <f>IF(OR(A194="",B194=""),"",IF(AND(H194="Yes",D194&lt;&gt;"No"),"Yes","No"))</f>
        <v/>
      </c>
      <c r="J194">
        <f>IF(I194="Yes",COUNTIF($I$3:I194,"Yes"),"")</f>
        <v/>
      </c>
      <c r="K194">
        <f>IF(I194&lt;&gt;"Yes","",COUNTIFS($A$3:A194,SUBSTITUTE(SUBSTITUTE(A194,"?","~?"),"*","~*"),$I$3:I194,"Yes"))</f>
        <v/>
      </c>
      <c r="L194">
        <f>IF(K194="","",A194&amp;"|"&amp;K194)</f>
        <v/>
      </c>
      <c r="M194">
        <f>IF(I194&lt;&gt;"Yes","",COUNTIFS(Values!$A$3:$A$502,SUBSTITUTE(SUBSTITUTE(A194,"?","~?"),"*","~*"),Values!$I$3:$I$502,"Yes"))</f>
        <v/>
      </c>
      <c r="N194">
        <f>IF(I194&lt;&gt;"Yes","",IF(M194&lt;2,"",INDEX(Values!$B$3:$B$502,MATCH(A194&amp;"|"&amp;IF(K194=M194,1,K194+1),Values!$L$3:$L$502,0))))</f>
        <v/>
      </c>
      <c r="O194">
        <f>IF(N194="","",INDEX(Values!$J$3:$J$502,MATCH(A194&amp;"|"&amp;IF(K194=M194,1,K194+1),Values!$L$3:$L$502,0)))</f>
        <v/>
      </c>
    </row>
    <row r="195">
      <c r="H195">
        <f>IF(A195="","",IFERROR(INDEX(Attributes!$F$3:$F$52,MATCH(A195,Attributes!$A$3:$A$52,0))&amp;"","Unknown attribute"))</f>
        <v/>
      </c>
      <c r="I195">
        <f>IF(OR(A195="",B195=""),"",IF(AND(H195="Yes",D195&lt;&gt;"No"),"Yes","No"))</f>
        <v/>
      </c>
      <c r="J195">
        <f>IF(I195="Yes",COUNTIF($I$3:I195,"Yes"),"")</f>
        <v/>
      </c>
      <c r="K195">
        <f>IF(I195&lt;&gt;"Yes","",COUNTIFS($A$3:A195,SUBSTITUTE(SUBSTITUTE(A195,"?","~?"),"*","~*"),$I$3:I195,"Yes"))</f>
        <v/>
      </c>
      <c r="L195">
        <f>IF(K195="","",A195&amp;"|"&amp;K195)</f>
        <v/>
      </c>
      <c r="M195">
        <f>IF(I195&lt;&gt;"Yes","",COUNTIFS(Values!$A$3:$A$502,SUBSTITUTE(SUBSTITUTE(A195,"?","~?"),"*","~*"),Values!$I$3:$I$502,"Yes"))</f>
        <v/>
      </c>
      <c r="N195">
        <f>IF(I195&lt;&gt;"Yes","",IF(M195&lt;2,"",INDEX(Values!$B$3:$B$502,MATCH(A195&amp;"|"&amp;IF(K195=M195,1,K195+1),Values!$L$3:$L$502,0))))</f>
        <v/>
      </c>
      <c r="O195">
        <f>IF(N195="","",INDEX(Values!$J$3:$J$502,MATCH(A195&amp;"|"&amp;IF(K195=M195,1,K195+1),Values!$L$3:$L$502,0)))</f>
        <v/>
      </c>
    </row>
    <row r="196">
      <c r="H196">
        <f>IF(A196="","",IFERROR(INDEX(Attributes!$F$3:$F$52,MATCH(A196,Attributes!$A$3:$A$52,0))&amp;"","Unknown attribute"))</f>
        <v/>
      </c>
      <c r="I196">
        <f>IF(OR(A196="",B196=""),"",IF(AND(H196="Yes",D196&lt;&gt;"No"),"Yes","No"))</f>
        <v/>
      </c>
      <c r="J196">
        <f>IF(I196="Yes",COUNTIF($I$3:I196,"Yes"),"")</f>
        <v/>
      </c>
      <c r="K196">
        <f>IF(I196&lt;&gt;"Yes","",COUNTIFS($A$3:A196,SUBSTITUTE(SUBSTITUTE(A196,"?","~?"),"*","~*"),$I$3:I196,"Yes"))</f>
        <v/>
      </c>
      <c r="L196">
        <f>IF(K196="","",A196&amp;"|"&amp;K196)</f>
        <v/>
      </c>
      <c r="M196">
        <f>IF(I196&lt;&gt;"Yes","",COUNTIFS(Values!$A$3:$A$502,SUBSTITUTE(SUBSTITUTE(A196,"?","~?"),"*","~*"),Values!$I$3:$I$502,"Yes"))</f>
        <v/>
      </c>
      <c r="N196">
        <f>IF(I196&lt;&gt;"Yes","",IF(M196&lt;2,"",INDEX(Values!$B$3:$B$502,MATCH(A196&amp;"|"&amp;IF(K196=M196,1,K196+1),Values!$L$3:$L$502,0))))</f>
        <v/>
      </c>
      <c r="O196">
        <f>IF(N196="","",INDEX(Values!$J$3:$J$502,MATCH(A196&amp;"|"&amp;IF(K196=M196,1,K196+1),Values!$L$3:$L$502,0)))</f>
        <v/>
      </c>
    </row>
    <row r="197">
      <c r="H197">
        <f>IF(A197="","",IFERROR(INDEX(Attributes!$F$3:$F$52,MATCH(A197,Attributes!$A$3:$A$52,0))&amp;"","Unknown attribute"))</f>
        <v/>
      </c>
      <c r="I197">
        <f>IF(OR(A197="",B197=""),"",IF(AND(H197="Yes",D197&lt;&gt;"No"),"Yes","No"))</f>
        <v/>
      </c>
      <c r="J197">
        <f>IF(I197="Yes",COUNTIF($I$3:I197,"Yes"),"")</f>
        <v/>
      </c>
      <c r="K197">
        <f>IF(I197&lt;&gt;"Yes","",COUNTIFS($A$3:A197,SUBSTITUTE(SUBSTITUTE(A197,"?","~?"),"*","~*"),$I$3:I197,"Yes"))</f>
        <v/>
      </c>
      <c r="L197">
        <f>IF(K197="","",A197&amp;"|"&amp;K197)</f>
        <v/>
      </c>
      <c r="M197">
        <f>IF(I197&lt;&gt;"Yes","",COUNTIFS(Values!$A$3:$A$502,SUBSTITUTE(SUBSTITUTE(A197,"?","~?"),"*","~*"),Values!$I$3:$I$502,"Yes"))</f>
        <v/>
      </c>
      <c r="N197">
        <f>IF(I197&lt;&gt;"Yes","",IF(M197&lt;2,"",INDEX(Values!$B$3:$B$502,MATCH(A197&amp;"|"&amp;IF(K197=M197,1,K197+1),Values!$L$3:$L$502,0))))</f>
        <v/>
      </c>
      <c r="O197">
        <f>IF(N197="","",INDEX(Values!$J$3:$J$502,MATCH(A197&amp;"|"&amp;IF(K197=M197,1,K197+1),Values!$L$3:$L$502,0)))</f>
        <v/>
      </c>
    </row>
    <row r="198">
      <c r="H198">
        <f>IF(A198="","",IFERROR(INDEX(Attributes!$F$3:$F$52,MATCH(A198,Attributes!$A$3:$A$52,0))&amp;"","Unknown attribute"))</f>
        <v/>
      </c>
      <c r="I198">
        <f>IF(OR(A198="",B198=""),"",IF(AND(H198="Yes",D198&lt;&gt;"No"),"Yes","No"))</f>
        <v/>
      </c>
      <c r="J198">
        <f>IF(I198="Yes",COUNTIF($I$3:I198,"Yes"),"")</f>
        <v/>
      </c>
      <c r="K198">
        <f>IF(I198&lt;&gt;"Yes","",COUNTIFS($A$3:A198,SUBSTITUTE(SUBSTITUTE(A198,"?","~?"),"*","~*"),$I$3:I198,"Yes"))</f>
        <v/>
      </c>
      <c r="L198">
        <f>IF(K198="","",A198&amp;"|"&amp;K198)</f>
        <v/>
      </c>
      <c r="M198">
        <f>IF(I198&lt;&gt;"Yes","",COUNTIFS(Values!$A$3:$A$502,SUBSTITUTE(SUBSTITUTE(A198,"?","~?"),"*","~*"),Values!$I$3:$I$502,"Yes"))</f>
        <v/>
      </c>
      <c r="N198">
        <f>IF(I198&lt;&gt;"Yes","",IF(M198&lt;2,"",INDEX(Values!$B$3:$B$502,MATCH(A198&amp;"|"&amp;IF(K198=M198,1,K198+1),Values!$L$3:$L$502,0))))</f>
        <v/>
      </c>
      <c r="O198">
        <f>IF(N198="","",INDEX(Values!$J$3:$J$502,MATCH(A198&amp;"|"&amp;IF(K198=M198,1,K198+1),Values!$L$3:$L$502,0)))</f>
        <v/>
      </c>
    </row>
    <row r="199">
      <c r="H199">
        <f>IF(A199="","",IFERROR(INDEX(Attributes!$F$3:$F$52,MATCH(A199,Attributes!$A$3:$A$52,0))&amp;"","Unknown attribute"))</f>
        <v/>
      </c>
      <c r="I199">
        <f>IF(OR(A199="",B199=""),"",IF(AND(H199="Yes",D199&lt;&gt;"No"),"Yes","No"))</f>
        <v/>
      </c>
      <c r="J199">
        <f>IF(I199="Yes",COUNTIF($I$3:I199,"Yes"),"")</f>
        <v/>
      </c>
      <c r="K199">
        <f>IF(I199&lt;&gt;"Yes","",COUNTIFS($A$3:A199,SUBSTITUTE(SUBSTITUTE(A199,"?","~?"),"*","~*"),$I$3:I199,"Yes"))</f>
        <v/>
      </c>
      <c r="L199">
        <f>IF(K199="","",A199&amp;"|"&amp;K199)</f>
        <v/>
      </c>
      <c r="M199">
        <f>IF(I199&lt;&gt;"Yes","",COUNTIFS(Values!$A$3:$A$502,SUBSTITUTE(SUBSTITUTE(A199,"?","~?"),"*","~*"),Values!$I$3:$I$502,"Yes"))</f>
        <v/>
      </c>
      <c r="N199">
        <f>IF(I199&lt;&gt;"Yes","",IF(M199&lt;2,"",INDEX(Values!$B$3:$B$502,MATCH(A199&amp;"|"&amp;IF(K199=M199,1,K199+1),Values!$L$3:$L$502,0))))</f>
        <v/>
      </c>
      <c r="O199">
        <f>IF(N199="","",INDEX(Values!$J$3:$J$502,MATCH(A199&amp;"|"&amp;IF(K199=M199,1,K199+1),Values!$L$3:$L$502,0)))</f>
        <v/>
      </c>
    </row>
    <row r="200">
      <c r="H200">
        <f>IF(A200="","",IFERROR(INDEX(Attributes!$F$3:$F$52,MATCH(A200,Attributes!$A$3:$A$52,0))&amp;"","Unknown attribute"))</f>
        <v/>
      </c>
      <c r="I200">
        <f>IF(OR(A200="",B200=""),"",IF(AND(H200="Yes",D200&lt;&gt;"No"),"Yes","No"))</f>
        <v/>
      </c>
      <c r="J200">
        <f>IF(I200="Yes",COUNTIF($I$3:I200,"Yes"),"")</f>
        <v/>
      </c>
      <c r="K200">
        <f>IF(I200&lt;&gt;"Yes","",COUNTIFS($A$3:A200,SUBSTITUTE(SUBSTITUTE(A200,"?","~?"),"*","~*"),$I$3:I200,"Yes"))</f>
        <v/>
      </c>
      <c r="L200">
        <f>IF(K200="","",A200&amp;"|"&amp;K200)</f>
        <v/>
      </c>
      <c r="M200">
        <f>IF(I200&lt;&gt;"Yes","",COUNTIFS(Values!$A$3:$A$502,SUBSTITUTE(SUBSTITUTE(A200,"?","~?"),"*","~*"),Values!$I$3:$I$502,"Yes"))</f>
        <v/>
      </c>
      <c r="N200">
        <f>IF(I200&lt;&gt;"Yes","",IF(M200&lt;2,"",INDEX(Values!$B$3:$B$502,MATCH(A200&amp;"|"&amp;IF(K200=M200,1,K200+1),Values!$L$3:$L$502,0))))</f>
        <v/>
      </c>
      <c r="O200">
        <f>IF(N200="","",INDEX(Values!$J$3:$J$502,MATCH(A200&amp;"|"&amp;IF(K200=M200,1,K200+1),Values!$L$3:$L$502,0)))</f>
        <v/>
      </c>
    </row>
    <row r="201">
      <c r="H201">
        <f>IF(A201="","",IFERROR(INDEX(Attributes!$F$3:$F$52,MATCH(A201,Attributes!$A$3:$A$52,0))&amp;"","Unknown attribute"))</f>
        <v/>
      </c>
      <c r="I201">
        <f>IF(OR(A201="",B201=""),"",IF(AND(H201="Yes",D201&lt;&gt;"No"),"Yes","No"))</f>
        <v/>
      </c>
      <c r="J201">
        <f>IF(I201="Yes",COUNTIF($I$3:I201,"Yes"),"")</f>
        <v/>
      </c>
      <c r="K201">
        <f>IF(I201&lt;&gt;"Yes","",COUNTIFS($A$3:A201,SUBSTITUTE(SUBSTITUTE(A201,"?","~?"),"*","~*"),$I$3:I201,"Yes"))</f>
        <v/>
      </c>
      <c r="L201">
        <f>IF(K201="","",A201&amp;"|"&amp;K201)</f>
        <v/>
      </c>
      <c r="M201">
        <f>IF(I201&lt;&gt;"Yes","",COUNTIFS(Values!$A$3:$A$502,SUBSTITUTE(SUBSTITUTE(A201,"?","~?"),"*","~*"),Values!$I$3:$I$502,"Yes"))</f>
        <v/>
      </c>
      <c r="N201">
        <f>IF(I201&lt;&gt;"Yes","",IF(M201&lt;2,"",INDEX(Values!$B$3:$B$502,MATCH(A201&amp;"|"&amp;IF(K201=M201,1,K201+1),Values!$L$3:$L$502,0))))</f>
        <v/>
      </c>
      <c r="O201">
        <f>IF(N201="","",INDEX(Values!$J$3:$J$502,MATCH(A201&amp;"|"&amp;IF(K201=M201,1,K201+1),Values!$L$3:$L$502,0)))</f>
        <v/>
      </c>
    </row>
    <row r="202">
      <c r="H202">
        <f>IF(A202="","",IFERROR(INDEX(Attributes!$F$3:$F$52,MATCH(A202,Attributes!$A$3:$A$52,0))&amp;"","Unknown attribute"))</f>
        <v/>
      </c>
      <c r="I202">
        <f>IF(OR(A202="",B202=""),"",IF(AND(H202="Yes",D202&lt;&gt;"No"),"Yes","No"))</f>
        <v/>
      </c>
      <c r="J202">
        <f>IF(I202="Yes",COUNTIF($I$3:I202,"Yes"),"")</f>
        <v/>
      </c>
      <c r="K202">
        <f>IF(I202&lt;&gt;"Yes","",COUNTIFS($A$3:A202,SUBSTITUTE(SUBSTITUTE(A202,"?","~?"),"*","~*"),$I$3:I202,"Yes"))</f>
        <v/>
      </c>
      <c r="L202">
        <f>IF(K202="","",A202&amp;"|"&amp;K202)</f>
        <v/>
      </c>
      <c r="M202">
        <f>IF(I202&lt;&gt;"Yes","",COUNTIFS(Values!$A$3:$A$502,SUBSTITUTE(SUBSTITUTE(A202,"?","~?"),"*","~*"),Values!$I$3:$I$502,"Yes"))</f>
        <v/>
      </c>
      <c r="N202">
        <f>IF(I202&lt;&gt;"Yes","",IF(M202&lt;2,"",INDEX(Values!$B$3:$B$502,MATCH(A202&amp;"|"&amp;IF(K202=M202,1,K202+1),Values!$L$3:$L$502,0))))</f>
        <v/>
      </c>
      <c r="O202">
        <f>IF(N202="","",INDEX(Values!$J$3:$J$502,MATCH(A202&amp;"|"&amp;IF(K202=M202,1,K202+1),Values!$L$3:$L$502,0)))</f>
        <v/>
      </c>
    </row>
    <row r="203">
      <c r="H203">
        <f>IF(A203="","",IFERROR(INDEX(Attributes!$F$3:$F$52,MATCH(A203,Attributes!$A$3:$A$52,0))&amp;"","Unknown attribute"))</f>
        <v/>
      </c>
      <c r="I203">
        <f>IF(OR(A203="",B203=""),"",IF(AND(H203="Yes",D203&lt;&gt;"No"),"Yes","No"))</f>
        <v/>
      </c>
      <c r="J203">
        <f>IF(I203="Yes",COUNTIF($I$3:I203,"Yes"),"")</f>
        <v/>
      </c>
      <c r="K203">
        <f>IF(I203&lt;&gt;"Yes","",COUNTIFS($A$3:A203,SUBSTITUTE(SUBSTITUTE(A203,"?","~?"),"*","~*"),$I$3:I203,"Yes"))</f>
        <v/>
      </c>
      <c r="L203">
        <f>IF(K203="","",A203&amp;"|"&amp;K203)</f>
        <v/>
      </c>
      <c r="M203">
        <f>IF(I203&lt;&gt;"Yes","",COUNTIFS(Values!$A$3:$A$502,SUBSTITUTE(SUBSTITUTE(A203,"?","~?"),"*","~*"),Values!$I$3:$I$502,"Yes"))</f>
        <v/>
      </c>
      <c r="N203">
        <f>IF(I203&lt;&gt;"Yes","",IF(M203&lt;2,"",INDEX(Values!$B$3:$B$502,MATCH(A203&amp;"|"&amp;IF(K203=M203,1,K203+1),Values!$L$3:$L$502,0))))</f>
        <v/>
      </c>
      <c r="O203">
        <f>IF(N203="","",INDEX(Values!$J$3:$J$502,MATCH(A203&amp;"|"&amp;IF(K203=M203,1,K203+1),Values!$L$3:$L$502,0)))</f>
        <v/>
      </c>
    </row>
    <row r="204">
      <c r="H204">
        <f>IF(A204="","",IFERROR(INDEX(Attributes!$F$3:$F$52,MATCH(A204,Attributes!$A$3:$A$52,0))&amp;"","Unknown attribute"))</f>
        <v/>
      </c>
      <c r="I204">
        <f>IF(OR(A204="",B204=""),"",IF(AND(H204="Yes",D204&lt;&gt;"No"),"Yes","No"))</f>
        <v/>
      </c>
      <c r="J204">
        <f>IF(I204="Yes",COUNTIF($I$3:I204,"Yes"),"")</f>
        <v/>
      </c>
      <c r="K204">
        <f>IF(I204&lt;&gt;"Yes","",COUNTIFS($A$3:A204,SUBSTITUTE(SUBSTITUTE(A204,"?","~?"),"*","~*"),$I$3:I204,"Yes"))</f>
        <v/>
      </c>
      <c r="L204">
        <f>IF(K204="","",A204&amp;"|"&amp;K204)</f>
        <v/>
      </c>
      <c r="M204">
        <f>IF(I204&lt;&gt;"Yes","",COUNTIFS(Values!$A$3:$A$502,SUBSTITUTE(SUBSTITUTE(A204,"?","~?"),"*","~*"),Values!$I$3:$I$502,"Yes"))</f>
        <v/>
      </c>
      <c r="N204">
        <f>IF(I204&lt;&gt;"Yes","",IF(M204&lt;2,"",INDEX(Values!$B$3:$B$502,MATCH(A204&amp;"|"&amp;IF(K204=M204,1,K204+1),Values!$L$3:$L$502,0))))</f>
        <v/>
      </c>
      <c r="O204">
        <f>IF(N204="","",INDEX(Values!$J$3:$J$502,MATCH(A204&amp;"|"&amp;IF(K204=M204,1,K204+1),Values!$L$3:$L$502,0)))</f>
        <v/>
      </c>
    </row>
    <row r="205">
      <c r="H205">
        <f>IF(A205="","",IFERROR(INDEX(Attributes!$F$3:$F$52,MATCH(A205,Attributes!$A$3:$A$52,0))&amp;"","Unknown attribute"))</f>
        <v/>
      </c>
      <c r="I205">
        <f>IF(OR(A205="",B205=""),"",IF(AND(H205="Yes",D205&lt;&gt;"No"),"Yes","No"))</f>
        <v/>
      </c>
      <c r="J205">
        <f>IF(I205="Yes",COUNTIF($I$3:I205,"Yes"),"")</f>
        <v/>
      </c>
      <c r="K205">
        <f>IF(I205&lt;&gt;"Yes","",COUNTIFS($A$3:A205,SUBSTITUTE(SUBSTITUTE(A205,"?","~?"),"*","~*"),$I$3:I205,"Yes"))</f>
        <v/>
      </c>
      <c r="L205">
        <f>IF(K205="","",A205&amp;"|"&amp;K205)</f>
        <v/>
      </c>
      <c r="M205">
        <f>IF(I205&lt;&gt;"Yes","",COUNTIFS(Values!$A$3:$A$502,SUBSTITUTE(SUBSTITUTE(A205,"?","~?"),"*","~*"),Values!$I$3:$I$502,"Yes"))</f>
        <v/>
      </c>
      <c r="N205">
        <f>IF(I205&lt;&gt;"Yes","",IF(M205&lt;2,"",INDEX(Values!$B$3:$B$502,MATCH(A205&amp;"|"&amp;IF(K205=M205,1,K205+1),Values!$L$3:$L$502,0))))</f>
        <v/>
      </c>
      <c r="O205">
        <f>IF(N205="","",INDEX(Values!$J$3:$J$502,MATCH(A205&amp;"|"&amp;IF(K205=M205,1,K205+1),Values!$L$3:$L$502,0)))</f>
        <v/>
      </c>
    </row>
    <row r="206">
      <c r="H206">
        <f>IF(A206="","",IFERROR(INDEX(Attributes!$F$3:$F$52,MATCH(A206,Attributes!$A$3:$A$52,0))&amp;"","Unknown attribute"))</f>
        <v/>
      </c>
      <c r="I206">
        <f>IF(OR(A206="",B206=""),"",IF(AND(H206="Yes",D206&lt;&gt;"No"),"Yes","No"))</f>
        <v/>
      </c>
      <c r="J206">
        <f>IF(I206="Yes",COUNTIF($I$3:I206,"Yes"),"")</f>
        <v/>
      </c>
      <c r="K206">
        <f>IF(I206&lt;&gt;"Yes","",COUNTIFS($A$3:A206,SUBSTITUTE(SUBSTITUTE(A206,"?","~?"),"*","~*"),$I$3:I206,"Yes"))</f>
        <v/>
      </c>
      <c r="L206">
        <f>IF(K206="","",A206&amp;"|"&amp;K206)</f>
        <v/>
      </c>
      <c r="M206">
        <f>IF(I206&lt;&gt;"Yes","",COUNTIFS(Values!$A$3:$A$502,SUBSTITUTE(SUBSTITUTE(A206,"?","~?"),"*","~*"),Values!$I$3:$I$502,"Yes"))</f>
        <v/>
      </c>
      <c r="N206">
        <f>IF(I206&lt;&gt;"Yes","",IF(M206&lt;2,"",INDEX(Values!$B$3:$B$502,MATCH(A206&amp;"|"&amp;IF(K206=M206,1,K206+1),Values!$L$3:$L$502,0))))</f>
        <v/>
      </c>
      <c r="O206">
        <f>IF(N206="","",INDEX(Values!$J$3:$J$502,MATCH(A206&amp;"|"&amp;IF(K206=M206,1,K206+1),Values!$L$3:$L$502,0)))</f>
        <v/>
      </c>
    </row>
    <row r="207">
      <c r="H207">
        <f>IF(A207="","",IFERROR(INDEX(Attributes!$F$3:$F$52,MATCH(A207,Attributes!$A$3:$A$52,0))&amp;"","Unknown attribute"))</f>
        <v/>
      </c>
      <c r="I207">
        <f>IF(OR(A207="",B207=""),"",IF(AND(H207="Yes",D207&lt;&gt;"No"),"Yes","No"))</f>
        <v/>
      </c>
      <c r="J207">
        <f>IF(I207="Yes",COUNTIF($I$3:I207,"Yes"),"")</f>
        <v/>
      </c>
      <c r="K207">
        <f>IF(I207&lt;&gt;"Yes","",COUNTIFS($A$3:A207,SUBSTITUTE(SUBSTITUTE(A207,"?","~?"),"*","~*"),$I$3:I207,"Yes"))</f>
        <v/>
      </c>
      <c r="L207">
        <f>IF(K207="","",A207&amp;"|"&amp;K207)</f>
        <v/>
      </c>
      <c r="M207">
        <f>IF(I207&lt;&gt;"Yes","",COUNTIFS(Values!$A$3:$A$502,SUBSTITUTE(SUBSTITUTE(A207,"?","~?"),"*","~*"),Values!$I$3:$I$502,"Yes"))</f>
        <v/>
      </c>
      <c r="N207">
        <f>IF(I207&lt;&gt;"Yes","",IF(M207&lt;2,"",INDEX(Values!$B$3:$B$502,MATCH(A207&amp;"|"&amp;IF(K207=M207,1,K207+1),Values!$L$3:$L$502,0))))</f>
        <v/>
      </c>
      <c r="O207">
        <f>IF(N207="","",INDEX(Values!$J$3:$J$502,MATCH(A207&amp;"|"&amp;IF(K207=M207,1,K207+1),Values!$L$3:$L$502,0)))</f>
        <v/>
      </c>
    </row>
    <row r="208">
      <c r="H208">
        <f>IF(A208="","",IFERROR(INDEX(Attributes!$F$3:$F$52,MATCH(A208,Attributes!$A$3:$A$52,0))&amp;"","Unknown attribute"))</f>
        <v/>
      </c>
      <c r="I208">
        <f>IF(OR(A208="",B208=""),"",IF(AND(H208="Yes",D208&lt;&gt;"No"),"Yes","No"))</f>
        <v/>
      </c>
      <c r="J208">
        <f>IF(I208="Yes",COUNTIF($I$3:I208,"Yes"),"")</f>
        <v/>
      </c>
      <c r="K208">
        <f>IF(I208&lt;&gt;"Yes","",COUNTIFS($A$3:A208,SUBSTITUTE(SUBSTITUTE(A208,"?","~?"),"*","~*"),$I$3:I208,"Yes"))</f>
        <v/>
      </c>
      <c r="L208">
        <f>IF(K208="","",A208&amp;"|"&amp;K208)</f>
        <v/>
      </c>
      <c r="M208">
        <f>IF(I208&lt;&gt;"Yes","",COUNTIFS(Values!$A$3:$A$502,SUBSTITUTE(SUBSTITUTE(A208,"?","~?"),"*","~*"),Values!$I$3:$I$502,"Yes"))</f>
        <v/>
      </c>
      <c r="N208">
        <f>IF(I208&lt;&gt;"Yes","",IF(M208&lt;2,"",INDEX(Values!$B$3:$B$502,MATCH(A208&amp;"|"&amp;IF(K208=M208,1,K208+1),Values!$L$3:$L$502,0))))</f>
        <v/>
      </c>
      <c r="O208">
        <f>IF(N208="","",INDEX(Values!$J$3:$J$502,MATCH(A208&amp;"|"&amp;IF(K208=M208,1,K208+1),Values!$L$3:$L$502,0)))</f>
        <v/>
      </c>
    </row>
    <row r="209">
      <c r="H209">
        <f>IF(A209="","",IFERROR(INDEX(Attributes!$F$3:$F$52,MATCH(A209,Attributes!$A$3:$A$52,0))&amp;"","Unknown attribute"))</f>
        <v/>
      </c>
      <c r="I209">
        <f>IF(OR(A209="",B209=""),"",IF(AND(H209="Yes",D209&lt;&gt;"No"),"Yes","No"))</f>
        <v/>
      </c>
      <c r="J209">
        <f>IF(I209="Yes",COUNTIF($I$3:I209,"Yes"),"")</f>
        <v/>
      </c>
      <c r="K209">
        <f>IF(I209&lt;&gt;"Yes","",COUNTIFS($A$3:A209,SUBSTITUTE(SUBSTITUTE(A209,"?","~?"),"*","~*"),$I$3:I209,"Yes"))</f>
        <v/>
      </c>
      <c r="L209">
        <f>IF(K209="","",A209&amp;"|"&amp;K209)</f>
        <v/>
      </c>
      <c r="M209">
        <f>IF(I209&lt;&gt;"Yes","",COUNTIFS(Values!$A$3:$A$502,SUBSTITUTE(SUBSTITUTE(A209,"?","~?"),"*","~*"),Values!$I$3:$I$502,"Yes"))</f>
        <v/>
      </c>
      <c r="N209">
        <f>IF(I209&lt;&gt;"Yes","",IF(M209&lt;2,"",INDEX(Values!$B$3:$B$502,MATCH(A209&amp;"|"&amp;IF(K209=M209,1,K209+1),Values!$L$3:$L$502,0))))</f>
        <v/>
      </c>
      <c r="O209">
        <f>IF(N209="","",INDEX(Values!$J$3:$J$502,MATCH(A209&amp;"|"&amp;IF(K209=M209,1,K209+1),Values!$L$3:$L$502,0)))</f>
        <v/>
      </c>
    </row>
    <row r="210">
      <c r="H210">
        <f>IF(A210="","",IFERROR(INDEX(Attributes!$F$3:$F$52,MATCH(A210,Attributes!$A$3:$A$52,0))&amp;"","Unknown attribute"))</f>
        <v/>
      </c>
      <c r="I210">
        <f>IF(OR(A210="",B210=""),"",IF(AND(H210="Yes",D210&lt;&gt;"No"),"Yes","No"))</f>
        <v/>
      </c>
      <c r="J210">
        <f>IF(I210="Yes",COUNTIF($I$3:I210,"Yes"),"")</f>
        <v/>
      </c>
      <c r="K210">
        <f>IF(I210&lt;&gt;"Yes","",COUNTIFS($A$3:A210,SUBSTITUTE(SUBSTITUTE(A210,"?","~?"),"*","~*"),$I$3:I210,"Yes"))</f>
        <v/>
      </c>
      <c r="L210">
        <f>IF(K210="","",A210&amp;"|"&amp;K210)</f>
        <v/>
      </c>
      <c r="M210">
        <f>IF(I210&lt;&gt;"Yes","",COUNTIFS(Values!$A$3:$A$502,SUBSTITUTE(SUBSTITUTE(A210,"?","~?"),"*","~*"),Values!$I$3:$I$502,"Yes"))</f>
        <v/>
      </c>
      <c r="N210">
        <f>IF(I210&lt;&gt;"Yes","",IF(M210&lt;2,"",INDEX(Values!$B$3:$B$502,MATCH(A210&amp;"|"&amp;IF(K210=M210,1,K210+1),Values!$L$3:$L$502,0))))</f>
        <v/>
      </c>
      <c r="O210">
        <f>IF(N210="","",INDEX(Values!$J$3:$J$502,MATCH(A210&amp;"|"&amp;IF(K210=M210,1,K210+1),Values!$L$3:$L$502,0)))</f>
        <v/>
      </c>
    </row>
    <row r="211">
      <c r="H211">
        <f>IF(A211="","",IFERROR(INDEX(Attributes!$F$3:$F$52,MATCH(A211,Attributes!$A$3:$A$52,0))&amp;"","Unknown attribute"))</f>
        <v/>
      </c>
      <c r="I211">
        <f>IF(OR(A211="",B211=""),"",IF(AND(H211="Yes",D211&lt;&gt;"No"),"Yes","No"))</f>
        <v/>
      </c>
      <c r="J211">
        <f>IF(I211="Yes",COUNTIF($I$3:I211,"Yes"),"")</f>
        <v/>
      </c>
      <c r="K211">
        <f>IF(I211&lt;&gt;"Yes","",COUNTIFS($A$3:A211,SUBSTITUTE(SUBSTITUTE(A211,"?","~?"),"*","~*"),$I$3:I211,"Yes"))</f>
        <v/>
      </c>
      <c r="L211">
        <f>IF(K211="","",A211&amp;"|"&amp;K211)</f>
        <v/>
      </c>
      <c r="M211">
        <f>IF(I211&lt;&gt;"Yes","",COUNTIFS(Values!$A$3:$A$502,SUBSTITUTE(SUBSTITUTE(A211,"?","~?"),"*","~*"),Values!$I$3:$I$502,"Yes"))</f>
        <v/>
      </c>
      <c r="N211">
        <f>IF(I211&lt;&gt;"Yes","",IF(M211&lt;2,"",INDEX(Values!$B$3:$B$502,MATCH(A211&amp;"|"&amp;IF(K211=M211,1,K211+1),Values!$L$3:$L$502,0))))</f>
        <v/>
      </c>
      <c r="O211">
        <f>IF(N211="","",INDEX(Values!$J$3:$J$502,MATCH(A211&amp;"|"&amp;IF(K211=M211,1,K211+1),Values!$L$3:$L$502,0)))</f>
        <v/>
      </c>
    </row>
    <row r="212">
      <c r="H212">
        <f>IF(A212="","",IFERROR(INDEX(Attributes!$F$3:$F$52,MATCH(A212,Attributes!$A$3:$A$52,0))&amp;"","Unknown attribute"))</f>
        <v/>
      </c>
      <c r="I212">
        <f>IF(OR(A212="",B212=""),"",IF(AND(H212="Yes",D212&lt;&gt;"No"),"Yes","No"))</f>
        <v/>
      </c>
      <c r="J212">
        <f>IF(I212="Yes",COUNTIF($I$3:I212,"Yes"),"")</f>
        <v/>
      </c>
      <c r="K212">
        <f>IF(I212&lt;&gt;"Yes","",COUNTIFS($A$3:A212,SUBSTITUTE(SUBSTITUTE(A212,"?","~?"),"*","~*"),$I$3:I212,"Yes"))</f>
        <v/>
      </c>
      <c r="L212">
        <f>IF(K212="","",A212&amp;"|"&amp;K212)</f>
        <v/>
      </c>
      <c r="M212">
        <f>IF(I212&lt;&gt;"Yes","",COUNTIFS(Values!$A$3:$A$502,SUBSTITUTE(SUBSTITUTE(A212,"?","~?"),"*","~*"),Values!$I$3:$I$502,"Yes"))</f>
        <v/>
      </c>
      <c r="N212">
        <f>IF(I212&lt;&gt;"Yes","",IF(M212&lt;2,"",INDEX(Values!$B$3:$B$502,MATCH(A212&amp;"|"&amp;IF(K212=M212,1,K212+1),Values!$L$3:$L$502,0))))</f>
        <v/>
      </c>
      <c r="O212">
        <f>IF(N212="","",INDEX(Values!$J$3:$J$502,MATCH(A212&amp;"|"&amp;IF(K212=M212,1,K212+1),Values!$L$3:$L$502,0)))</f>
        <v/>
      </c>
    </row>
    <row r="213">
      <c r="H213">
        <f>IF(A213="","",IFERROR(INDEX(Attributes!$F$3:$F$52,MATCH(A213,Attributes!$A$3:$A$52,0))&amp;"","Unknown attribute"))</f>
        <v/>
      </c>
      <c r="I213">
        <f>IF(OR(A213="",B213=""),"",IF(AND(H213="Yes",D213&lt;&gt;"No"),"Yes","No"))</f>
        <v/>
      </c>
      <c r="J213">
        <f>IF(I213="Yes",COUNTIF($I$3:I213,"Yes"),"")</f>
        <v/>
      </c>
      <c r="K213">
        <f>IF(I213&lt;&gt;"Yes","",COUNTIFS($A$3:A213,SUBSTITUTE(SUBSTITUTE(A213,"?","~?"),"*","~*"),$I$3:I213,"Yes"))</f>
        <v/>
      </c>
      <c r="L213">
        <f>IF(K213="","",A213&amp;"|"&amp;K213)</f>
        <v/>
      </c>
      <c r="M213">
        <f>IF(I213&lt;&gt;"Yes","",COUNTIFS(Values!$A$3:$A$502,SUBSTITUTE(SUBSTITUTE(A213,"?","~?"),"*","~*"),Values!$I$3:$I$502,"Yes"))</f>
        <v/>
      </c>
      <c r="N213">
        <f>IF(I213&lt;&gt;"Yes","",IF(M213&lt;2,"",INDEX(Values!$B$3:$B$502,MATCH(A213&amp;"|"&amp;IF(K213=M213,1,K213+1),Values!$L$3:$L$502,0))))</f>
        <v/>
      </c>
      <c r="O213">
        <f>IF(N213="","",INDEX(Values!$J$3:$J$502,MATCH(A213&amp;"|"&amp;IF(K213=M213,1,K213+1),Values!$L$3:$L$502,0)))</f>
        <v/>
      </c>
    </row>
    <row r="214">
      <c r="H214">
        <f>IF(A214="","",IFERROR(INDEX(Attributes!$F$3:$F$52,MATCH(A214,Attributes!$A$3:$A$52,0))&amp;"","Unknown attribute"))</f>
        <v/>
      </c>
      <c r="I214">
        <f>IF(OR(A214="",B214=""),"",IF(AND(H214="Yes",D214&lt;&gt;"No"),"Yes","No"))</f>
        <v/>
      </c>
      <c r="J214">
        <f>IF(I214="Yes",COUNTIF($I$3:I214,"Yes"),"")</f>
        <v/>
      </c>
      <c r="K214">
        <f>IF(I214&lt;&gt;"Yes","",COUNTIFS($A$3:A214,SUBSTITUTE(SUBSTITUTE(A214,"?","~?"),"*","~*"),$I$3:I214,"Yes"))</f>
        <v/>
      </c>
      <c r="L214">
        <f>IF(K214="","",A214&amp;"|"&amp;K214)</f>
        <v/>
      </c>
      <c r="M214">
        <f>IF(I214&lt;&gt;"Yes","",COUNTIFS(Values!$A$3:$A$502,SUBSTITUTE(SUBSTITUTE(A214,"?","~?"),"*","~*"),Values!$I$3:$I$502,"Yes"))</f>
        <v/>
      </c>
      <c r="N214">
        <f>IF(I214&lt;&gt;"Yes","",IF(M214&lt;2,"",INDEX(Values!$B$3:$B$502,MATCH(A214&amp;"|"&amp;IF(K214=M214,1,K214+1),Values!$L$3:$L$502,0))))</f>
        <v/>
      </c>
      <c r="O214">
        <f>IF(N214="","",INDEX(Values!$J$3:$J$502,MATCH(A214&amp;"|"&amp;IF(K214=M214,1,K214+1),Values!$L$3:$L$502,0)))</f>
        <v/>
      </c>
    </row>
    <row r="215">
      <c r="H215">
        <f>IF(A215="","",IFERROR(INDEX(Attributes!$F$3:$F$52,MATCH(A215,Attributes!$A$3:$A$52,0))&amp;"","Unknown attribute"))</f>
        <v/>
      </c>
      <c r="I215">
        <f>IF(OR(A215="",B215=""),"",IF(AND(H215="Yes",D215&lt;&gt;"No"),"Yes","No"))</f>
        <v/>
      </c>
      <c r="J215">
        <f>IF(I215="Yes",COUNTIF($I$3:I215,"Yes"),"")</f>
        <v/>
      </c>
      <c r="K215">
        <f>IF(I215&lt;&gt;"Yes","",COUNTIFS($A$3:A215,SUBSTITUTE(SUBSTITUTE(A215,"?","~?"),"*","~*"),$I$3:I215,"Yes"))</f>
        <v/>
      </c>
      <c r="L215">
        <f>IF(K215="","",A215&amp;"|"&amp;K215)</f>
        <v/>
      </c>
      <c r="M215">
        <f>IF(I215&lt;&gt;"Yes","",COUNTIFS(Values!$A$3:$A$502,SUBSTITUTE(SUBSTITUTE(A215,"?","~?"),"*","~*"),Values!$I$3:$I$502,"Yes"))</f>
        <v/>
      </c>
      <c r="N215">
        <f>IF(I215&lt;&gt;"Yes","",IF(M215&lt;2,"",INDEX(Values!$B$3:$B$502,MATCH(A215&amp;"|"&amp;IF(K215=M215,1,K215+1),Values!$L$3:$L$502,0))))</f>
        <v/>
      </c>
      <c r="O215">
        <f>IF(N215="","",INDEX(Values!$J$3:$J$502,MATCH(A215&amp;"|"&amp;IF(K215=M215,1,K215+1),Values!$L$3:$L$502,0)))</f>
        <v/>
      </c>
    </row>
    <row r="216">
      <c r="H216">
        <f>IF(A216="","",IFERROR(INDEX(Attributes!$F$3:$F$52,MATCH(A216,Attributes!$A$3:$A$52,0))&amp;"","Unknown attribute"))</f>
        <v/>
      </c>
      <c r="I216">
        <f>IF(OR(A216="",B216=""),"",IF(AND(H216="Yes",D216&lt;&gt;"No"),"Yes","No"))</f>
        <v/>
      </c>
      <c r="J216">
        <f>IF(I216="Yes",COUNTIF($I$3:I216,"Yes"),"")</f>
        <v/>
      </c>
      <c r="K216">
        <f>IF(I216&lt;&gt;"Yes","",COUNTIFS($A$3:A216,SUBSTITUTE(SUBSTITUTE(A216,"?","~?"),"*","~*"),$I$3:I216,"Yes"))</f>
        <v/>
      </c>
      <c r="L216">
        <f>IF(K216="","",A216&amp;"|"&amp;K216)</f>
        <v/>
      </c>
      <c r="M216">
        <f>IF(I216&lt;&gt;"Yes","",COUNTIFS(Values!$A$3:$A$502,SUBSTITUTE(SUBSTITUTE(A216,"?","~?"),"*","~*"),Values!$I$3:$I$502,"Yes"))</f>
        <v/>
      </c>
      <c r="N216">
        <f>IF(I216&lt;&gt;"Yes","",IF(M216&lt;2,"",INDEX(Values!$B$3:$B$502,MATCH(A216&amp;"|"&amp;IF(K216=M216,1,K216+1),Values!$L$3:$L$502,0))))</f>
        <v/>
      </c>
      <c r="O216">
        <f>IF(N216="","",INDEX(Values!$J$3:$J$502,MATCH(A216&amp;"|"&amp;IF(K216=M216,1,K216+1),Values!$L$3:$L$502,0)))</f>
        <v/>
      </c>
    </row>
    <row r="217">
      <c r="H217">
        <f>IF(A217="","",IFERROR(INDEX(Attributes!$F$3:$F$52,MATCH(A217,Attributes!$A$3:$A$52,0))&amp;"","Unknown attribute"))</f>
        <v/>
      </c>
      <c r="I217">
        <f>IF(OR(A217="",B217=""),"",IF(AND(H217="Yes",D217&lt;&gt;"No"),"Yes","No"))</f>
        <v/>
      </c>
      <c r="J217">
        <f>IF(I217="Yes",COUNTIF($I$3:I217,"Yes"),"")</f>
        <v/>
      </c>
      <c r="K217">
        <f>IF(I217&lt;&gt;"Yes","",COUNTIFS($A$3:A217,SUBSTITUTE(SUBSTITUTE(A217,"?","~?"),"*","~*"),$I$3:I217,"Yes"))</f>
        <v/>
      </c>
      <c r="L217">
        <f>IF(K217="","",A217&amp;"|"&amp;K217)</f>
        <v/>
      </c>
      <c r="M217">
        <f>IF(I217&lt;&gt;"Yes","",COUNTIFS(Values!$A$3:$A$502,SUBSTITUTE(SUBSTITUTE(A217,"?","~?"),"*","~*"),Values!$I$3:$I$502,"Yes"))</f>
        <v/>
      </c>
      <c r="N217">
        <f>IF(I217&lt;&gt;"Yes","",IF(M217&lt;2,"",INDEX(Values!$B$3:$B$502,MATCH(A217&amp;"|"&amp;IF(K217=M217,1,K217+1),Values!$L$3:$L$502,0))))</f>
        <v/>
      </c>
      <c r="O217">
        <f>IF(N217="","",INDEX(Values!$J$3:$J$502,MATCH(A217&amp;"|"&amp;IF(K217=M217,1,K217+1),Values!$L$3:$L$502,0)))</f>
        <v/>
      </c>
    </row>
    <row r="218">
      <c r="H218">
        <f>IF(A218="","",IFERROR(INDEX(Attributes!$F$3:$F$52,MATCH(A218,Attributes!$A$3:$A$52,0))&amp;"","Unknown attribute"))</f>
        <v/>
      </c>
      <c r="I218">
        <f>IF(OR(A218="",B218=""),"",IF(AND(H218="Yes",D218&lt;&gt;"No"),"Yes","No"))</f>
        <v/>
      </c>
      <c r="J218">
        <f>IF(I218="Yes",COUNTIF($I$3:I218,"Yes"),"")</f>
        <v/>
      </c>
      <c r="K218">
        <f>IF(I218&lt;&gt;"Yes","",COUNTIFS($A$3:A218,SUBSTITUTE(SUBSTITUTE(A218,"?","~?"),"*","~*"),$I$3:I218,"Yes"))</f>
        <v/>
      </c>
      <c r="L218">
        <f>IF(K218="","",A218&amp;"|"&amp;K218)</f>
        <v/>
      </c>
      <c r="M218">
        <f>IF(I218&lt;&gt;"Yes","",COUNTIFS(Values!$A$3:$A$502,SUBSTITUTE(SUBSTITUTE(A218,"?","~?"),"*","~*"),Values!$I$3:$I$502,"Yes"))</f>
        <v/>
      </c>
      <c r="N218">
        <f>IF(I218&lt;&gt;"Yes","",IF(M218&lt;2,"",INDEX(Values!$B$3:$B$502,MATCH(A218&amp;"|"&amp;IF(K218=M218,1,K218+1),Values!$L$3:$L$502,0))))</f>
        <v/>
      </c>
      <c r="O218">
        <f>IF(N218="","",INDEX(Values!$J$3:$J$502,MATCH(A218&amp;"|"&amp;IF(K218=M218,1,K218+1),Values!$L$3:$L$502,0)))</f>
        <v/>
      </c>
    </row>
    <row r="219">
      <c r="H219">
        <f>IF(A219="","",IFERROR(INDEX(Attributes!$F$3:$F$52,MATCH(A219,Attributes!$A$3:$A$52,0))&amp;"","Unknown attribute"))</f>
        <v/>
      </c>
      <c r="I219">
        <f>IF(OR(A219="",B219=""),"",IF(AND(H219="Yes",D219&lt;&gt;"No"),"Yes","No"))</f>
        <v/>
      </c>
      <c r="J219">
        <f>IF(I219="Yes",COUNTIF($I$3:I219,"Yes"),"")</f>
        <v/>
      </c>
      <c r="K219">
        <f>IF(I219&lt;&gt;"Yes","",COUNTIFS($A$3:A219,SUBSTITUTE(SUBSTITUTE(A219,"?","~?"),"*","~*"),$I$3:I219,"Yes"))</f>
        <v/>
      </c>
      <c r="L219">
        <f>IF(K219="","",A219&amp;"|"&amp;K219)</f>
        <v/>
      </c>
      <c r="M219">
        <f>IF(I219&lt;&gt;"Yes","",COUNTIFS(Values!$A$3:$A$502,SUBSTITUTE(SUBSTITUTE(A219,"?","~?"),"*","~*"),Values!$I$3:$I$502,"Yes"))</f>
        <v/>
      </c>
      <c r="N219">
        <f>IF(I219&lt;&gt;"Yes","",IF(M219&lt;2,"",INDEX(Values!$B$3:$B$502,MATCH(A219&amp;"|"&amp;IF(K219=M219,1,K219+1),Values!$L$3:$L$502,0))))</f>
        <v/>
      </c>
      <c r="O219">
        <f>IF(N219="","",INDEX(Values!$J$3:$J$502,MATCH(A219&amp;"|"&amp;IF(K219=M219,1,K219+1),Values!$L$3:$L$502,0)))</f>
        <v/>
      </c>
    </row>
    <row r="220">
      <c r="H220">
        <f>IF(A220="","",IFERROR(INDEX(Attributes!$F$3:$F$52,MATCH(A220,Attributes!$A$3:$A$52,0))&amp;"","Unknown attribute"))</f>
        <v/>
      </c>
      <c r="I220">
        <f>IF(OR(A220="",B220=""),"",IF(AND(H220="Yes",D220&lt;&gt;"No"),"Yes","No"))</f>
        <v/>
      </c>
      <c r="J220">
        <f>IF(I220="Yes",COUNTIF($I$3:I220,"Yes"),"")</f>
        <v/>
      </c>
      <c r="K220">
        <f>IF(I220&lt;&gt;"Yes","",COUNTIFS($A$3:A220,SUBSTITUTE(SUBSTITUTE(A220,"?","~?"),"*","~*"),$I$3:I220,"Yes"))</f>
        <v/>
      </c>
      <c r="L220">
        <f>IF(K220="","",A220&amp;"|"&amp;K220)</f>
        <v/>
      </c>
      <c r="M220">
        <f>IF(I220&lt;&gt;"Yes","",COUNTIFS(Values!$A$3:$A$502,SUBSTITUTE(SUBSTITUTE(A220,"?","~?"),"*","~*"),Values!$I$3:$I$502,"Yes"))</f>
        <v/>
      </c>
      <c r="N220">
        <f>IF(I220&lt;&gt;"Yes","",IF(M220&lt;2,"",INDEX(Values!$B$3:$B$502,MATCH(A220&amp;"|"&amp;IF(K220=M220,1,K220+1),Values!$L$3:$L$502,0))))</f>
        <v/>
      </c>
      <c r="O220">
        <f>IF(N220="","",INDEX(Values!$J$3:$J$502,MATCH(A220&amp;"|"&amp;IF(K220=M220,1,K220+1),Values!$L$3:$L$502,0)))</f>
        <v/>
      </c>
    </row>
    <row r="221">
      <c r="H221">
        <f>IF(A221="","",IFERROR(INDEX(Attributes!$F$3:$F$52,MATCH(A221,Attributes!$A$3:$A$52,0))&amp;"","Unknown attribute"))</f>
        <v/>
      </c>
      <c r="I221">
        <f>IF(OR(A221="",B221=""),"",IF(AND(H221="Yes",D221&lt;&gt;"No"),"Yes","No"))</f>
        <v/>
      </c>
      <c r="J221">
        <f>IF(I221="Yes",COUNTIF($I$3:I221,"Yes"),"")</f>
        <v/>
      </c>
      <c r="K221">
        <f>IF(I221&lt;&gt;"Yes","",COUNTIFS($A$3:A221,SUBSTITUTE(SUBSTITUTE(A221,"?","~?"),"*","~*"),$I$3:I221,"Yes"))</f>
        <v/>
      </c>
      <c r="L221">
        <f>IF(K221="","",A221&amp;"|"&amp;K221)</f>
        <v/>
      </c>
      <c r="M221">
        <f>IF(I221&lt;&gt;"Yes","",COUNTIFS(Values!$A$3:$A$502,SUBSTITUTE(SUBSTITUTE(A221,"?","~?"),"*","~*"),Values!$I$3:$I$502,"Yes"))</f>
        <v/>
      </c>
      <c r="N221">
        <f>IF(I221&lt;&gt;"Yes","",IF(M221&lt;2,"",INDEX(Values!$B$3:$B$502,MATCH(A221&amp;"|"&amp;IF(K221=M221,1,K221+1),Values!$L$3:$L$502,0))))</f>
        <v/>
      </c>
      <c r="O221">
        <f>IF(N221="","",INDEX(Values!$J$3:$J$502,MATCH(A221&amp;"|"&amp;IF(K221=M221,1,K221+1),Values!$L$3:$L$502,0)))</f>
        <v/>
      </c>
    </row>
    <row r="222">
      <c r="H222">
        <f>IF(A222="","",IFERROR(INDEX(Attributes!$F$3:$F$52,MATCH(A222,Attributes!$A$3:$A$52,0))&amp;"","Unknown attribute"))</f>
        <v/>
      </c>
      <c r="I222">
        <f>IF(OR(A222="",B222=""),"",IF(AND(H222="Yes",D222&lt;&gt;"No"),"Yes","No"))</f>
        <v/>
      </c>
      <c r="J222">
        <f>IF(I222="Yes",COUNTIF($I$3:I222,"Yes"),"")</f>
        <v/>
      </c>
      <c r="K222">
        <f>IF(I222&lt;&gt;"Yes","",COUNTIFS($A$3:A222,SUBSTITUTE(SUBSTITUTE(A222,"?","~?"),"*","~*"),$I$3:I222,"Yes"))</f>
        <v/>
      </c>
      <c r="L222">
        <f>IF(K222="","",A222&amp;"|"&amp;K222)</f>
        <v/>
      </c>
      <c r="M222">
        <f>IF(I222&lt;&gt;"Yes","",COUNTIFS(Values!$A$3:$A$502,SUBSTITUTE(SUBSTITUTE(A222,"?","~?"),"*","~*"),Values!$I$3:$I$502,"Yes"))</f>
        <v/>
      </c>
      <c r="N222">
        <f>IF(I222&lt;&gt;"Yes","",IF(M222&lt;2,"",INDEX(Values!$B$3:$B$502,MATCH(A222&amp;"|"&amp;IF(K222=M222,1,K222+1),Values!$L$3:$L$502,0))))</f>
        <v/>
      </c>
      <c r="O222">
        <f>IF(N222="","",INDEX(Values!$J$3:$J$502,MATCH(A222&amp;"|"&amp;IF(K222=M222,1,K222+1),Values!$L$3:$L$502,0)))</f>
        <v/>
      </c>
    </row>
    <row r="223">
      <c r="H223">
        <f>IF(A223="","",IFERROR(INDEX(Attributes!$F$3:$F$52,MATCH(A223,Attributes!$A$3:$A$52,0))&amp;"","Unknown attribute"))</f>
        <v/>
      </c>
      <c r="I223">
        <f>IF(OR(A223="",B223=""),"",IF(AND(H223="Yes",D223&lt;&gt;"No"),"Yes","No"))</f>
        <v/>
      </c>
      <c r="J223">
        <f>IF(I223="Yes",COUNTIF($I$3:I223,"Yes"),"")</f>
        <v/>
      </c>
      <c r="K223">
        <f>IF(I223&lt;&gt;"Yes","",COUNTIFS($A$3:A223,SUBSTITUTE(SUBSTITUTE(A223,"?","~?"),"*","~*"),$I$3:I223,"Yes"))</f>
        <v/>
      </c>
      <c r="L223">
        <f>IF(K223="","",A223&amp;"|"&amp;K223)</f>
        <v/>
      </c>
      <c r="M223">
        <f>IF(I223&lt;&gt;"Yes","",COUNTIFS(Values!$A$3:$A$502,SUBSTITUTE(SUBSTITUTE(A223,"?","~?"),"*","~*"),Values!$I$3:$I$502,"Yes"))</f>
        <v/>
      </c>
      <c r="N223">
        <f>IF(I223&lt;&gt;"Yes","",IF(M223&lt;2,"",INDEX(Values!$B$3:$B$502,MATCH(A223&amp;"|"&amp;IF(K223=M223,1,K223+1),Values!$L$3:$L$502,0))))</f>
        <v/>
      </c>
      <c r="O223">
        <f>IF(N223="","",INDEX(Values!$J$3:$J$502,MATCH(A223&amp;"|"&amp;IF(K223=M223,1,K223+1),Values!$L$3:$L$502,0)))</f>
        <v/>
      </c>
    </row>
    <row r="224">
      <c r="H224">
        <f>IF(A224="","",IFERROR(INDEX(Attributes!$F$3:$F$52,MATCH(A224,Attributes!$A$3:$A$52,0))&amp;"","Unknown attribute"))</f>
        <v/>
      </c>
      <c r="I224">
        <f>IF(OR(A224="",B224=""),"",IF(AND(H224="Yes",D224&lt;&gt;"No"),"Yes","No"))</f>
        <v/>
      </c>
      <c r="J224">
        <f>IF(I224="Yes",COUNTIF($I$3:I224,"Yes"),"")</f>
        <v/>
      </c>
      <c r="K224">
        <f>IF(I224&lt;&gt;"Yes","",COUNTIFS($A$3:A224,SUBSTITUTE(SUBSTITUTE(A224,"?","~?"),"*","~*"),$I$3:I224,"Yes"))</f>
        <v/>
      </c>
      <c r="L224">
        <f>IF(K224="","",A224&amp;"|"&amp;K224)</f>
        <v/>
      </c>
      <c r="M224">
        <f>IF(I224&lt;&gt;"Yes","",COUNTIFS(Values!$A$3:$A$502,SUBSTITUTE(SUBSTITUTE(A224,"?","~?"),"*","~*"),Values!$I$3:$I$502,"Yes"))</f>
        <v/>
      </c>
      <c r="N224">
        <f>IF(I224&lt;&gt;"Yes","",IF(M224&lt;2,"",INDEX(Values!$B$3:$B$502,MATCH(A224&amp;"|"&amp;IF(K224=M224,1,K224+1),Values!$L$3:$L$502,0))))</f>
        <v/>
      </c>
      <c r="O224">
        <f>IF(N224="","",INDEX(Values!$J$3:$J$502,MATCH(A224&amp;"|"&amp;IF(K224=M224,1,K224+1),Values!$L$3:$L$502,0)))</f>
        <v/>
      </c>
    </row>
    <row r="225">
      <c r="H225">
        <f>IF(A225="","",IFERROR(INDEX(Attributes!$F$3:$F$52,MATCH(A225,Attributes!$A$3:$A$52,0))&amp;"","Unknown attribute"))</f>
        <v/>
      </c>
      <c r="I225">
        <f>IF(OR(A225="",B225=""),"",IF(AND(H225="Yes",D225&lt;&gt;"No"),"Yes","No"))</f>
        <v/>
      </c>
      <c r="J225">
        <f>IF(I225="Yes",COUNTIF($I$3:I225,"Yes"),"")</f>
        <v/>
      </c>
      <c r="K225">
        <f>IF(I225&lt;&gt;"Yes","",COUNTIFS($A$3:A225,SUBSTITUTE(SUBSTITUTE(A225,"?","~?"),"*","~*"),$I$3:I225,"Yes"))</f>
        <v/>
      </c>
      <c r="L225">
        <f>IF(K225="","",A225&amp;"|"&amp;K225)</f>
        <v/>
      </c>
      <c r="M225">
        <f>IF(I225&lt;&gt;"Yes","",COUNTIFS(Values!$A$3:$A$502,SUBSTITUTE(SUBSTITUTE(A225,"?","~?"),"*","~*"),Values!$I$3:$I$502,"Yes"))</f>
        <v/>
      </c>
      <c r="N225">
        <f>IF(I225&lt;&gt;"Yes","",IF(M225&lt;2,"",INDEX(Values!$B$3:$B$502,MATCH(A225&amp;"|"&amp;IF(K225=M225,1,K225+1),Values!$L$3:$L$502,0))))</f>
        <v/>
      </c>
      <c r="O225">
        <f>IF(N225="","",INDEX(Values!$J$3:$J$502,MATCH(A225&amp;"|"&amp;IF(K225=M225,1,K225+1),Values!$L$3:$L$502,0)))</f>
        <v/>
      </c>
    </row>
    <row r="226">
      <c r="H226">
        <f>IF(A226="","",IFERROR(INDEX(Attributes!$F$3:$F$52,MATCH(A226,Attributes!$A$3:$A$52,0))&amp;"","Unknown attribute"))</f>
        <v/>
      </c>
      <c r="I226">
        <f>IF(OR(A226="",B226=""),"",IF(AND(H226="Yes",D226&lt;&gt;"No"),"Yes","No"))</f>
        <v/>
      </c>
      <c r="J226">
        <f>IF(I226="Yes",COUNTIF($I$3:I226,"Yes"),"")</f>
        <v/>
      </c>
      <c r="K226">
        <f>IF(I226&lt;&gt;"Yes","",COUNTIFS($A$3:A226,SUBSTITUTE(SUBSTITUTE(A226,"?","~?"),"*","~*"),$I$3:I226,"Yes"))</f>
        <v/>
      </c>
      <c r="L226">
        <f>IF(K226="","",A226&amp;"|"&amp;K226)</f>
        <v/>
      </c>
      <c r="M226">
        <f>IF(I226&lt;&gt;"Yes","",COUNTIFS(Values!$A$3:$A$502,SUBSTITUTE(SUBSTITUTE(A226,"?","~?"),"*","~*"),Values!$I$3:$I$502,"Yes"))</f>
        <v/>
      </c>
      <c r="N226">
        <f>IF(I226&lt;&gt;"Yes","",IF(M226&lt;2,"",INDEX(Values!$B$3:$B$502,MATCH(A226&amp;"|"&amp;IF(K226=M226,1,K226+1),Values!$L$3:$L$502,0))))</f>
        <v/>
      </c>
      <c r="O226">
        <f>IF(N226="","",INDEX(Values!$J$3:$J$502,MATCH(A226&amp;"|"&amp;IF(K226=M226,1,K226+1),Values!$L$3:$L$502,0)))</f>
        <v/>
      </c>
    </row>
    <row r="227">
      <c r="H227">
        <f>IF(A227="","",IFERROR(INDEX(Attributes!$F$3:$F$52,MATCH(A227,Attributes!$A$3:$A$52,0))&amp;"","Unknown attribute"))</f>
        <v/>
      </c>
      <c r="I227">
        <f>IF(OR(A227="",B227=""),"",IF(AND(H227="Yes",D227&lt;&gt;"No"),"Yes","No"))</f>
        <v/>
      </c>
      <c r="J227">
        <f>IF(I227="Yes",COUNTIF($I$3:I227,"Yes"),"")</f>
        <v/>
      </c>
      <c r="K227">
        <f>IF(I227&lt;&gt;"Yes","",COUNTIFS($A$3:A227,SUBSTITUTE(SUBSTITUTE(A227,"?","~?"),"*","~*"),$I$3:I227,"Yes"))</f>
        <v/>
      </c>
      <c r="L227">
        <f>IF(K227="","",A227&amp;"|"&amp;K227)</f>
        <v/>
      </c>
      <c r="M227">
        <f>IF(I227&lt;&gt;"Yes","",COUNTIFS(Values!$A$3:$A$502,SUBSTITUTE(SUBSTITUTE(A227,"?","~?"),"*","~*"),Values!$I$3:$I$502,"Yes"))</f>
        <v/>
      </c>
      <c r="N227">
        <f>IF(I227&lt;&gt;"Yes","",IF(M227&lt;2,"",INDEX(Values!$B$3:$B$502,MATCH(A227&amp;"|"&amp;IF(K227=M227,1,K227+1),Values!$L$3:$L$502,0))))</f>
        <v/>
      </c>
      <c r="O227">
        <f>IF(N227="","",INDEX(Values!$J$3:$J$502,MATCH(A227&amp;"|"&amp;IF(K227=M227,1,K227+1),Values!$L$3:$L$502,0)))</f>
        <v/>
      </c>
    </row>
    <row r="228">
      <c r="H228">
        <f>IF(A228="","",IFERROR(INDEX(Attributes!$F$3:$F$52,MATCH(A228,Attributes!$A$3:$A$52,0))&amp;"","Unknown attribute"))</f>
        <v/>
      </c>
      <c r="I228">
        <f>IF(OR(A228="",B228=""),"",IF(AND(H228="Yes",D228&lt;&gt;"No"),"Yes","No"))</f>
        <v/>
      </c>
      <c r="J228">
        <f>IF(I228="Yes",COUNTIF($I$3:I228,"Yes"),"")</f>
        <v/>
      </c>
      <c r="K228">
        <f>IF(I228&lt;&gt;"Yes","",COUNTIFS($A$3:A228,SUBSTITUTE(SUBSTITUTE(A228,"?","~?"),"*","~*"),$I$3:I228,"Yes"))</f>
        <v/>
      </c>
      <c r="L228">
        <f>IF(K228="","",A228&amp;"|"&amp;K228)</f>
        <v/>
      </c>
      <c r="M228">
        <f>IF(I228&lt;&gt;"Yes","",COUNTIFS(Values!$A$3:$A$502,SUBSTITUTE(SUBSTITUTE(A228,"?","~?"),"*","~*"),Values!$I$3:$I$502,"Yes"))</f>
        <v/>
      </c>
      <c r="N228">
        <f>IF(I228&lt;&gt;"Yes","",IF(M228&lt;2,"",INDEX(Values!$B$3:$B$502,MATCH(A228&amp;"|"&amp;IF(K228=M228,1,K228+1),Values!$L$3:$L$502,0))))</f>
        <v/>
      </c>
      <c r="O228">
        <f>IF(N228="","",INDEX(Values!$J$3:$J$502,MATCH(A228&amp;"|"&amp;IF(K228=M228,1,K228+1),Values!$L$3:$L$502,0)))</f>
        <v/>
      </c>
    </row>
    <row r="229">
      <c r="H229">
        <f>IF(A229="","",IFERROR(INDEX(Attributes!$F$3:$F$52,MATCH(A229,Attributes!$A$3:$A$52,0))&amp;"","Unknown attribute"))</f>
        <v/>
      </c>
      <c r="I229">
        <f>IF(OR(A229="",B229=""),"",IF(AND(H229="Yes",D229&lt;&gt;"No"),"Yes","No"))</f>
        <v/>
      </c>
      <c r="J229">
        <f>IF(I229="Yes",COUNTIF($I$3:I229,"Yes"),"")</f>
        <v/>
      </c>
      <c r="K229">
        <f>IF(I229&lt;&gt;"Yes","",COUNTIFS($A$3:A229,SUBSTITUTE(SUBSTITUTE(A229,"?","~?"),"*","~*"),$I$3:I229,"Yes"))</f>
        <v/>
      </c>
      <c r="L229">
        <f>IF(K229="","",A229&amp;"|"&amp;K229)</f>
        <v/>
      </c>
      <c r="M229">
        <f>IF(I229&lt;&gt;"Yes","",COUNTIFS(Values!$A$3:$A$502,SUBSTITUTE(SUBSTITUTE(A229,"?","~?"),"*","~*"),Values!$I$3:$I$502,"Yes"))</f>
        <v/>
      </c>
      <c r="N229">
        <f>IF(I229&lt;&gt;"Yes","",IF(M229&lt;2,"",INDEX(Values!$B$3:$B$502,MATCH(A229&amp;"|"&amp;IF(K229=M229,1,K229+1),Values!$L$3:$L$502,0))))</f>
        <v/>
      </c>
      <c r="O229">
        <f>IF(N229="","",INDEX(Values!$J$3:$J$502,MATCH(A229&amp;"|"&amp;IF(K229=M229,1,K229+1),Values!$L$3:$L$502,0)))</f>
        <v/>
      </c>
    </row>
    <row r="230">
      <c r="H230">
        <f>IF(A230="","",IFERROR(INDEX(Attributes!$F$3:$F$52,MATCH(A230,Attributes!$A$3:$A$52,0))&amp;"","Unknown attribute"))</f>
        <v/>
      </c>
      <c r="I230">
        <f>IF(OR(A230="",B230=""),"",IF(AND(H230="Yes",D230&lt;&gt;"No"),"Yes","No"))</f>
        <v/>
      </c>
      <c r="J230">
        <f>IF(I230="Yes",COUNTIF($I$3:I230,"Yes"),"")</f>
        <v/>
      </c>
      <c r="K230">
        <f>IF(I230&lt;&gt;"Yes","",COUNTIFS($A$3:A230,SUBSTITUTE(SUBSTITUTE(A230,"?","~?"),"*","~*"),$I$3:I230,"Yes"))</f>
        <v/>
      </c>
      <c r="L230">
        <f>IF(K230="","",A230&amp;"|"&amp;K230)</f>
        <v/>
      </c>
      <c r="M230">
        <f>IF(I230&lt;&gt;"Yes","",COUNTIFS(Values!$A$3:$A$502,SUBSTITUTE(SUBSTITUTE(A230,"?","~?"),"*","~*"),Values!$I$3:$I$502,"Yes"))</f>
        <v/>
      </c>
      <c r="N230">
        <f>IF(I230&lt;&gt;"Yes","",IF(M230&lt;2,"",INDEX(Values!$B$3:$B$502,MATCH(A230&amp;"|"&amp;IF(K230=M230,1,K230+1),Values!$L$3:$L$502,0))))</f>
        <v/>
      </c>
      <c r="O230">
        <f>IF(N230="","",INDEX(Values!$J$3:$J$502,MATCH(A230&amp;"|"&amp;IF(K230=M230,1,K230+1),Values!$L$3:$L$502,0)))</f>
        <v/>
      </c>
    </row>
    <row r="231">
      <c r="H231">
        <f>IF(A231="","",IFERROR(INDEX(Attributes!$F$3:$F$52,MATCH(A231,Attributes!$A$3:$A$52,0))&amp;"","Unknown attribute"))</f>
        <v/>
      </c>
      <c r="I231">
        <f>IF(OR(A231="",B231=""),"",IF(AND(H231="Yes",D231&lt;&gt;"No"),"Yes","No"))</f>
        <v/>
      </c>
      <c r="J231">
        <f>IF(I231="Yes",COUNTIF($I$3:I231,"Yes"),"")</f>
        <v/>
      </c>
      <c r="K231">
        <f>IF(I231&lt;&gt;"Yes","",COUNTIFS($A$3:A231,SUBSTITUTE(SUBSTITUTE(A231,"?","~?"),"*","~*"),$I$3:I231,"Yes"))</f>
        <v/>
      </c>
      <c r="L231">
        <f>IF(K231="","",A231&amp;"|"&amp;K231)</f>
        <v/>
      </c>
      <c r="M231">
        <f>IF(I231&lt;&gt;"Yes","",COUNTIFS(Values!$A$3:$A$502,SUBSTITUTE(SUBSTITUTE(A231,"?","~?"),"*","~*"),Values!$I$3:$I$502,"Yes"))</f>
        <v/>
      </c>
      <c r="N231">
        <f>IF(I231&lt;&gt;"Yes","",IF(M231&lt;2,"",INDEX(Values!$B$3:$B$502,MATCH(A231&amp;"|"&amp;IF(K231=M231,1,K231+1),Values!$L$3:$L$502,0))))</f>
        <v/>
      </c>
      <c r="O231">
        <f>IF(N231="","",INDEX(Values!$J$3:$J$502,MATCH(A231&amp;"|"&amp;IF(K231=M231,1,K231+1),Values!$L$3:$L$502,0)))</f>
        <v/>
      </c>
    </row>
    <row r="232">
      <c r="H232">
        <f>IF(A232="","",IFERROR(INDEX(Attributes!$F$3:$F$52,MATCH(A232,Attributes!$A$3:$A$52,0))&amp;"","Unknown attribute"))</f>
        <v/>
      </c>
      <c r="I232">
        <f>IF(OR(A232="",B232=""),"",IF(AND(H232="Yes",D232&lt;&gt;"No"),"Yes","No"))</f>
        <v/>
      </c>
      <c r="J232">
        <f>IF(I232="Yes",COUNTIF($I$3:I232,"Yes"),"")</f>
        <v/>
      </c>
      <c r="K232">
        <f>IF(I232&lt;&gt;"Yes","",COUNTIFS($A$3:A232,SUBSTITUTE(SUBSTITUTE(A232,"?","~?"),"*","~*"),$I$3:I232,"Yes"))</f>
        <v/>
      </c>
      <c r="L232">
        <f>IF(K232="","",A232&amp;"|"&amp;K232)</f>
        <v/>
      </c>
      <c r="M232">
        <f>IF(I232&lt;&gt;"Yes","",COUNTIFS(Values!$A$3:$A$502,SUBSTITUTE(SUBSTITUTE(A232,"?","~?"),"*","~*"),Values!$I$3:$I$502,"Yes"))</f>
        <v/>
      </c>
      <c r="N232">
        <f>IF(I232&lt;&gt;"Yes","",IF(M232&lt;2,"",INDEX(Values!$B$3:$B$502,MATCH(A232&amp;"|"&amp;IF(K232=M232,1,K232+1),Values!$L$3:$L$502,0))))</f>
        <v/>
      </c>
      <c r="O232">
        <f>IF(N232="","",INDEX(Values!$J$3:$J$502,MATCH(A232&amp;"|"&amp;IF(K232=M232,1,K232+1),Values!$L$3:$L$502,0)))</f>
        <v/>
      </c>
    </row>
    <row r="233">
      <c r="H233">
        <f>IF(A233="","",IFERROR(INDEX(Attributes!$F$3:$F$52,MATCH(A233,Attributes!$A$3:$A$52,0))&amp;"","Unknown attribute"))</f>
        <v/>
      </c>
      <c r="I233">
        <f>IF(OR(A233="",B233=""),"",IF(AND(H233="Yes",D233&lt;&gt;"No"),"Yes","No"))</f>
        <v/>
      </c>
      <c r="J233">
        <f>IF(I233="Yes",COUNTIF($I$3:I233,"Yes"),"")</f>
        <v/>
      </c>
      <c r="K233">
        <f>IF(I233&lt;&gt;"Yes","",COUNTIFS($A$3:A233,SUBSTITUTE(SUBSTITUTE(A233,"?","~?"),"*","~*"),$I$3:I233,"Yes"))</f>
        <v/>
      </c>
      <c r="L233">
        <f>IF(K233="","",A233&amp;"|"&amp;K233)</f>
        <v/>
      </c>
      <c r="M233">
        <f>IF(I233&lt;&gt;"Yes","",COUNTIFS(Values!$A$3:$A$502,SUBSTITUTE(SUBSTITUTE(A233,"?","~?"),"*","~*"),Values!$I$3:$I$502,"Yes"))</f>
        <v/>
      </c>
      <c r="N233">
        <f>IF(I233&lt;&gt;"Yes","",IF(M233&lt;2,"",INDEX(Values!$B$3:$B$502,MATCH(A233&amp;"|"&amp;IF(K233=M233,1,K233+1),Values!$L$3:$L$502,0))))</f>
        <v/>
      </c>
      <c r="O233">
        <f>IF(N233="","",INDEX(Values!$J$3:$J$502,MATCH(A233&amp;"|"&amp;IF(K233=M233,1,K233+1),Values!$L$3:$L$502,0)))</f>
        <v/>
      </c>
    </row>
    <row r="234">
      <c r="H234">
        <f>IF(A234="","",IFERROR(INDEX(Attributes!$F$3:$F$52,MATCH(A234,Attributes!$A$3:$A$52,0))&amp;"","Unknown attribute"))</f>
        <v/>
      </c>
      <c r="I234">
        <f>IF(OR(A234="",B234=""),"",IF(AND(H234="Yes",D234&lt;&gt;"No"),"Yes","No"))</f>
        <v/>
      </c>
      <c r="J234">
        <f>IF(I234="Yes",COUNTIF($I$3:I234,"Yes"),"")</f>
        <v/>
      </c>
      <c r="K234">
        <f>IF(I234&lt;&gt;"Yes","",COUNTIFS($A$3:A234,SUBSTITUTE(SUBSTITUTE(A234,"?","~?"),"*","~*"),$I$3:I234,"Yes"))</f>
        <v/>
      </c>
      <c r="L234">
        <f>IF(K234="","",A234&amp;"|"&amp;K234)</f>
        <v/>
      </c>
      <c r="M234">
        <f>IF(I234&lt;&gt;"Yes","",COUNTIFS(Values!$A$3:$A$502,SUBSTITUTE(SUBSTITUTE(A234,"?","~?"),"*","~*"),Values!$I$3:$I$502,"Yes"))</f>
        <v/>
      </c>
      <c r="N234">
        <f>IF(I234&lt;&gt;"Yes","",IF(M234&lt;2,"",INDEX(Values!$B$3:$B$502,MATCH(A234&amp;"|"&amp;IF(K234=M234,1,K234+1),Values!$L$3:$L$502,0))))</f>
        <v/>
      </c>
      <c r="O234">
        <f>IF(N234="","",INDEX(Values!$J$3:$J$502,MATCH(A234&amp;"|"&amp;IF(K234=M234,1,K234+1),Values!$L$3:$L$502,0)))</f>
        <v/>
      </c>
    </row>
    <row r="235">
      <c r="H235">
        <f>IF(A235="","",IFERROR(INDEX(Attributes!$F$3:$F$52,MATCH(A235,Attributes!$A$3:$A$52,0))&amp;"","Unknown attribute"))</f>
        <v/>
      </c>
      <c r="I235">
        <f>IF(OR(A235="",B235=""),"",IF(AND(H235="Yes",D235&lt;&gt;"No"),"Yes","No"))</f>
        <v/>
      </c>
      <c r="J235">
        <f>IF(I235="Yes",COUNTIF($I$3:I235,"Yes"),"")</f>
        <v/>
      </c>
      <c r="K235">
        <f>IF(I235&lt;&gt;"Yes","",COUNTIFS($A$3:A235,SUBSTITUTE(SUBSTITUTE(A235,"?","~?"),"*","~*"),$I$3:I235,"Yes"))</f>
        <v/>
      </c>
      <c r="L235">
        <f>IF(K235="","",A235&amp;"|"&amp;K235)</f>
        <v/>
      </c>
      <c r="M235">
        <f>IF(I235&lt;&gt;"Yes","",COUNTIFS(Values!$A$3:$A$502,SUBSTITUTE(SUBSTITUTE(A235,"?","~?"),"*","~*"),Values!$I$3:$I$502,"Yes"))</f>
        <v/>
      </c>
      <c r="N235">
        <f>IF(I235&lt;&gt;"Yes","",IF(M235&lt;2,"",INDEX(Values!$B$3:$B$502,MATCH(A235&amp;"|"&amp;IF(K235=M235,1,K235+1),Values!$L$3:$L$502,0))))</f>
        <v/>
      </c>
      <c r="O235">
        <f>IF(N235="","",INDEX(Values!$J$3:$J$502,MATCH(A235&amp;"|"&amp;IF(K235=M235,1,K235+1),Values!$L$3:$L$502,0)))</f>
        <v/>
      </c>
    </row>
    <row r="236">
      <c r="H236">
        <f>IF(A236="","",IFERROR(INDEX(Attributes!$F$3:$F$52,MATCH(A236,Attributes!$A$3:$A$52,0))&amp;"","Unknown attribute"))</f>
        <v/>
      </c>
      <c r="I236">
        <f>IF(OR(A236="",B236=""),"",IF(AND(H236="Yes",D236&lt;&gt;"No"),"Yes","No"))</f>
        <v/>
      </c>
      <c r="J236">
        <f>IF(I236="Yes",COUNTIF($I$3:I236,"Yes"),"")</f>
        <v/>
      </c>
      <c r="K236">
        <f>IF(I236&lt;&gt;"Yes","",COUNTIFS($A$3:A236,SUBSTITUTE(SUBSTITUTE(A236,"?","~?"),"*","~*"),$I$3:I236,"Yes"))</f>
        <v/>
      </c>
      <c r="L236">
        <f>IF(K236="","",A236&amp;"|"&amp;K236)</f>
        <v/>
      </c>
      <c r="M236">
        <f>IF(I236&lt;&gt;"Yes","",COUNTIFS(Values!$A$3:$A$502,SUBSTITUTE(SUBSTITUTE(A236,"?","~?"),"*","~*"),Values!$I$3:$I$502,"Yes"))</f>
        <v/>
      </c>
      <c r="N236">
        <f>IF(I236&lt;&gt;"Yes","",IF(M236&lt;2,"",INDEX(Values!$B$3:$B$502,MATCH(A236&amp;"|"&amp;IF(K236=M236,1,K236+1),Values!$L$3:$L$502,0))))</f>
        <v/>
      </c>
      <c r="O236">
        <f>IF(N236="","",INDEX(Values!$J$3:$J$502,MATCH(A236&amp;"|"&amp;IF(K236=M236,1,K236+1),Values!$L$3:$L$502,0)))</f>
        <v/>
      </c>
    </row>
    <row r="237">
      <c r="H237">
        <f>IF(A237="","",IFERROR(INDEX(Attributes!$F$3:$F$52,MATCH(A237,Attributes!$A$3:$A$52,0))&amp;"","Unknown attribute"))</f>
        <v/>
      </c>
      <c r="I237">
        <f>IF(OR(A237="",B237=""),"",IF(AND(H237="Yes",D237&lt;&gt;"No"),"Yes","No"))</f>
        <v/>
      </c>
      <c r="J237">
        <f>IF(I237="Yes",COUNTIF($I$3:I237,"Yes"),"")</f>
        <v/>
      </c>
      <c r="K237">
        <f>IF(I237&lt;&gt;"Yes","",COUNTIFS($A$3:A237,SUBSTITUTE(SUBSTITUTE(A237,"?","~?"),"*","~*"),$I$3:I237,"Yes"))</f>
        <v/>
      </c>
      <c r="L237">
        <f>IF(K237="","",A237&amp;"|"&amp;K237)</f>
        <v/>
      </c>
      <c r="M237">
        <f>IF(I237&lt;&gt;"Yes","",COUNTIFS(Values!$A$3:$A$502,SUBSTITUTE(SUBSTITUTE(A237,"?","~?"),"*","~*"),Values!$I$3:$I$502,"Yes"))</f>
        <v/>
      </c>
      <c r="N237">
        <f>IF(I237&lt;&gt;"Yes","",IF(M237&lt;2,"",INDEX(Values!$B$3:$B$502,MATCH(A237&amp;"|"&amp;IF(K237=M237,1,K237+1),Values!$L$3:$L$502,0))))</f>
        <v/>
      </c>
      <c r="O237">
        <f>IF(N237="","",INDEX(Values!$J$3:$J$502,MATCH(A237&amp;"|"&amp;IF(K237=M237,1,K237+1),Values!$L$3:$L$502,0)))</f>
        <v/>
      </c>
    </row>
    <row r="238">
      <c r="H238">
        <f>IF(A238="","",IFERROR(INDEX(Attributes!$F$3:$F$52,MATCH(A238,Attributes!$A$3:$A$52,0))&amp;"","Unknown attribute"))</f>
        <v/>
      </c>
      <c r="I238">
        <f>IF(OR(A238="",B238=""),"",IF(AND(H238="Yes",D238&lt;&gt;"No"),"Yes","No"))</f>
        <v/>
      </c>
      <c r="J238">
        <f>IF(I238="Yes",COUNTIF($I$3:I238,"Yes"),"")</f>
        <v/>
      </c>
      <c r="K238">
        <f>IF(I238&lt;&gt;"Yes","",COUNTIFS($A$3:A238,SUBSTITUTE(SUBSTITUTE(A238,"?","~?"),"*","~*"),$I$3:I238,"Yes"))</f>
        <v/>
      </c>
      <c r="L238">
        <f>IF(K238="","",A238&amp;"|"&amp;K238)</f>
        <v/>
      </c>
      <c r="M238">
        <f>IF(I238&lt;&gt;"Yes","",COUNTIFS(Values!$A$3:$A$502,SUBSTITUTE(SUBSTITUTE(A238,"?","~?"),"*","~*"),Values!$I$3:$I$502,"Yes"))</f>
        <v/>
      </c>
      <c r="N238">
        <f>IF(I238&lt;&gt;"Yes","",IF(M238&lt;2,"",INDEX(Values!$B$3:$B$502,MATCH(A238&amp;"|"&amp;IF(K238=M238,1,K238+1),Values!$L$3:$L$502,0))))</f>
        <v/>
      </c>
      <c r="O238">
        <f>IF(N238="","",INDEX(Values!$J$3:$J$502,MATCH(A238&amp;"|"&amp;IF(K238=M238,1,K238+1),Values!$L$3:$L$502,0)))</f>
        <v/>
      </c>
    </row>
    <row r="239">
      <c r="H239">
        <f>IF(A239="","",IFERROR(INDEX(Attributes!$F$3:$F$52,MATCH(A239,Attributes!$A$3:$A$52,0))&amp;"","Unknown attribute"))</f>
        <v/>
      </c>
      <c r="I239">
        <f>IF(OR(A239="",B239=""),"",IF(AND(H239="Yes",D239&lt;&gt;"No"),"Yes","No"))</f>
        <v/>
      </c>
      <c r="J239">
        <f>IF(I239="Yes",COUNTIF($I$3:I239,"Yes"),"")</f>
        <v/>
      </c>
      <c r="K239">
        <f>IF(I239&lt;&gt;"Yes","",COUNTIFS($A$3:A239,SUBSTITUTE(SUBSTITUTE(A239,"?","~?"),"*","~*"),$I$3:I239,"Yes"))</f>
        <v/>
      </c>
      <c r="L239">
        <f>IF(K239="","",A239&amp;"|"&amp;K239)</f>
        <v/>
      </c>
      <c r="M239">
        <f>IF(I239&lt;&gt;"Yes","",COUNTIFS(Values!$A$3:$A$502,SUBSTITUTE(SUBSTITUTE(A239,"?","~?"),"*","~*"),Values!$I$3:$I$502,"Yes"))</f>
        <v/>
      </c>
      <c r="N239">
        <f>IF(I239&lt;&gt;"Yes","",IF(M239&lt;2,"",INDEX(Values!$B$3:$B$502,MATCH(A239&amp;"|"&amp;IF(K239=M239,1,K239+1),Values!$L$3:$L$502,0))))</f>
        <v/>
      </c>
      <c r="O239">
        <f>IF(N239="","",INDEX(Values!$J$3:$J$502,MATCH(A239&amp;"|"&amp;IF(K239=M239,1,K239+1),Values!$L$3:$L$502,0)))</f>
        <v/>
      </c>
    </row>
    <row r="240">
      <c r="H240">
        <f>IF(A240="","",IFERROR(INDEX(Attributes!$F$3:$F$52,MATCH(A240,Attributes!$A$3:$A$52,0))&amp;"","Unknown attribute"))</f>
        <v/>
      </c>
      <c r="I240">
        <f>IF(OR(A240="",B240=""),"",IF(AND(H240="Yes",D240&lt;&gt;"No"),"Yes","No"))</f>
        <v/>
      </c>
      <c r="J240">
        <f>IF(I240="Yes",COUNTIF($I$3:I240,"Yes"),"")</f>
        <v/>
      </c>
      <c r="K240">
        <f>IF(I240&lt;&gt;"Yes","",COUNTIFS($A$3:A240,SUBSTITUTE(SUBSTITUTE(A240,"?","~?"),"*","~*"),$I$3:I240,"Yes"))</f>
        <v/>
      </c>
      <c r="L240">
        <f>IF(K240="","",A240&amp;"|"&amp;K240)</f>
        <v/>
      </c>
      <c r="M240">
        <f>IF(I240&lt;&gt;"Yes","",COUNTIFS(Values!$A$3:$A$502,SUBSTITUTE(SUBSTITUTE(A240,"?","~?"),"*","~*"),Values!$I$3:$I$502,"Yes"))</f>
        <v/>
      </c>
      <c r="N240">
        <f>IF(I240&lt;&gt;"Yes","",IF(M240&lt;2,"",INDEX(Values!$B$3:$B$502,MATCH(A240&amp;"|"&amp;IF(K240=M240,1,K240+1),Values!$L$3:$L$502,0))))</f>
        <v/>
      </c>
      <c r="O240">
        <f>IF(N240="","",INDEX(Values!$J$3:$J$502,MATCH(A240&amp;"|"&amp;IF(K240=M240,1,K240+1),Values!$L$3:$L$502,0)))</f>
        <v/>
      </c>
    </row>
    <row r="241">
      <c r="H241">
        <f>IF(A241="","",IFERROR(INDEX(Attributes!$F$3:$F$52,MATCH(A241,Attributes!$A$3:$A$52,0))&amp;"","Unknown attribute"))</f>
        <v/>
      </c>
      <c r="I241">
        <f>IF(OR(A241="",B241=""),"",IF(AND(H241="Yes",D241&lt;&gt;"No"),"Yes","No"))</f>
        <v/>
      </c>
      <c r="J241">
        <f>IF(I241="Yes",COUNTIF($I$3:I241,"Yes"),"")</f>
        <v/>
      </c>
      <c r="K241">
        <f>IF(I241&lt;&gt;"Yes","",COUNTIFS($A$3:A241,SUBSTITUTE(SUBSTITUTE(A241,"?","~?"),"*","~*"),$I$3:I241,"Yes"))</f>
        <v/>
      </c>
      <c r="L241">
        <f>IF(K241="","",A241&amp;"|"&amp;K241)</f>
        <v/>
      </c>
      <c r="M241">
        <f>IF(I241&lt;&gt;"Yes","",COUNTIFS(Values!$A$3:$A$502,SUBSTITUTE(SUBSTITUTE(A241,"?","~?"),"*","~*"),Values!$I$3:$I$502,"Yes"))</f>
        <v/>
      </c>
      <c r="N241">
        <f>IF(I241&lt;&gt;"Yes","",IF(M241&lt;2,"",INDEX(Values!$B$3:$B$502,MATCH(A241&amp;"|"&amp;IF(K241=M241,1,K241+1),Values!$L$3:$L$502,0))))</f>
        <v/>
      </c>
      <c r="O241">
        <f>IF(N241="","",INDEX(Values!$J$3:$J$502,MATCH(A241&amp;"|"&amp;IF(K241=M241,1,K241+1),Values!$L$3:$L$502,0)))</f>
        <v/>
      </c>
    </row>
    <row r="242">
      <c r="H242">
        <f>IF(A242="","",IFERROR(INDEX(Attributes!$F$3:$F$52,MATCH(A242,Attributes!$A$3:$A$52,0))&amp;"","Unknown attribute"))</f>
        <v/>
      </c>
      <c r="I242">
        <f>IF(OR(A242="",B242=""),"",IF(AND(H242="Yes",D242&lt;&gt;"No"),"Yes","No"))</f>
        <v/>
      </c>
      <c r="J242">
        <f>IF(I242="Yes",COUNTIF($I$3:I242,"Yes"),"")</f>
        <v/>
      </c>
      <c r="K242">
        <f>IF(I242&lt;&gt;"Yes","",COUNTIFS($A$3:A242,SUBSTITUTE(SUBSTITUTE(A242,"?","~?"),"*","~*"),$I$3:I242,"Yes"))</f>
        <v/>
      </c>
      <c r="L242">
        <f>IF(K242="","",A242&amp;"|"&amp;K242)</f>
        <v/>
      </c>
      <c r="M242">
        <f>IF(I242&lt;&gt;"Yes","",COUNTIFS(Values!$A$3:$A$502,SUBSTITUTE(SUBSTITUTE(A242,"?","~?"),"*","~*"),Values!$I$3:$I$502,"Yes"))</f>
        <v/>
      </c>
      <c r="N242">
        <f>IF(I242&lt;&gt;"Yes","",IF(M242&lt;2,"",INDEX(Values!$B$3:$B$502,MATCH(A242&amp;"|"&amp;IF(K242=M242,1,K242+1),Values!$L$3:$L$502,0))))</f>
        <v/>
      </c>
      <c r="O242">
        <f>IF(N242="","",INDEX(Values!$J$3:$J$502,MATCH(A242&amp;"|"&amp;IF(K242=M242,1,K242+1),Values!$L$3:$L$502,0)))</f>
        <v/>
      </c>
    </row>
    <row r="243">
      <c r="H243">
        <f>IF(A243="","",IFERROR(INDEX(Attributes!$F$3:$F$52,MATCH(A243,Attributes!$A$3:$A$52,0))&amp;"","Unknown attribute"))</f>
        <v/>
      </c>
      <c r="I243">
        <f>IF(OR(A243="",B243=""),"",IF(AND(H243="Yes",D243&lt;&gt;"No"),"Yes","No"))</f>
        <v/>
      </c>
      <c r="J243">
        <f>IF(I243="Yes",COUNTIF($I$3:I243,"Yes"),"")</f>
        <v/>
      </c>
      <c r="K243">
        <f>IF(I243&lt;&gt;"Yes","",COUNTIFS($A$3:A243,SUBSTITUTE(SUBSTITUTE(A243,"?","~?"),"*","~*"),$I$3:I243,"Yes"))</f>
        <v/>
      </c>
      <c r="L243">
        <f>IF(K243="","",A243&amp;"|"&amp;K243)</f>
        <v/>
      </c>
      <c r="M243">
        <f>IF(I243&lt;&gt;"Yes","",COUNTIFS(Values!$A$3:$A$502,SUBSTITUTE(SUBSTITUTE(A243,"?","~?"),"*","~*"),Values!$I$3:$I$502,"Yes"))</f>
        <v/>
      </c>
      <c r="N243">
        <f>IF(I243&lt;&gt;"Yes","",IF(M243&lt;2,"",INDEX(Values!$B$3:$B$502,MATCH(A243&amp;"|"&amp;IF(K243=M243,1,K243+1),Values!$L$3:$L$502,0))))</f>
        <v/>
      </c>
      <c r="O243">
        <f>IF(N243="","",INDEX(Values!$J$3:$J$502,MATCH(A243&amp;"|"&amp;IF(K243=M243,1,K243+1),Values!$L$3:$L$502,0)))</f>
        <v/>
      </c>
    </row>
    <row r="244">
      <c r="H244">
        <f>IF(A244="","",IFERROR(INDEX(Attributes!$F$3:$F$52,MATCH(A244,Attributes!$A$3:$A$52,0))&amp;"","Unknown attribute"))</f>
        <v/>
      </c>
      <c r="I244">
        <f>IF(OR(A244="",B244=""),"",IF(AND(H244="Yes",D244&lt;&gt;"No"),"Yes","No"))</f>
        <v/>
      </c>
      <c r="J244">
        <f>IF(I244="Yes",COUNTIF($I$3:I244,"Yes"),"")</f>
        <v/>
      </c>
      <c r="K244">
        <f>IF(I244&lt;&gt;"Yes","",COUNTIFS($A$3:A244,SUBSTITUTE(SUBSTITUTE(A244,"?","~?"),"*","~*"),$I$3:I244,"Yes"))</f>
        <v/>
      </c>
      <c r="L244">
        <f>IF(K244="","",A244&amp;"|"&amp;K244)</f>
        <v/>
      </c>
      <c r="M244">
        <f>IF(I244&lt;&gt;"Yes","",COUNTIFS(Values!$A$3:$A$502,SUBSTITUTE(SUBSTITUTE(A244,"?","~?"),"*","~*"),Values!$I$3:$I$502,"Yes"))</f>
        <v/>
      </c>
      <c r="N244">
        <f>IF(I244&lt;&gt;"Yes","",IF(M244&lt;2,"",INDEX(Values!$B$3:$B$502,MATCH(A244&amp;"|"&amp;IF(K244=M244,1,K244+1),Values!$L$3:$L$502,0))))</f>
        <v/>
      </c>
      <c r="O244">
        <f>IF(N244="","",INDEX(Values!$J$3:$J$502,MATCH(A244&amp;"|"&amp;IF(K244=M244,1,K244+1),Values!$L$3:$L$502,0)))</f>
        <v/>
      </c>
    </row>
    <row r="245">
      <c r="H245">
        <f>IF(A245="","",IFERROR(INDEX(Attributes!$F$3:$F$52,MATCH(A245,Attributes!$A$3:$A$52,0))&amp;"","Unknown attribute"))</f>
        <v/>
      </c>
      <c r="I245">
        <f>IF(OR(A245="",B245=""),"",IF(AND(H245="Yes",D245&lt;&gt;"No"),"Yes","No"))</f>
        <v/>
      </c>
      <c r="J245">
        <f>IF(I245="Yes",COUNTIF($I$3:I245,"Yes"),"")</f>
        <v/>
      </c>
      <c r="K245">
        <f>IF(I245&lt;&gt;"Yes","",COUNTIFS($A$3:A245,SUBSTITUTE(SUBSTITUTE(A245,"?","~?"),"*","~*"),$I$3:I245,"Yes"))</f>
        <v/>
      </c>
      <c r="L245">
        <f>IF(K245="","",A245&amp;"|"&amp;K245)</f>
        <v/>
      </c>
      <c r="M245">
        <f>IF(I245&lt;&gt;"Yes","",COUNTIFS(Values!$A$3:$A$502,SUBSTITUTE(SUBSTITUTE(A245,"?","~?"),"*","~*"),Values!$I$3:$I$502,"Yes"))</f>
        <v/>
      </c>
      <c r="N245">
        <f>IF(I245&lt;&gt;"Yes","",IF(M245&lt;2,"",INDEX(Values!$B$3:$B$502,MATCH(A245&amp;"|"&amp;IF(K245=M245,1,K245+1),Values!$L$3:$L$502,0))))</f>
        <v/>
      </c>
      <c r="O245">
        <f>IF(N245="","",INDEX(Values!$J$3:$J$502,MATCH(A245&amp;"|"&amp;IF(K245=M245,1,K245+1),Values!$L$3:$L$502,0)))</f>
        <v/>
      </c>
    </row>
    <row r="246">
      <c r="H246">
        <f>IF(A246="","",IFERROR(INDEX(Attributes!$F$3:$F$52,MATCH(A246,Attributes!$A$3:$A$52,0))&amp;"","Unknown attribute"))</f>
        <v/>
      </c>
      <c r="I246">
        <f>IF(OR(A246="",B246=""),"",IF(AND(H246="Yes",D246&lt;&gt;"No"),"Yes","No"))</f>
        <v/>
      </c>
      <c r="J246">
        <f>IF(I246="Yes",COUNTIF($I$3:I246,"Yes"),"")</f>
        <v/>
      </c>
      <c r="K246">
        <f>IF(I246&lt;&gt;"Yes","",COUNTIFS($A$3:A246,SUBSTITUTE(SUBSTITUTE(A246,"?","~?"),"*","~*"),$I$3:I246,"Yes"))</f>
        <v/>
      </c>
      <c r="L246">
        <f>IF(K246="","",A246&amp;"|"&amp;K246)</f>
        <v/>
      </c>
      <c r="M246">
        <f>IF(I246&lt;&gt;"Yes","",COUNTIFS(Values!$A$3:$A$502,SUBSTITUTE(SUBSTITUTE(A246,"?","~?"),"*","~*"),Values!$I$3:$I$502,"Yes"))</f>
        <v/>
      </c>
      <c r="N246">
        <f>IF(I246&lt;&gt;"Yes","",IF(M246&lt;2,"",INDEX(Values!$B$3:$B$502,MATCH(A246&amp;"|"&amp;IF(K246=M246,1,K246+1),Values!$L$3:$L$502,0))))</f>
        <v/>
      </c>
      <c r="O246">
        <f>IF(N246="","",INDEX(Values!$J$3:$J$502,MATCH(A246&amp;"|"&amp;IF(K246=M246,1,K246+1),Values!$L$3:$L$502,0)))</f>
        <v/>
      </c>
    </row>
    <row r="247">
      <c r="H247">
        <f>IF(A247="","",IFERROR(INDEX(Attributes!$F$3:$F$52,MATCH(A247,Attributes!$A$3:$A$52,0))&amp;"","Unknown attribute"))</f>
        <v/>
      </c>
      <c r="I247">
        <f>IF(OR(A247="",B247=""),"",IF(AND(H247="Yes",D247&lt;&gt;"No"),"Yes","No"))</f>
        <v/>
      </c>
      <c r="J247">
        <f>IF(I247="Yes",COUNTIF($I$3:I247,"Yes"),"")</f>
        <v/>
      </c>
      <c r="K247">
        <f>IF(I247&lt;&gt;"Yes","",COUNTIFS($A$3:A247,SUBSTITUTE(SUBSTITUTE(A247,"?","~?"),"*","~*"),$I$3:I247,"Yes"))</f>
        <v/>
      </c>
      <c r="L247">
        <f>IF(K247="","",A247&amp;"|"&amp;K247)</f>
        <v/>
      </c>
      <c r="M247">
        <f>IF(I247&lt;&gt;"Yes","",COUNTIFS(Values!$A$3:$A$502,SUBSTITUTE(SUBSTITUTE(A247,"?","~?"),"*","~*"),Values!$I$3:$I$502,"Yes"))</f>
        <v/>
      </c>
      <c r="N247">
        <f>IF(I247&lt;&gt;"Yes","",IF(M247&lt;2,"",INDEX(Values!$B$3:$B$502,MATCH(A247&amp;"|"&amp;IF(K247=M247,1,K247+1),Values!$L$3:$L$502,0))))</f>
        <v/>
      </c>
      <c r="O247">
        <f>IF(N247="","",INDEX(Values!$J$3:$J$502,MATCH(A247&amp;"|"&amp;IF(K247=M247,1,K247+1),Values!$L$3:$L$502,0)))</f>
        <v/>
      </c>
    </row>
    <row r="248">
      <c r="H248">
        <f>IF(A248="","",IFERROR(INDEX(Attributes!$F$3:$F$52,MATCH(A248,Attributes!$A$3:$A$52,0))&amp;"","Unknown attribute"))</f>
        <v/>
      </c>
      <c r="I248">
        <f>IF(OR(A248="",B248=""),"",IF(AND(H248="Yes",D248&lt;&gt;"No"),"Yes","No"))</f>
        <v/>
      </c>
      <c r="J248">
        <f>IF(I248="Yes",COUNTIF($I$3:I248,"Yes"),"")</f>
        <v/>
      </c>
      <c r="K248">
        <f>IF(I248&lt;&gt;"Yes","",COUNTIFS($A$3:A248,SUBSTITUTE(SUBSTITUTE(A248,"?","~?"),"*","~*"),$I$3:I248,"Yes"))</f>
        <v/>
      </c>
      <c r="L248">
        <f>IF(K248="","",A248&amp;"|"&amp;K248)</f>
        <v/>
      </c>
      <c r="M248">
        <f>IF(I248&lt;&gt;"Yes","",COUNTIFS(Values!$A$3:$A$502,SUBSTITUTE(SUBSTITUTE(A248,"?","~?"),"*","~*"),Values!$I$3:$I$502,"Yes"))</f>
        <v/>
      </c>
      <c r="N248">
        <f>IF(I248&lt;&gt;"Yes","",IF(M248&lt;2,"",INDEX(Values!$B$3:$B$502,MATCH(A248&amp;"|"&amp;IF(K248=M248,1,K248+1),Values!$L$3:$L$502,0))))</f>
        <v/>
      </c>
      <c r="O248">
        <f>IF(N248="","",INDEX(Values!$J$3:$J$502,MATCH(A248&amp;"|"&amp;IF(K248=M248,1,K248+1),Values!$L$3:$L$502,0)))</f>
        <v/>
      </c>
    </row>
    <row r="249">
      <c r="H249">
        <f>IF(A249="","",IFERROR(INDEX(Attributes!$F$3:$F$52,MATCH(A249,Attributes!$A$3:$A$52,0))&amp;"","Unknown attribute"))</f>
        <v/>
      </c>
      <c r="I249">
        <f>IF(OR(A249="",B249=""),"",IF(AND(H249="Yes",D249&lt;&gt;"No"),"Yes","No"))</f>
        <v/>
      </c>
      <c r="J249">
        <f>IF(I249="Yes",COUNTIF($I$3:I249,"Yes"),"")</f>
        <v/>
      </c>
      <c r="K249">
        <f>IF(I249&lt;&gt;"Yes","",COUNTIFS($A$3:A249,SUBSTITUTE(SUBSTITUTE(A249,"?","~?"),"*","~*"),$I$3:I249,"Yes"))</f>
        <v/>
      </c>
      <c r="L249">
        <f>IF(K249="","",A249&amp;"|"&amp;K249)</f>
        <v/>
      </c>
      <c r="M249">
        <f>IF(I249&lt;&gt;"Yes","",COUNTIFS(Values!$A$3:$A$502,SUBSTITUTE(SUBSTITUTE(A249,"?","~?"),"*","~*"),Values!$I$3:$I$502,"Yes"))</f>
        <v/>
      </c>
      <c r="N249">
        <f>IF(I249&lt;&gt;"Yes","",IF(M249&lt;2,"",INDEX(Values!$B$3:$B$502,MATCH(A249&amp;"|"&amp;IF(K249=M249,1,K249+1),Values!$L$3:$L$502,0))))</f>
        <v/>
      </c>
      <c r="O249">
        <f>IF(N249="","",INDEX(Values!$J$3:$J$502,MATCH(A249&amp;"|"&amp;IF(K249=M249,1,K249+1),Values!$L$3:$L$502,0)))</f>
        <v/>
      </c>
    </row>
    <row r="250">
      <c r="H250">
        <f>IF(A250="","",IFERROR(INDEX(Attributes!$F$3:$F$52,MATCH(A250,Attributes!$A$3:$A$52,0))&amp;"","Unknown attribute"))</f>
        <v/>
      </c>
      <c r="I250">
        <f>IF(OR(A250="",B250=""),"",IF(AND(H250="Yes",D250&lt;&gt;"No"),"Yes","No"))</f>
        <v/>
      </c>
      <c r="J250">
        <f>IF(I250="Yes",COUNTIF($I$3:I250,"Yes"),"")</f>
        <v/>
      </c>
      <c r="K250">
        <f>IF(I250&lt;&gt;"Yes","",COUNTIFS($A$3:A250,SUBSTITUTE(SUBSTITUTE(A250,"?","~?"),"*","~*"),$I$3:I250,"Yes"))</f>
        <v/>
      </c>
      <c r="L250">
        <f>IF(K250="","",A250&amp;"|"&amp;K250)</f>
        <v/>
      </c>
      <c r="M250">
        <f>IF(I250&lt;&gt;"Yes","",COUNTIFS(Values!$A$3:$A$502,SUBSTITUTE(SUBSTITUTE(A250,"?","~?"),"*","~*"),Values!$I$3:$I$502,"Yes"))</f>
        <v/>
      </c>
      <c r="N250">
        <f>IF(I250&lt;&gt;"Yes","",IF(M250&lt;2,"",INDEX(Values!$B$3:$B$502,MATCH(A250&amp;"|"&amp;IF(K250=M250,1,K250+1),Values!$L$3:$L$502,0))))</f>
        <v/>
      </c>
      <c r="O250">
        <f>IF(N250="","",INDEX(Values!$J$3:$J$502,MATCH(A250&amp;"|"&amp;IF(K250=M250,1,K250+1),Values!$L$3:$L$502,0)))</f>
        <v/>
      </c>
    </row>
    <row r="251">
      <c r="H251">
        <f>IF(A251="","",IFERROR(INDEX(Attributes!$F$3:$F$52,MATCH(A251,Attributes!$A$3:$A$52,0))&amp;"","Unknown attribute"))</f>
        <v/>
      </c>
      <c r="I251">
        <f>IF(OR(A251="",B251=""),"",IF(AND(H251="Yes",D251&lt;&gt;"No"),"Yes","No"))</f>
        <v/>
      </c>
      <c r="J251">
        <f>IF(I251="Yes",COUNTIF($I$3:I251,"Yes"),"")</f>
        <v/>
      </c>
      <c r="K251">
        <f>IF(I251&lt;&gt;"Yes","",COUNTIFS($A$3:A251,SUBSTITUTE(SUBSTITUTE(A251,"?","~?"),"*","~*"),$I$3:I251,"Yes"))</f>
        <v/>
      </c>
      <c r="L251">
        <f>IF(K251="","",A251&amp;"|"&amp;K251)</f>
        <v/>
      </c>
      <c r="M251">
        <f>IF(I251&lt;&gt;"Yes","",COUNTIFS(Values!$A$3:$A$502,SUBSTITUTE(SUBSTITUTE(A251,"?","~?"),"*","~*"),Values!$I$3:$I$502,"Yes"))</f>
        <v/>
      </c>
      <c r="N251">
        <f>IF(I251&lt;&gt;"Yes","",IF(M251&lt;2,"",INDEX(Values!$B$3:$B$502,MATCH(A251&amp;"|"&amp;IF(K251=M251,1,K251+1),Values!$L$3:$L$502,0))))</f>
        <v/>
      </c>
      <c r="O251">
        <f>IF(N251="","",INDEX(Values!$J$3:$J$502,MATCH(A251&amp;"|"&amp;IF(K251=M251,1,K251+1),Values!$L$3:$L$502,0)))</f>
        <v/>
      </c>
    </row>
    <row r="252">
      <c r="H252">
        <f>IF(A252="","",IFERROR(INDEX(Attributes!$F$3:$F$52,MATCH(A252,Attributes!$A$3:$A$52,0))&amp;"","Unknown attribute"))</f>
        <v/>
      </c>
      <c r="I252">
        <f>IF(OR(A252="",B252=""),"",IF(AND(H252="Yes",D252&lt;&gt;"No"),"Yes","No"))</f>
        <v/>
      </c>
      <c r="J252">
        <f>IF(I252="Yes",COUNTIF($I$3:I252,"Yes"),"")</f>
        <v/>
      </c>
      <c r="K252">
        <f>IF(I252&lt;&gt;"Yes","",COUNTIFS($A$3:A252,SUBSTITUTE(SUBSTITUTE(A252,"?","~?"),"*","~*"),$I$3:I252,"Yes"))</f>
        <v/>
      </c>
      <c r="L252">
        <f>IF(K252="","",A252&amp;"|"&amp;K252)</f>
        <v/>
      </c>
      <c r="M252">
        <f>IF(I252&lt;&gt;"Yes","",COUNTIFS(Values!$A$3:$A$502,SUBSTITUTE(SUBSTITUTE(A252,"?","~?"),"*","~*"),Values!$I$3:$I$502,"Yes"))</f>
        <v/>
      </c>
      <c r="N252">
        <f>IF(I252&lt;&gt;"Yes","",IF(M252&lt;2,"",INDEX(Values!$B$3:$B$502,MATCH(A252&amp;"|"&amp;IF(K252=M252,1,K252+1),Values!$L$3:$L$502,0))))</f>
        <v/>
      </c>
      <c r="O252">
        <f>IF(N252="","",INDEX(Values!$J$3:$J$502,MATCH(A252&amp;"|"&amp;IF(K252=M252,1,K252+1),Values!$L$3:$L$502,0)))</f>
        <v/>
      </c>
    </row>
    <row r="253">
      <c r="H253">
        <f>IF(A253="","",IFERROR(INDEX(Attributes!$F$3:$F$52,MATCH(A253,Attributes!$A$3:$A$52,0))&amp;"","Unknown attribute"))</f>
        <v/>
      </c>
      <c r="I253">
        <f>IF(OR(A253="",B253=""),"",IF(AND(H253="Yes",D253&lt;&gt;"No"),"Yes","No"))</f>
        <v/>
      </c>
      <c r="J253">
        <f>IF(I253="Yes",COUNTIF($I$3:I253,"Yes"),"")</f>
        <v/>
      </c>
      <c r="K253">
        <f>IF(I253&lt;&gt;"Yes","",COUNTIFS($A$3:A253,SUBSTITUTE(SUBSTITUTE(A253,"?","~?"),"*","~*"),$I$3:I253,"Yes"))</f>
        <v/>
      </c>
      <c r="L253">
        <f>IF(K253="","",A253&amp;"|"&amp;K253)</f>
        <v/>
      </c>
      <c r="M253">
        <f>IF(I253&lt;&gt;"Yes","",COUNTIFS(Values!$A$3:$A$502,SUBSTITUTE(SUBSTITUTE(A253,"?","~?"),"*","~*"),Values!$I$3:$I$502,"Yes"))</f>
        <v/>
      </c>
      <c r="N253">
        <f>IF(I253&lt;&gt;"Yes","",IF(M253&lt;2,"",INDEX(Values!$B$3:$B$502,MATCH(A253&amp;"|"&amp;IF(K253=M253,1,K253+1),Values!$L$3:$L$502,0))))</f>
        <v/>
      </c>
      <c r="O253">
        <f>IF(N253="","",INDEX(Values!$J$3:$J$502,MATCH(A253&amp;"|"&amp;IF(K253=M253,1,K253+1),Values!$L$3:$L$502,0)))</f>
        <v/>
      </c>
    </row>
    <row r="254">
      <c r="H254">
        <f>IF(A254="","",IFERROR(INDEX(Attributes!$F$3:$F$52,MATCH(A254,Attributes!$A$3:$A$52,0))&amp;"","Unknown attribute"))</f>
        <v/>
      </c>
      <c r="I254">
        <f>IF(OR(A254="",B254=""),"",IF(AND(H254="Yes",D254&lt;&gt;"No"),"Yes","No"))</f>
        <v/>
      </c>
      <c r="J254">
        <f>IF(I254="Yes",COUNTIF($I$3:I254,"Yes"),"")</f>
        <v/>
      </c>
      <c r="K254">
        <f>IF(I254&lt;&gt;"Yes","",COUNTIFS($A$3:A254,SUBSTITUTE(SUBSTITUTE(A254,"?","~?"),"*","~*"),$I$3:I254,"Yes"))</f>
        <v/>
      </c>
      <c r="L254">
        <f>IF(K254="","",A254&amp;"|"&amp;K254)</f>
        <v/>
      </c>
      <c r="M254">
        <f>IF(I254&lt;&gt;"Yes","",COUNTIFS(Values!$A$3:$A$502,SUBSTITUTE(SUBSTITUTE(A254,"?","~?"),"*","~*"),Values!$I$3:$I$502,"Yes"))</f>
        <v/>
      </c>
      <c r="N254">
        <f>IF(I254&lt;&gt;"Yes","",IF(M254&lt;2,"",INDEX(Values!$B$3:$B$502,MATCH(A254&amp;"|"&amp;IF(K254=M254,1,K254+1),Values!$L$3:$L$502,0))))</f>
        <v/>
      </c>
      <c r="O254">
        <f>IF(N254="","",INDEX(Values!$J$3:$J$502,MATCH(A254&amp;"|"&amp;IF(K254=M254,1,K254+1),Values!$L$3:$L$502,0)))</f>
        <v/>
      </c>
    </row>
    <row r="255">
      <c r="H255">
        <f>IF(A255="","",IFERROR(INDEX(Attributes!$F$3:$F$52,MATCH(A255,Attributes!$A$3:$A$52,0))&amp;"","Unknown attribute"))</f>
        <v/>
      </c>
      <c r="I255">
        <f>IF(OR(A255="",B255=""),"",IF(AND(H255="Yes",D255&lt;&gt;"No"),"Yes","No"))</f>
        <v/>
      </c>
      <c r="J255">
        <f>IF(I255="Yes",COUNTIF($I$3:I255,"Yes"),"")</f>
        <v/>
      </c>
      <c r="K255">
        <f>IF(I255&lt;&gt;"Yes","",COUNTIFS($A$3:A255,SUBSTITUTE(SUBSTITUTE(A255,"?","~?"),"*","~*"),$I$3:I255,"Yes"))</f>
        <v/>
      </c>
      <c r="L255">
        <f>IF(K255="","",A255&amp;"|"&amp;K255)</f>
        <v/>
      </c>
      <c r="M255">
        <f>IF(I255&lt;&gt;"Yes","",COUNTIFS(Values!$A$3:$A$502,SUBSTITUTE(SUBSTITUTE(A255,"?","~?"),"*","~*"),Values!$I$3:$I$502,"Yes"))</f>
        <v/>
      </c>
      <c r="N255">
        <f>IF(I255&lt;&gt;"Yes","",IF(M255&lt;2,"",INDEX(Values!$B$3:$B$502,MATCH(A255&amp;"|"&amp;IF(K255=M255,1,K255+1),Values!$L$3:$L$502,0))))</f>
        <v/>
      </c>
      <c r="O255">
        <f>IF(N255="","",INDEX(Values!$J$3:$J$502,MATCH(A255&amp;"|"&amp;IF(K255=M255,1,K255+1),Values!$L$3:$L$502,0)))</f>
        <v/>
      </c>
    </row>
    <row r="256">
      <c r="H256">
        <f>IF(A256="","",IFERROR(INDEX(Attributes!$F$3:$F$52,MATCH(A256,Attributes!$A$3:$A$52,0))&amp;"","Unknown attribute"))</f>
        <v/>
      </c>
      <c r="I256">
        <f>IF(OR(A256="",B256=""),"",IF(AND(H256="Yes",D256&lt;&gt;"No"),"Yes","No"))</f>
        <v/>
      </c>
      <c r="J256">
        <f>IF(I256="Yes",COUNTIF($I$3:I256,"Yes"),"")</f>
        <v/>
      </c>
      <c r="K256">
        <f>IF(I256&lt;&gt;"Yes","",COUNTIFS($A$3:A256,SUBSTITUTE(SUBSTITUTE(A256,"?","~?"),"*","~*"),$I$3:I256,"Yes"))</f>
        <v/>
      </c>
      <c r="L256">
        <f>IF(K256="","",A256&amp;"|"&amp;K256)</f>
        <v/>
      </c>
      <c r="M256">
        <f>IF(I256&lt;&gt;"Yes","",COUNTIFS(Values!$A$3:$A$502,SUBSTITUTE(SUBSTITUTE(A256,"?","~?"),"*","~*"),Values!$I$3:$I$502,"Yes"))</f>
        <v/>
      </c>
      <c r="N256">
        <f>IF(I256&lt;&gt;"Yes","",IF(M256&lt;2,"",INDEX(Values!$B$3:$B$502,MATCH(A256&amp;"|"&amp;IF(K256=M256,1,K256+1),Values!$L$3:$L$502,0))))</f>
        <v/>
      </c>
      <c r="O256">
        <f>IF(N256="","",INDEX(Values!$J$3:$J$502,MATCH(A256&amp;"|"&amp;IF(K256=M256,1,K256+1),Values!$L$3:$L$502,0)))</f>
        <v/>
      </c>
    </row>
    <row r="257">
      <c r="H257">
        <f>IF(A257="","",IFERROR(INDEX(Attributes!$F$3:$F$52,MATCH(A257,Attributes!$A$3:$A$52,0))&amp;"","Unknown attribute"))</f>
        <v/>
      </c>
      <c r="I257">
        <f>IF(OR(A257="",B257=""),"",IF(AND(H257="Yes",D257&lt;&gt;"No"),"Yes","No"))</f>
        <v/>
      </c>
      <c r="J257">
        <f>IF(I257="Yes",COUNTIF($I$3:I257,"Yes"),"")</f>
        <v/>
      </c>
      <c r="K257">
        <f>IF(I257&lt;&gt;"Yes","",COUNTIFS($A$3:A257,SUBSTITUTE(SUBSTITUTE(A257,"?","~?"),"*","~*"),$I$3:I257,"Yes"))</f>
        <v/>
      </c>
      <c r="L257">
        <f>IF(K257="","",A257&amp;"|"&amp;K257)</f>
        <v/>
      </c>
      <c r="M257">
        <f>IF(I257&lt;&gt;"Yes","",COUNTIFS(Values!$A$3:$A$502,SUBSTITUTE(SUBSTITUTE(A257,"?","~?"),"*","~*"),Values!$I$3:$I$502,"Yes"))</f>
        <v/>
      </c>
      <c r="N257">
        <f>IF(I257&lt;&gt;"Yes","",IF(M257&lt;2,"",INDEX(Values!$B$3:$B$502,MATCH(A257&amp;"|"&amp;IF(K257=M257,1,K257+1),Values!$L$3:$L$502,0))))</f>
        <v/>
      </c>
      <c r="O257">
        <f>IF(N257="","",INDEX(Values!$J$3:$J$502,MATCH(A257&amp;"|"&amp;IF(K257=M257,1,K257+1),Values!$L$3:$L$502,0)))</f>
        <v/>
      </c>
    </row>
    <row r="258">
      <c r="H258">
        <f>IF(A258="","",IFERROR(INDEX(Attributes!$F$3:$F$52,MATCH(A258,Attributes!$A$3:$A$52,0))&amp;"","Unknown attribute"))</f>
        <v/>
      </c>
      <c r="I258">
        <f>IF(OR(A258="",B258=""),"",IF(AND(H258="Yes",D258&lt;&gt;"No"),"Yes","No"))</f>
        <v/>
      </c>
      <c r="J258">
        <f>IF(I258="Yes",COUNTIF($I$3:I258,"Yes"),"")</f>
        <v/>
      </c>
      <c r="K258">
        <f>IF(I258&lt;&gt;"Yes","",COUNTIFS($A$3:A258,SUBSTITUTE(SUBSTITUTE(A258,"?","~?"),"*","~*"),$I$3:I258,"Yes"))</f>
        <v/>
      </c>
      <c r="L258">
        <f>IF(K258="","",A258&amp;"|"&amp;K258)</f>
        <v/>
      </c>
      <c r="M258">
        <f>IF(I258&lt;&gt;"Yes","",COUNTIFS(Values!$A$3:$A$502,SUBSTITUTE(SUBSTITUTE(A258,"?","~?"),"*","~*"),Values!$I$3:$I$502,"Yes"))</f>
        <v/>
      </c>
      <c r="N258">
        <f>IF(I258&lt;&gt;"Yes","",IF(M258&lt;2,"",INDEX(Values!$B$3:$B$502,MATCH(A258&amp;"|"&amp;IF(K258=M258,1,K258+1),Values!$L$3:$L$502,0))))</f>
        <v/>
      </c>
      <c r="O258">
        <f>IF(N258="","",INDEX(Values!$J$3:$J$502,MATCH(A258&amp;"|"&amp;IF(K258=M258,1,K258+1),Values!$L$3:$L$502,0)))</f>
        <v/>
      </c>
    </row>
    <row r="259">
      <c r="H259">
        <f>IF(A259="","",IFERROR(INDEX(Attributes!$F$3:$F$52,MATCH(A259,Attributes!$A$3:$A$52,0))&amp;"","Unknown attribute"))</f>
        <v/>
      </c>
      <c r="I259">
        <f>IF(OR(A259="",B259=""),"",IF(AND(H259="Yes",D259&lt;&gt;"No"),"Yes","No"))</f>
        <v/>
      </c>
      <c r="J259">
        <f>IF(I259="Yes",COUNTIF($I$3:I259,"Yes"),"")</f>
        <v/>
      </c>
      <c r="K259">
        <f>IF(I259&lt;&gt;"Yes","",COUNTIFS($A$3:A259,SUBSTITUTE(SUBSTITUTE(A259,"?","~?"),"*","~*"),$I$3:I259,"Yes"))</f>
        <v/>
      </c>
      <c r="L259">
        <f>IF(K259="","",A259&amp;"|"&amp;K259)</f>
        <v/>
      </c>
      <c r="M259">
        <f>IF(I259&lt;&gt;"Yes","",COUNTIFS(Values!$A$3:$A$502,SUBSTITUTE(SUBSTITUTE(A259,"?","~?"),"*","~*"),Values!$I$3:$I$502,"Yes"))</f>
        <v/>
      </c>
      <c r="N259">
        <f>IF(I259&lt;&gt;"Yes","",IF(M259&lt;2,"",INDEX(Values!$B$3:$B$502,MATCH(A259&amp;"|"&amp;IF(K259=M259,1,K259+1),Values!$L$3:$L$502,0))))</f>
        <v/>
      </c>
      <c r="O259">
        <f>IF(N259="","",INDEX(Values!$J$3:$J$502,MATCH(A259&amp;"|"&amp;IF(K259=M259,1,K259+1),Values!$L$3:$L$502,0)))</f>
        <v/>
      </c>
    </row>
    <row r="260">
      <c r="H260">
        <f>IF(A260="","",IFERROR(INDEX(Attributes!$F$3:$F$52,MATCH(A260,Attributes!$A$3:$A$52,0))&amp;"","Unknown attribute"))</f>
        <v/>
      </c>
      <c r="I260">
        <f>IF(OR(A260="",B260=""),"",IF(AND(H260="Yes",D260&lt;&gt;"No"),"Yes","No"))</f>
        <v/>
      </c>
      <c r="J260">
        <f>IF(I260="Yes",COUNTIF($I$3:I260,"Yes"),"")</f>
        <v/>
      </c>
      <c r="K260">
        <f>IF(I260&lt;&gt;"Yes","",COUNTIFS($A$3:A260,SUBSTITUTE(SUBSTITUTE(A260,"?","~?"),"*","~*"),$I$3:I260,"Yes"))</f>
        <v/>
      </c>
      <c r="L260">
        <f>IF(K260="","",A260&amp;"|"&amp;K260)</f>
        <v/>
      </c>
      <c r="M260">
        <f>IF(I260&lt;&gt;"Yes","",COUNTIFS(Values!$A$3:$A$502,SUBSTITUTE(SUBSTITUTE(A260,"?","~?"),"*","~*"),Values!$I$3:$I$502,"Yes"))</f>
        <v/>
      </c>
      <c r="N260">
        <f>IF(I260&lt;&gt;"Yes","",IF(M260&lt;2,"",INDEX(Values!$B$3:$B$502,MATCH(A260&amp;"|"&amp;IF(K260=M260,1,K260+1),Values!$L$3:$L$502,0))))</f>
        <v/>
      </c>
      <c r="O260">
        <f>IF(N260="","",INDEX(Values!$J$3:$J$502,MATCH(A260&amp;"|"&amp;IF(K260=M260,1,K260+1),Values!$L$3:$L$502,0)))</f>
        <v/>
      </c>
    </row>
    <row r="261">
      <c r="H261">
        <f>IF(A261="","",IFERROR(INDEX(Attributes!$F$3:$F$52,MATCH(A261,Attributes!$A$3:$A$52,0))&amp;"","Unknown attribute"))</f>
        <v/>
      </c>
      <c r="I261">
        <f>IF(OR(A261="",B261=""),"",IF(AND(H261="Yes",D261&lt;&gt;"No"),"Yes","No"))</f>
        <v/>
      </c>
      <c r="J261">
        <f>IF(I261="Yes",COUNTIF($I$3:I261,"Yes"),"")</f>
        <v/>
      </c>
      <c r="K261">
        <f>IF(I261&lt;&gt;"Yes","",COUNTIFS($A$3:A261,SUBSTITUTE(SUBSTITUTE(A261,"?","~?"),"*","~*"),$I$3:I261,"Yes"))</f>
        <v/>
      </c>
      <c r="L261">
        <f>IF(K261="","",A261&amp;"|"&amp;K261)</f>
        <v/>
      </c>
      <c r="M261">
        <f>IF(I261&lt;&gt;"Yes","",COUNTIFS(Values!$A$3:$A$502,SUBSTITUTE(SUBSTITUTE(A261,"?","~?"),"*","~*"),Values!$I$3:$I$502,"Yes"))</f>
        <v/>
      </c>
      <c r="N261">
        <f>IF(I261&lt;&gt;"Yes","",IF(M261&lt;2,"",INDEX(Values!$B$3:$B$502,MATCH(A261&amp;"|"&amp;IF(K261=M261,1,K261+1),Values!$L$3:$L$502,0))))</f>
        <v/>
      </c>
      <c r="O261">
        <f>IF(N261="","",INDEX(Values!$J$3:$J$502,MATCH(A261&amp;"|"&amp;IF(K261=M261,1,K261+1),Values!$L$3:$L$502,0)))</f>
        <v/>
      </c>
    </row>
    <row r="262">
      <c r="H262">
        <f>IF(A262="","",IFERROR(INDEX(Attributes!$F$3:$F$52,MATCH(A262,Attributes!$A$3:$A$52,0))&amp;"","Unknown attribute"))</f>
        <v/>
      </c>
      <c r="I262">
        <f>IF(OR(A262="",B262=""),"",IF(AND(H262="Yes",D262&lt;&gt;"No"),"Yes","No"))</f>
        <v/>
      </c>
      <c r="J262">
        <f>IF(I262="Yes",COUNTIF($I$3:I262,"Yes"),"")</f>
        <v/>
      </c>
      <c r="K262">
        <f>IF(I262&lt;&gt;"Yes","",COUNTIFS($A$3:A262,SUBSTITUTE(SUBSTITUTE(A262,"?","~?"),"*","~*"),$I$3:I262,"Yes"))</f>
        <v/>
      </c>
      <c r="L262">
        <f>IF(K262="","",A262&amp;"|"&amp;K262)</f>
        <v/>
      </c>
      <c r="M262">
        <f>IF(I262&lt;&gt;"Yes","",COUNTIFS(Values!$A$3:$A$502,SUBSTITUTE(SUBSTITUTE(A262,"?","~?"),"*","~*"),Values!$I$3:$I$502,"Yes"))</f>
        <v/>
      </c>
      <c r="N262">
        <f>IF(I262&lt;&gt;"Yes","",IF(M262&lt;2,"",INDEX(Values!$B$3:$B$502,MATCH(A262&amp;"|"&amp;IF(K262=M262,1,K262+1),Values!$L$3:$L$502,0))))</f>
        <v/>
      </c>
      <c r="O262">
        <f>IF(N262="","",INDEX(Values!$J$3:$J$502,MATCH(A262&amp;"|"&amp;IF(K262=M262,1,K262+1),Values!$L$3:$L$502,0)))</f>
        <v/>
      </c>
    </row>
    <row r="263">
      <c r="H263">
        <f>IF(A263="","",IFERROR(INDEX(Attributes!$F$3:$F$52,MATCH(A263,Attributes!$A$3:$A$52,0))&amp;"","Unknown attribute"))</f>
        <v/>
      </c>
      <c r="I263">
        <f>IF(OR(A263="",B263=""),"",IF(AND(H263="Yes",D263&lt;&gt;"No"),"Yes","No"))</f>
        <v/>
      </c>
      <c r="J263">
        <f>IF(I263="Yes",COUNTIF($I$3:I263,"Yes"),"")</f>
        <v/>
      </c>
      <c r="K263">
        <f>IF(I263&lt;&gt;"Yes","",COUNTIFS($A$3:A263,SUBSTITUTE(SUBSTITUTE(A263,"?","~?"),"*","~*"),$I$3:I263,"Yes"))</f>
        <v/>
      </c>
      <c r="L263">
        <f>IF(K263="","",A263&amp;"|"&amp;K263)</f>
        <v/>
      </c>
      <c r="M263">
        <f>IF(I263&lt;&gt;"Yes","",COUNTIFS(Values!$A$3:$A$502,SUBSTITUTE(SUBSTITUTE(A263,"?","~?"),"*","~*"),Values!$I$3:$I$502,"Yes"))</f>
        <v/>
      </c>
      <c r="N263">
        <f>IF(I263&lt;&gt;"Yes","",IF(M263&lt;2,"",INDEX(Values!$B$3:$B$502,MATCH(A263&amp;"|"&amp;IF(K263=M263,1,K263+1),Values!$L$3:$L$502,0))))</f>
        <v/>
      </c>
      <c r="O263">
        <f>IF(N263="","",INDEX(Values!$J$3:$J$502,MATCH(A263&amp;"|"&amp;IF(K263=M263,1,K263+1),Values!$L$3:$L$502,0)))</f>
        <v/>
      </c>
    </row>
    <row r="264">
      <c r="H264">
        <f>IF(A264="","",IFERROR(INDEX(Attributes!$F$3:$F$52,MATCH(A264,Attributes!$A$3:$A$52,0))&amp;"","Unknown attribute"))</f>
        <v/>
      </c>
      <c r="I264">
        <f>IF(OR(A264="",B264=""),"",IF(AND(H264="Yes",D264&lt;&gt;"No"),"Yes","No"))</f>
        <v/>
      </c>
      <c r="J264">
        <f>IF(I264="Yes",COUNTIF($I$3:I264,"Yes"),"")</f>
        <v/>
      </c>
      <c r="K264">
        <f>IF(I264&lt;&gt;"Yes","",COUNTIFS($A$3:A264,SUBSTITUTE(SUBSTITUTE(A264,"?","~?"),"*","~*"),$I$3:I264,"Yes"))</f>
        <v/>
      </c>
      <c r="L264">
        <f>IF(K264="","",A264&amp;"|"&amp;K264)</f>
        <v/>
      </c>
      <c r="M264">
        <f>IF(I264&lt;&gt;"Yes","",COUNTIFS(Values!$A$3:$A$502,SUBSTITUTE(SUBSTITUTE(A264,"?","~?"),"*","~*"),Values!$I$3:$I$502,"Yes"))</f>
        <v/>
      </c>
      <c r="N264">
        <f>IF(I264&lt;&gt;"Yes","",IF(M264&lt;2,"",INDEX(Values!$B$3:$B$502,MATCH(A264&amp;"|"&amp;IF(K264=M264,1,K264+1),Values!$L$3:$L$502,0))))</f>
        <v/>
      </c>
      <c r="O264">
        <f>IF(N264="","",INDEX(Values!$J$3:$J$502,MATCH(A264&amp;"|"&amp;IF(K264=M264,1,K264+1),Values!$L$3:$L$502,0)))</f>
        <v/>
      </c>
    </row>
    <row r="265">
      <c r="H265">
        <f>IF(A265="","",IFERROR(INDEX(Attributes!$F$3:$F$52,MATCH(A265,Attributes!$A$3:$A$52,0))&amp;"","Unknown attribute"))</f>
        <v/>
      </c>
      <c r="I265">
        <f>IF(OR(A265="",B265=""),"",IF(AND(H265="Yes",D265&lt;&gt;"No"),"Yes","No"))</f>
        <v/>
      </c>
      <c r="J265">
        <f>IF(I265="Yes",COUNTIF($I$3:I265,"Yes"),"")</f>
        <v/>
      </c>
      <c r="K265">
        <f>IF(I265&lt;&gt;"Yes","",COUNTIFS($A$3:A265,SUBSTITUTE(SUBSTITUTE(A265,"?","~?"),"*","~*"),$I$3:I265,"Yes"))</f>
        <v/>
      </c>
      <c r="L265">
        <f>IF(K265="","",A265&amp;"|"&amp;K265)</f>
        <v/>
      </c>
      <c r="M265">
        <f>IF(I265&lt;&gt;"Yes","",COUNTIFS(Values!$A$3:$A$502,SUBSTITUTE(SUBSTITUTE(A265,"?","~?"),"*","~*"),Values!$I$3:$I$502,"Yes"))</f>
        <v/>
      </c>
      <c r="N265">
        <f>IF(I265&lt;&gt;"Yes","",IF(M265&lt;2,"",INDEX(Values!$B$3:$B$502,MATCH(A265&amp;"|"&amp;IF(K265=M265,1,K265+1),Values!$L$3:$L$502,0))))</f>
        <v/>
      </c>
      <c r="O265">
        <f>IF(N265="","",INDEX(Values!$J$3:$J$502,MATCH(A265&amp;"|"&amp;IF(K265=M265,1,K265+1),Values!$L$3:$L$502,0)))</f>
        <v/>
      </c>
    </row>
    <row r="266">
      <c r="H266">
        <f>IF(A266="","",IFERROR(INDEX(Attributes!$F$3:$F$52,MATCH(A266,Attributes!$A$3:$A$52,0))&amp;"","Unknown attribute"))</f>
        <v/>
      </c>
      <c r="I266">
        <f>IF(OR(A266="",B266=""),"",IF(AND(H266="Yes",D266&lt;&gt;"No"),"Yes","No"))</f>
        <v/>
      </c>
      <c r="J266">
        <f>IF(I266="Yes",COUNTIF($I$3:I266,"Yes"),"")</f>
        <v/>
      </c>
      <c r="K266">
        <f>IF(I266&lt;&gt;"Yes","",COUNTIFS($A$3:A266,SUBSTITUTE(SUBSTITUTE(A266,"?","~?"),"*","~*"),$I$3:I266,"Yes"))</f>
        <v/>
      </c>
      <c r="L266">
        <f>IF(K266="","",A266&amp;"|"&amp;K266)</f>
        <v/>
      </c>
      <c r="M266">
        <f>IF(I266&lt;&gt;"Yes","",COUNTIFS(Values!$A$3:$A$502,SUBSTITUTE(SUBSTITUTE(A266,"?","~?"),"*","~*"),Values!$I$3:$I$502,"Yes"))</f>
        <v/>
      </c>
      <c r="N266">
        <f>IF(I266&lt;&gt;"Yes","",IF(M266&lt;2,"",INDEX(Values!$B$3:$B$502,MATCH(A266&amp;"|"&amp;IF(K266=M266,1,K266+1),Values!$L$3:$L$502,0))))</f>
        <v/>
      </c>
      <c r="O266">
        <f>IF(N266="","",INDEX(Values!$J$3:$J$502,MATCH(A266&amp;"|"&amp;IF(K266=M266,1,K266+1),Values!$L$3:$L$502,0)))</f>
        <v/>
      </c>
    </row>
    <row r="267">
      <c r="H267">
        <f>IF(A267="","",IFERROR(INDEX(Attributes!$F$3:$F$52,MATCH(A267,Attributes!$A$3:$A$52,0))&amp;"","Unknown attribute"))</f>
        <v/>
      </c>
      <c r="I267">
        <f>IF(OR(A267="",B267=""),"",IF(AND(H267="Yes",D267&lt;&gt;"No"),"Yes","No"))</f>
        <v/>
      </c>
      <c r="J267">
        <f>IF(I267="Yes",COUNTIF($I$3:I267,"Yes"),"")</f>
        <v/>
      </c>
      <c r="K267">
        <f>IF(I267&lt;&gt;"Yes","",COUNTIFS($A$3:A267,SUBSTITUTE(SUBSTITUTE(A267,"?","~?"),"*","~*"),$I$3:I267,"Yes"))</f>
        <v/>
      </c>
      <c r="L267">
        <f>IF(K267="","",A267&amp;"|"&amp;K267)</f>
        <v/>
      </c>
      <c r="M267">
        <f>IF(I267&lt;&gt;"Yes","",COUNTIFS(Values!$A$3:$A$502,SUBSTITUTE(SUBSTITUTE(A267,"?","~?"),"*","~*"),Values!$I$3:$I$502,"Yes"))</f>
        <v/>
      </c>
      <c r="N267">
        <f>IF(I267&lt;&gt;"Yes","",IF(M267&lt;2,"",INDEX(Values!$B$3:$B$502,MATCH(A267&amp;"|"&amp;IF(K267=M267,1,K267+1),Values!$L$3:$L$502,0))))</f>
        <v/>
      </c>
      <c r="O267">
        <f>IF(N267="","",INDEX(Values!$J$3:$J$502,MATCH(A267&amp;"|"&amp;IF(K267=M267,1,K267+1),Values!$L$3:$L$502,0)))</f>
        <v/>
      </c>
    </row>
    <row r="268">
      <c r="H268">
        <f>IF(A268="","",IFERROR(INDEX(Attributes!$F$3:$F$52,MATCH(A268,Attributes!$A$3:$A$52,0))&amp;"","Unknown attribute"))</f>
        <v/>
      </c>
      <c r="I268">
        <f>IF(OR(A268="",B268=""),"",IF(AND(H268="Yes",D268&lt;&gt;"No"),"Yes","No"))</f>
        <v/>
      </c>
      <c r="J268">
        <f>IF(I268="Yes",COUNTIF($I$3:I268,"Yes"),"")</f>
        <v/>
      </c>
      <c r="K268">
        <f>IF(I268&lt;&gt;"Yes","",COUNTIFS($A$3:A268,SUBSTITUTE(SUBSTITUTE(A268,"?","~?"),"*","~*"),$I$3:I268,"Yes"))</f>
        <v/>
      </c>
      <c r="L268">
        <f>IF(K268="","",A268&amp;"|"&amp;K268)</f>
        <v/>
      </c>
      <c r="M268">
        <f>IF(I268&lt;&gt;"Yes","",COUNTIFS(Values!$A$3:$A$502,SUBSTITUTE(SUBSTITUTE(A268,"?","~?"),"*","~*"),Values!$I$3:$I$502,"Yes"))</f>
        <v/>
      </c>
      <c r="N268">
        <f>IF(I268&lt;&gt;"Yes","",IF(M268&lt;2,"",INDEX(Values!$B$3:$B$502,MATCH(A268&amp;"|"&amp;IF(K268=M268,1,K268+1),Values!$L$3:$L$502,0))))</f>
        <v/>
      </c>
      <c r="O268">
        <f>IF(N268="","",INDEX(Values!$J$3:$J$502,MATCH(A268&amp;"|"&amp;IF(K268=M268,1,K268+1),Values!$L$3:$L$502,0)))</f>
        <v/>
      </c>
    </row>
    <row r="269">
      <c r="H269">
        <f>IF(A269="","",IFERROR(INDEX(Attributes!$F$3:$F$52,MATCH(A269,Attributes!$A$3:$A$52,0))&amp;"","Unknown attribute"))</f>
        <v/>
      </c>
      <c r="I269">
        <f>IF(OR(A269="",B269=""),"",IF(AND(H269="Yes",D269&lt;&gt;"No"),"Yes","No"))</f>
        <v/>
      </c>
      <c r="J269">
        <f>IF(I269="Yes",COUNTIF($I$3:I269,"Yes"),"")</f>
        <v/>
      </c>
      <c r="K269">
        <f>IF(I269&lt;&gt;"Yes","",COUNTIFS($A$3:A269,SUBSTITUTE(SUBSTITUTE(A269,"?","~?"),"*","~*"),$I$3:I269,"Yes"))</f>
        <v/>
      </c>
      <c r="L269">
        <f>IF(K269="","",A269&amp;"|"&amp;K269)</f>
        <v/>
      </c>
      <c r="M269">
        <f>IF(I269&lt;&gt;"Yes","",COUNTIFS(Values!$A$3:$A$502,SUBSTITUTE(SUBSTITUTE(A269,"?","~?"),"*","~*"),Values!$I$3:$I$502,"Yes"))</f>
        <v/>
      </c>
      <c r="N269">
        <f>IF(I269&lt;&gt;"Yes","",IF(M269&lt;2,"",INDEX(Values!$B$3:$B$502,MATCH(A269&amp;"|"&amp;IF(K269=M269,1,K269+1),Values!$L$3:$L$502,0))))</f>
        <v/>
      </c>
      <c r="O269">
        <f>IF(N269="","",INDEX(Values!$J$3:$J$502,MATCH(A269&amp;"|"&amp;IF(K269=M269,1,K269+1),Values!$L$3:$L$502,0)))</f>
        <v/>
      </c>
    </row>
    <row r="270">
      <c r="H270">
        <f>IF(A270="","",IFERROR(INDEX(Attributes!$F$3:$F$52,MATCH(A270,Attributes!$A$3:$A$52,0))&amp;"","Unknown attribute"))</f>
        <v/>
      </c>
      <c r="I270">
        <f>IF(OR(A270="",B270=""),"",IF(AND(H270="Yes",D270&lt;&gt;"No"),"Yes","No"))</f>
        <v/>
      </c>
      <c r="J270">
        <f>IF(I270="Yes",COUNTIF($I$3:I270,"Yes"),"")</f>
        <v/>
      </c>
      <c r="K270">
        <f>IF(I270&lt;&gt;"Yes","",COUNTIFS($A$3:A270,SUBSTITUTE(SUBSTITUTE(A270,"?","~?"),"*","~*"),$I$3:I270,"Yes"))</f>
        <v/>
      </c>
      <c r="L270">
        <f>IF(K270="","",A270&amp;"|"&amp;K270)</f>
        <v/>
      </c>
      <c r="M270">
        <f>IF(I270&lt;&gt;"Yes","",COUNTIFS(Values!$A$3:$A$502,SUBSTITUTE(SUBSTITUTE(A270,"?","~?"),"*","~*"),Values!$I$3:$I$502,"Yes"))</f>
        <v/>
      </c>
      <c r="N270">
        <f>IF(I270&lt;&gt;"Yes","",IF(M270&lt;2,"",INDEX(Values!$B$3:$B$502,MATCH(A270&amp;"|"&amp;IF(K270=M270,1,K270+1),Values!$L$3:$L$502,0))))</f>
        <v/>
      </c>
      <c r="O270">
        <f>IF(N270="","",INDEX(Values!$J$3:$J$502,MATCH(A270&amp;"|"&amp;IF(K270=M270,1,K270+1),Values!$L$3:$L$502,0)))</f>
        <v/>
      </c>
    </row>
    <row r="271">
      <c r="H271">
        <f>IF(A271="","",IFERROR(INDEX(Attributes!$F$3:$F$52,MATCH(A271,Attributes!$A$3:$A$52,0))&amp;"","Unknown attribute"))</f>
        <v/>
      </c>
      <c r="I271">
        <f>IF(OR(A271="",B271=""),"",IF(AND(H271="Yes",D271&lt;&gt;"No"),"Yes","No"))</f>
        <v/>
      </c>
      <c r="J271">
        <f>IF(I271="Yes",COUNTIF($I$3:I271,"Yes"),"")</f>
        <v/>
      </c>
      <c r="K271">
        <f>IF(I271&lt;&gt;"Yes","",COUNTIFS($A$3:A271,SUBSTITUTE(SUBSTITUTE(A271,"?","~?"),"*","~*"),$I$3:I271,"Yes"))</f>
        <v/>
      </c>
      <c r="L271">
        <f>IF(K271="","",A271&amp;"|"&amp;K271)</f>
        <v/>
      </c>
      <c r="M271">
        <f>IF(I271&lt;&gt;"Yes","",COUNTIFS(Values!$A$3:$A$502,SUBSTITUTE(SUBSTITUTE(A271,"?","~?"),"*","~*"),Values!$I$3:$I$502,"Yes"))</f>
        <v/>
      </c>
      <c r="N271">
        <f>IF(I271&lt;&gt;"Yes","",IF(M271&lt;2,"",INDEX(Values!$B$3:$B$502,MATCH(A271&amp;"|"&amp;IF(K271=M271,1,K271+1),Values!$L$3:$L$502,0))))</f>
        <v/>
      </c>
      <c r="O271">
        <f>IF(N271="","",INDEX(Values!$J$3:$J$502,MATCH(A271&amp;"|"&amp;IF(K271=M271,1,K271+1),Values!$L$3:$L$502,0)))</f>
        <v/>
      </c>
    </row>
    <row r="272">
      <c r="H272">
        <f>IF(A272="","",IFERROR(INDEX(Attributes!$F$3:$F$52,MATCH(A272,Attributes!$A$3:$A$52,0))&amp;"","Unknown attribute"))</f>
        <v/>
      </c>
      <c r="I272">
        <f>IF(OR(A272="",B272=""),"",IF(AND(H272="Yes",D272&lt;&gt;"No"),"Yes","No"))</f>
        <v/>
      </c>
      <c r="J272">
        <f>IF(I272="Yes",COUNTIF($I$3:I272,"Yes"),"")</f>
        <v/>
      </c>
      <c r="K272">
        <f>IF(I272&lt;&gt;"Yes","",COUNTIFS($A$3:A272,SUBSTITUTE(SUBSTITUTE(A272,"?","~?"),"*","~*"),$I$3:I272,"Yes"))</f>
        <v/>
      </c>
      <c r="L272">
        <f>IF(K272="","",A272&amp;"|"&amp;K272)</f>
        <v/>
      </c>
      <c r="M272">
        <f>IF(I272&lt;&gt;"Yes","",COUNTIFS(Values!$A$3:$A$502,SUBSTITUTE(SUBSTITUTE(A272,"?","~?"),"*","~*"),Values!$I$3:$I$502,"Yes"))</f>
        <v/>
      </c>
      <c r="N272">
        <f>IF(I272&lt;&gt;"Yes","",IF(M272&lt;2,"",INDEX(Values!$B$3:$B$502,MATCH(A272&amp;"|"&amp;IF(K272=M272,1,K272+1),Values!$L$3:$L$502,0))))</f>
        <v/>
      </c>
      <c r="O272">
        <f>IF(N272="","",INDEX(Values!$J$3:$J$502,MATCH(A272&amp;"|"&amp;IF(K272=M272,1,K272+1),Values!$L$3:$L$502,0)))</f>
        <v/>
      </c>
    </row>
    <row r="273">
      <c r="H273">
        <f>IF(A273="","",IFERROR(INDEX(Attributes!$F$3:$F$52,MATCH(A273,Attributes!$A$3:$A$52,0))&amp;"","Unknown attribute"))</f>
        <v/>
      </c>
      <c r="I273">
        <f>IF(OR(A273="",B273=""),"",IF(AND(H273="Yes",D273&lt;&gt;"No"),"Yes","No"))</f>
        <v/>
      </c>
      <c r="J273">
        <f>IF(I273="Yes",COUNTIF($I$3:I273,"Yes"),"")</f>
        <v/>
      </c>
      <c r="K273">
        <f>IF(I273&lt;&gt;"Yes","",COUNTIFS($A$3:A273,SUBSTITUTE(SUBSTITUTE(A273,"?","~?"),"*","~*"),$I$3:I273,"Yes"))</f>
        <v/>
      </c>
      <c r="L273">
        <f>IF(K273="","",A273&amp;"|"&amp;K273)</f>
        <v/>
      </c>
      <c r="M273">
        <f>IF(I273&lt;&gt;"Yes","",COUNTIFS(Values!$A$3:$A$502,SUBSTITUTE(SUBSTITUTE(A273,"?","~?"),"*","~*"),Values!$I$3:$I$502,"Yes"))</f>
        <v/>
      </c>
      <c r="N273">
        <f>IF(I273&lt;&gt;"Yes","",IF(M273&lt;2,"",INDEX(Values!$B$3:$B$502,MATCH(A273&amp;"|"&amp;IF(K273=M273,1,K273+1),Values!$L$3:$L$502,0))))</f>
        <v/>
      </c>
      <c r="O273">
        <f>IF(N273="","",INDEX(Values!$J$3:$J$502,MATCH(A273&amp;"|"&amp;IF(K273=M273,1,K273+1),Values!$L$3:$L$502,0)))</f>
        <v/>
      </c>
    </row>
    <row r="274">
      <c r="H274">
        <f>IF(A274="","",IFERROR(INDEX(Attributes!$F$3:$F$52,MATCH(A274,Attributes!$A$3:$A$52,0))&amp;"","Unknown attribute"))</f>
        <v/>
      </c>
      <c r="I274">
        <f>IF(OR(A274="",B274=""),"",IF(AND(H274="Yes",D274&lt;&gt;"No"),"Yes","No"))</f>
        <v/>
      </c>
      <c r="J274">
        <f>IF(I274="Yes",COUNTIF($I$3:I274,"Yes"),"")</f>
        <v/>
      </c>
      <c r="K274">
        <f>IF(I274&lt;&gt;"Yes","",COUNTIFS($A$3:A274,SUBSTITUTE(SUBSTITUTE(A274,"?","~?"),"*","~*"),$I$3:I274,"Yes"))</f>
        <v/>
      </c>
      <c r="L274">
        <f>IF(K274="","",A274&amp;"|"&amp;K274)</f>
        <v/>
      </c>
      <c r="M274">
        <f>IF(I274&lt;&gt;"Yes","",COUNTIFS(Values!$A$3:$A$502,SUBSTITUTE(SUBSTITUTE(A274,"?","~?"),"*","~*"),Values!$I$3:$I$502,"Yes"))</f>
        <v/>
      </c>
      <c r="N274">
        <f>IF(I274&lt;&gt;"Yes","",IF(M274&lt;2,"",INDEX(Values!$B$3:$B$502,MATCH(A274&amp;"|"&amp;IF(K274=M274,1,K274+1),Values!$L$3:$L$502,0))))</f>
        <v/>
      </c>
      <c r="O274">
        <f>IF(N274="","",INDEX(Values!$J$3:$J$502,MATCH(A274&amp;"|"&amp;IF(K274=M274,1,K274+1),Values!$L$3:$L$502,0)))</f>
        <v/>
      </c>
    </row>
    <row r="275">
      <c r="H275">
        <f>IF(A275="","",IFERROR(INDEX(Attributes!$F$3:$F$52,MATCH(A275,Attributes!$A$3:$A$52,0))&amp;"","Unknown attribute"))</f>
        <v/>
      </c>
      <c r="I275">
        <f>IF(OR(A275="",B275=""),"",IF(AND(H275="Yes",D275&lt;&gt;"No"),"Yes","No"))</f>
        <v/>
      </c>
      <c r="J275">
        <f>IF(I275="Yes",COUNTIF($I$3:I275,"Yes"),"")</f>
        <v/>
      </c>
      <c r="K275">
        <f>IF(I275&lt;&gt;"Yes","",COUNTIFS($A$3:A275,SUBSTITUTE(SUBSTITUTE(A275,"?","~?"),"*","~*"),$I$3:I275,"Yes"))</f>
        <v/>
      </c>
      <c r="L275">
        <f>IF(K275="","",A275&amp;"|"&amp;K275)</f>
        <v/>
      </c>
      <c r="M275">
        <f>IF(I275&lt;&gt;"Yes","",COUNTIFS(Values!$A$3:$A$502,SUBSTITUTE(SUBSTITUTE(A275,"?","~?"),"*","~*"),Values!$I$3:$I$502,"Yes"))</f>
        <v/>
      </c>
      <c r="N275">
        <f>IF(I275&lt;&gt;"Yes","",IF(M275&lt;2,"",INDEX(Values!$B$3:$B$502,MATCH(A275&amp;"|"&amp;IF(K275=M275,1,K275+1),Values!$L$3:$L$502,0))))</f>
        <v/>
      </c>
      <c r="O275">
        <f>IF(N275="","",INDEX(Values!$J$3:$J$502,MATCH(A275&amp;"|"&amp;IF(K275=M275,1,K275+1),Values!$L$3:$L$502,0)))</f>
        <v/>
      </c>
    </row>
    <row r="276">
      <c r="H276">
        <f>IF(A276="","",IFERROR(INDEX(Attributes!$F$3:$F$52,MATCH(A276,Attributes!$A$3:$A$52,0))&amp;"","Unknown attribute"))</f>
        <v/>
      </c>
      <c r="I276">
        <f>IF(OR(A276="",B276=""),"",IF(AND(H276="Yes",D276&lt;&gt;"No"),"Yes","No"))</f>
        <v/>
      </c>
      <c r="J276">
        <f>IF(I276="Yes",COUNTIF($I$3:I276,"Yes"),"")</f>
        <v/>
      </c>
      <c r="K276">
        <f>IF(I276&lt;&gt;"Yes","",COUNTIFS($A$3:A276,SUBSTITUTE(SUBSTITUTE(A276,"?","~?"),"*","~*"),$I$3:I276,"Yes"))</f>
        <v/>
      </c>
      <c r="L276">
        <f>IF(K276="","",A276&amp;"|"&amp;K276)</f>
        <v/>
      </c>
      <c r="M276">
        <f>IF(I276&lt;&gt;"Yes","",COUNTIFS(Values!$A$3:$A$502,SUBSTITUTE(SUBSTITUTE(A276,"?","~?"),"*","~*"),Values!$I$3:$I$502,"Yes"))</f>
        <v/>
      </c>
      <c r="N276">
        <f>IF(I276&lt;&gt;"Yes","",IF(M276&lt;2,"",INDEX(Values!$B$3:$B$502,MATCH(A276&amp;"|"&amp;IF(K276=M276,1,K276+1),Values!$L$3:$L$502,0))))</f>
        <v/>
      </c>
      <c r="O276">
        <f>IF(N276="","",INDEX(Values!$J$3:$J$502,MATCH(A276&amp;"|"&amp;IF(K276=M276,1,K276+1),Values!$L$3:$L$502,0)))</f>
        <v/>
      </c>
    </row>
    <row r="277">
      <c r="H277">
        <f>IF(A277="","",IFERROR(INDEX(Attributes!$F$3:$F$52,MATCH(A277,Attributes!$A$3:$A$52,0))&amp;"","Unknown attribute"))</f>
        <v/>
      </c>
      <c r="I277">
        <f>IF(OR(A277="",B277=""),"",IF(AND(H277="Yes",D277&lt;&gt;"No"),"Yes","No"))</f>
        <v/>
      </c>
      <c r="J277">
        <f>IF(I277="Yes",COUNTIF($I$3:I277,"Yes"),"")</f>
        <v/>
      </c>
      <c r="K277">
        <f>IF(I277&lt;&gt;"Yes","",COUNTIFS($A$3:A277,SUBSTITUTE(SUBSTITUTE(A277,"?","~?"),"*","~*"),$I$3:I277,"Yes"))</f>
        <v/>
      </c>
      <c r="L277">
        <f>IF(K277="","",A277&amp;"|"&amp;K277)</f>
        <v/>
      </c>
      <c r="M277">
        <f>IF(I277&lt;&gt;"Yes","",COUNTIFS(Values!$A$3:$A$502,SUBSTITUTE(SUBSTITUTE(A277,"?","~?"),"*","~*"),Values!$I$3:$I$502,"Yes"))</f>
        <v/>
      </c>
      <c r="N277">
        <f>IF(I277&lt;&gt;"Yes","",IF(M277&lt;2,"",INDEX(Values!$B$3:$B$502,MATCH(A277&amp;"|"&amp;IF(K277=M277,1,K277+1),Values!$L$3:$L$502,0))))</f>
        <v/>
      </c>
      <c r="O277">
        <f>IF(N277="","",INDEX(Values!$J$3:$J$502,MATCH(A277&amp;"|"&amp;IF(K277=M277,1,K277+1),Values!$L$3:$L$502,0)))</f>
        <v/>
      </c>
    </row>
    <row r="278">
      <c r="H278">
        <f>IF(A278="","",IFERROR(INDEX(Attributes!$F$3:$F$52,MATCH(A278,Attributes!$A$3:$A$52,0))&amp;"","Unknown attribute"))</f>
        <v/>
      </c>
      <c r="I278">
        <f>IF(OR(A278="",B278=""),"",IF(AND(H278="Yes",D278&lt;&gt;"No"),"Yes","No"))</f>
        <v/>
      </c>
      <c r="J278">
        <f>IF(I278="Yes",COUNTIF($I$3:I278,"Yes"),"")</f>
        <v/>
      </c>
      <c r="K278">
        <f>IF(I278&lt;&gt;"Yes","",COUNTIFS($A$3:A278,SUBSTITUTE(SUBSTITUTE(A278,"?","~?"),"*","~*"),$I$3:I278,"Yes"))</f>
        <v/>
      </c>
      <c r="L278">
        <f>IF(K278="","",A278&amp;"|"&amp;K278)</f>
        <v/>
      </c>
      <c r="M278">
        <f>IF(I278&lt;&gt;"Yes","",COUNTIFS(Values!$A$3:$A$502,SUBSTITUTE(SUBSTITUTE(A278,"?","~?"),"*","~*"),Values!$I$3:$I$502,"Yes"))</f>
        <v/>
      </c>
      <c r="N278">
        <f>IF(I278&lt;&gt;"Yes","",IF(M278&lt;2,"",INDEX(Values!$B$3:$B$502,MATCH(A278&amp;"|"&amp;IF(K278=M278,1,K278+1),Values!$L$3:$L$502,0))))</f>
        <v/>
      </c>
      <c r="O278">
        <f>IF(N278="","",INDEX(Values!$J$3:$J$502,MATCH(A278&amp;"|"&amp;IF(K278=M278,1,K278+1),Values!$L$3:$L$502,0)))</f>
        <v/>
      </c>
    </row>
    <row r="279">
      <c r="H279">
        <f>IF(A279="","",IFERROR(INDEX(Attributes!$F$3:$F$52,MATCH(A279,Attributes!$A$3:$A$52,0))&amp;"","Unknown attribute"))</f>
        <v/>
      </c>
      <c r="I279">
        <f>IF(OR(A279="",B279=""),"",IF(AND(H279="Yes",D279&lt;&gt;"No"),"Yes","No"))</f>
        <v/>
      </c>
      <c r="J279">
        <f>IF(I279="Yes",COUNTIF($I$3:I279,"Yes"),"")</f>
        <v/>
      </c>
      <c r="K279">
        <f>IF(I279&lt;&gt;"Yes","",COUNTIFS($A$3:A279,SUBSTITUTE(SUBSTITUTE(A279,"?","~?"),"*","~*"),$I$3:I279,"Yes"))</f>
        <v/>
      </c>
      <c r="L279">
        <f>IF(K279="","",A279&amp;"|"&amp;K279)</f>
        <v/>
      </c>
      <c r="M279">
        <f>IF(I279&lt;&gt;"Yes","",COUNTIFS(Values!$A$3:$A$502,SUBSTITUTE(SUBSTITUTE(A279,"?","~?"),"*","~*"),Values!$I$3:$I$502,"Yes"))</f>
        <v/>
      </c>
      <c r="N279">
        <f>IF(I279&lt;&gt;"Yes","",IF(M279&lt;2,"",INDEX(Values!$B$3:$B$502,MATCH(A279&amp;"|"&amp;IF(K279=M279,1,K279+1),Values!$L$3:$L$502,0))))</f>
        <v/>
      </c>
      <c r="O279">
        <f>IF(N279="","",INDEX(Values!$J$3:$J$502,MATCH(A279&amp;"|"&amp;IF(K279=M279,1,K279+1),Values!$L$3:$L$502,0)))</f>
        <v/>
      </c>
    </row>
    <row r="280">
      <c r="H280">
        <f>IF(A280="","",IFERROR(INDEX(Attributes!$F$3:$F$52,MATCH(A280,Attributes!$A$3:$A$52,0))&amp;"","Unknown attribute"))</f>
        <v/>
      </c>
      <c r="I280">
        <f>IF(OR(A280="",B280=""),"",IF(AND(H280="Yes",D280&lt;&gt;"No"),"Yes","No"))</f>
        <v/>
      </c>
      <c r="J280">
        <f>IF(I280="Yes",COUNTIF($I$3:I280,"Yes"),"")</f>
        <v/>
      </c>
      <c r="K280">
        <f>IF(I280&lt;&gt;"Yes","",COUNTIFS($A$3:A280,SUBSTITUTE(SUBSTITUTE(A280,"?","~?"),"*","~*"),$I$3:I280,"Yes"))</f>
        <v/>
      </c>
      <c r="L280">
        <f>IF(K280="","",A280&amp;"|"&amp;K280)</f>
        <v/>
      </c>
      <c r="M280">
        <f>IF(I280&lt;&gt;"Yes","",COUNTIFS(Values!$A$3:$A$502,SUBSTITUTE(SUBSTITUTE(A280,"?","~?"),"*","~*"),Values!$I$3:$I$502,"Yes"))</f>
        <v/>
      </c>
      <c r="N280">
        <f>IF(I280&lt;&gt;"Yes","",IF(M280&lt;2,"",INDEX(Values!$B$3:$B$502,MATCH(A280&amp;"|"&amp;IF(K280=M280,1,K280+1),Values!$L$3:$L$502,0))))</f>
        <v/>
      </c>
      <c r="O280">
        <f>IF(N280="","",INDEX(Values!$J$3:$J$502,MATCH(A280&amp;"|"&amp;IF(K280=M280,1,K280+1),Values!$L$3:$L$502,0)))</f>
        <v/>
      </c>
    </row>
    <row r="281">
      <c r="H281">
        <f>IF(A281="","",IFERROR(INDEX(Attributes!$F$3:$F$52,MATCH(A281,Attributes!$A$3:$A$52,0))&amp;"","Unknown attribute"))</f>
        <v/>
      </c>
      <c r="I281">
        <f>IF(OR(A281="",B281=""),"",IF(AND(H281="Yes",D281&lt;&gt;"No"),"Yes","No"))</f>
        <v/>
      </c>
      <c r="J281">
        <f>IF(I281="Yes",COUNTIF($I$3:I281,"Yes"),"")</f>
        <v/>
      </c>
      <c r="K281">
        <f>IF(I281&lt;&gt;"Yes","",COUNTIFS($A$3:A281,SUBSTITUTE(SUBSTITUTE(A281,"?","~?"),"*","~*"),$I$3:I281,"Yes"))</f>
        <v/>
      </c>
      <c r="L281">
        <f>IF(K281="","",A281&amp;"|"&amp;K281)</f>
        <v/>
      </c>
      <c r="M281">
        <f>IF(I281&lt;&gt;"Yes","",COUNTIFS(Values!$A$3:$A$502,SUBSTITUTE(SUBSTITUTE(A281,"?","~?"),"*","~*"),Values!$I$3:$I$502,"Yes"))</f>
        <v/>
      </c>
      <c r="N281">
        <f>IF(I281&lt;&gt;"Yes","",IF(M281&lt;2,"",INDEX(Values!$B$3:$B$502,MATCH(A281&amp;"|"&amp;IF(K281=M281,1,K281+1),Values!$L$3:$L$502,0))))</f>
        <v/>
      </c>
      <c r="O281">
        <f>IF(N281="","",INDEX(Values!$J$3:$J$502,MATCH(A281&amp;"|"&amp;IF(K281=M281,1,K281+1),Values!$L$3:$L$502,0)))</f>
        <v/>
      </c>
    </row>
    <row r="282">
      <c r="H282">
        <f>IF(A282="","",IFERROR(INDEX(Attributes!$F$3:$F$52,MATCH(A282,Attributes!$A$3:$A$52,0))&amp;"","Unknown attribute"))</f>
        <v/>
      </c>
      <c r="I282">
        <f>IF(OR(A282="",B282=""),"",IF(AND(H282="Yes",D282&lt;&gt;"No"),"Yes","No"))</f>
        <v/>
      </c>
      <c r="J282">
        <f>IF(I282="Yes",COUNTIF($I$3:I282,"Yes"),"")</f>
        <v/>
      </c>
      <c r="K282">
        <f>IF(I282&lt;&gt;"Yes","",COUNTIFS($A$3:A282,SUBSTITUTE(SUBSTITUTE(A282,"?","~?"),"*","~*"),$I$3:I282,"Yes"))</f>
        <v/>
      </c>
      <c r="L282">
        <f>IF(K282="","",A282&amp;"|"&amp;K282)</f>
        <v/>
      </c>
      <c r="M282">
        <f>IF(I282&lt;&gt;"Yes","",COUNTIFS(Values!$A$3:$A$502,SUBSTITUTE(SUBSTITUTE(A282,"?","~?"),"*","~*"),Values!$I$3:$I$502,"Yes"))</f>
        <v/>
      </c>
      <c r="N282">
        <f>IF(I282&lt;&gt;"Yes","",IF(M282&lt;2,"",INDEX(Values!$B$3:$B$502,MATCH(A282&amp;"|"&amp;IF(K282=M282,1,K282+1),Values!$L$3:$L$502,0))))</f>
        <v/>
      </c>
      <c r="O282">
        <f>IF(N282="","",INDEX(Values!$J$3:$J$502,MATCH(A282&amp;"|"&amp;IF(K282=M282,1,K282+1),Values!$L$3:$L$502,0)))</f>
        <v/>
      </c>
    </row>
    <row r="283">
      <c r="H283">
        <f>IF(A283="","",IFERROR(INDEX(Attributes!$F$3:$F$52,MATCH(A283,Attributes!$A$3:$A$52,0))&amp;"","Unknown attribute"))</f>
        <v/>
      </c>
      <c r="I283">
        <f>IF(OR(A283="",B283=""),"",IF(AND(H283="Yes",D283&lt;&gt;"No"),"Yes","No"))</f>
        <v/>
      </c>
      <c r="J283">
        <f>IF(I283="Yes",COUNTIF($I$3:I283,"Yes"),"")</f>
        <v/>
      </c>
      <c r="K283">
        <f>IF(I283&lt;&gt;"Yes","",COUNTIFS($A$3:A283,SUBSTITUTE(SUBSTITUTE(A283,"?","~?"),"*","~*"),$I$3:I283,"Yes"))</f>
        <v/>
      </c>
      <c r="L283">
        <f>IF(K283="","",A283&amp;"|"&amp;K283)</f>
        <v/>
      </c>
      <c r="M283">
        <f>IF(I283&lt;&gt;"Yes","",COUNTIFS(Values!$A$3:$A$502,SUBSTITUTE(SUBSTITUTE(A283,"?","~?"),"*","~*"),Values!$I$3:$I$502,"Yes"))</f>
        <v/>
      </c>
      <c r="N283">
        <f>IF(I283&lt;&gt;"Yes","",IF(M283&lt;2,"",INDEX(Values!$B$3:$B$502,MATCH(A283&amp;"|"&amp;IF(K283=M283,1,K283+1),Values!$L$3:$L$502,0))))</f>
        <v/>
      </c>
      <c r="O283">
        <f>IF(N283="","",INDEX(Values!$J$3:$J$502,MATCH(A283&amp;"|"&amp;IF(K283=M283,1,K283+1),Values!$L$3:$L$502,0)))</f>
        <v/>
      </c>
    </row>
    <row r="284">
      <c r="H284">
        <f>IF(A284="","",IFERROR(INDEX(Attributes!$F$3:$F$52,MATCH(A284,Attributes!$A$3:$A$52,0))&amp;"","Unknown attribute"))</f>
        <v/>
      </c>
      <c r="I284">
        <f>IF(OR(A284="",B284=""),"",IF(AND(H284="Yes",D284&lt;&gt;"No"),"Yes","No"))</f>
        <v/>
      </c>
      <c r="J284">
        <f>IF(I284="Yes",COUNTIF($I$3:I284,"Yes"),"")</f>
        <v/>
      </c>
      <c r="K284">
        <f>IF(I284&lt;&gt;"Yes","",COUNTIFS($A$3:A284,SUBSTITUTE(SUBSTITUTE(A284,"?","~?"),"*","~*"),$I$3:I284,"Yes"))</f>
        <v/>
      </c>
      <c r="L284">
        <f>IF(K284="","",A284&amp;"|"&amp;K284)</f>
        <v/>
      </c>
      <c r="M284">
        <f>IF(I284&lt;&gt;"Yes","",COUNTIFS(Values!$A$3:$A$502,SUBSTITUTE(SUBSTITUTE(A284,"?","~?"),"*","~*"),Values!$I$3:$I$502,"Yes"))</f>
        <v/>
      </c>
      <c r="N284">
        <f>IF(I284&lt;&gt;"Yes","",IF(M284&lt;2,"",INDEX(Values!$B$3:$B$502,MATCH(A284&amp;"|"&amp;IF(K284=M284,1,K284+1),Values!$L$3:$L$502,0))))</f>
        <v/>
      </c>
      <c r="O284">
        <f>IF(N284="","",INDEX(Values!$J$3:$J$502,MATCH(A284&amp;"|"&amp;IF(K284=M284,1,K284+1),Values!$L$3:$L$502,0)))</f>
        <v/>
      </c>
    </row>
    <row r="285">
      <c r="H285">
        <f>IF(A285="","",IFERROR(INDEX(Attributes!$F$3:$F$52,MATCH(A285,Attributes!$A$3:$A$52,0))&amp;"","Unknown attribute"))</f>
        <v/>
      </c>
      <c r="I285">
        <f>IF(OR(A285="",B285=""),"",IF(AND(H285="Yes",D285&lt;&gt;"No"),"Yes","No"))</f>
        <v/>
      </c>
      <c r="J285">
        <f>IF(I285="Yes",COUNTIF($I$3:I285,"Yes"),"")</f>
        <v/>
      </c>
      <c r="K285">
        <f>IF(I285&lt;&gt;"Yes","",COUNTIFS($A$3:A285,SUBSTITUTE(SUBSTITUTE(A285,"?","~?"),"*","~*"),$I$3:I285,"Yes"))</f>
        <v/>
      </c>
      <c r="L285">
        <f>IF(K285="","",A285&amp;"|"&amp;K285)</f>
        <v/>
      </c>
      <c r="M285">
        <f>IF(I285&lt;&gt;"Yes","",COUNTIFS(Values!$A$3:$A$502,SUBSTITUTE(SUBSTITUTE(A285,"?","~?"),"*","~*"),Values!$I$3:$I$502,"Yes"))</f>
        <v/>
      </c>
      <c r="N285">
        <f>IF(I285&lt;&gt;"Yes","",IF(M285&lt;2,"",INDEX(Values!$B$3:$B$502,MATCH(A285&amp;"|"&amp;IF(K285=M285,1,K285+1),Values!$L$3:$L$502,0))))</f>
        <v/>
      </c>
      <c r="O285">
        <f>IF(N285="","",INDEX(Values!$J$3:$J$502,MATCH(A285&amp;"|"&amp;IF(K285=M285,1,K285+1),Values!$L$3:$L$502,0)))</f>
        <v/>
      </c>
    </row>
    <row r="286">
      <c r="H286">
        <f>IF(A286="","",IFERROR(INDEX(Attributes!$F$3:$F$52,MATCH(A286,Attributes!$A$3:$A$52,0))&amp;"","Unknown attribute"))</f>
        <v/>
      </c>
      <c r="I286">
        <f>IF(OR(A286="",B286=""),"",IF(AND(H286="Yes",D286&lt;&gt;"No"),"Yes","No"))</f>
        <v/>
      </c>
      <c r="J286">
        <f>IF(I286="Yes",COUNTIF($I$3:I286,"Yes"),"")</f>
        <v/>
      </c>
      <c r="K286">
        <f>IF(I286&lt;&gt;"Yes","",COUNTIFS($A$3:A286,SUBSTITUTE(SUBSTITUTE(A286,"?","~?"),"*","~*"),$I$3:I286,"Yes"))</f>
        <v/>
      </c>
      <c r="L286">
        <f>IF(K286="","",A286&amp;"|"&amp;K286)</f>
        <v/>
      </c>
      <c r="M286">
        <f>IF(I286&lt;&gt;"Yes","",COUNTIFS(Values!$A$3:$A$502,SUBSTITUTE(SUBSTITUTE(A286,"?","~?"),"*","~*"),Values!$I$3:$I$502,"Yes"))</f>
        <v/>
      </c>
      <c r="N286">
        <f>IF(I286&lt;&gt;"Yes","",IF(M286&lt;2,"",INDEX(Values!$B$3:$B$502,MATCH(A286&amp;"|"&amp;IF(K286=M286,1,K286+1),Values!$L$3:$L$502,0))))</f>
        <v/>
      </c>
      <c r="O286">
        <f>IF(N286="","",INDEX(Values!$J$3:$J$502,MATCH(A286&amp;"|"&amp;IF(K286=M286,1,K286+1),Values!$L$3:$L$502,0)))</f>
        <v/>
      </c>
    </row>
    <row r="287">
      <c r="H287">
        <f>IF(A287="","",IFERROR(INDEX(Attributes!$F$3:$F$52,MATCH(A287,Attributes!$A$3:$A$52,0))&amp;"","Unknown attribute"))</f>
        <v/>
      </c>
      <c r="I287">
        <f>IF(OR(A287="",B287=""),"",IF(AND(H287="Yes",D287&lt;&gt;"No"),"Yes","No"))</f>
        <v/>
      </c>
      <c r="J287">
        <f>IF(I287="Yes",COUNTIF($I$3:I287,"Yes"),"")</f>
        <v/>
      </c>
      <c r="K287">
        <f>IF(I287&lt;&gt;"Yes","",COUNTIFS($A$3:A287,SUBSTITUTE(SUBSTITUTE(A287,"?","~?"),"*","~*"),$I$3:I287,"Yes"))</f>
        <v/>
      </c>
      <c r="L287">
        <f>IF(K287="","",A287&amp;"|"&amp;K287)</f>
        <v/>
      </c>
      <c r="M287">
        <f>IF(I287&lt;&gt;"Yes","",COUNTIFS(Values!$A$3:$A$502,SUBSTITUTE(SUBSTITUTE(A287,"?","~?"),"*","~*"),Values!$I$3:$I$502,"Yes"))</f>
        <v/>
      </c>
      <c r="N287">
        <f>IF(I287&lt;&gt;"Yes","",IF(M287&lt;2,"",INDEX(Values!$B$3:$B$502,MATCH(A287&amp;"|"&amp;IF(K287=M287,1,K287+1),Values!$L$3:$L$502,0))))</f>
        <v/>
      </c>
      <c r="O287">
        <f>IF(N287="","",INDEX(Values!$J$3:$J$502,MATCH(A287&amp;"|"&amp;IF(K287=M287,1,K287+1),Values!$L$3:$L$502,0)))</f>
        <v/>
      </c>
    </row>
    <row r="288">
      <c r="H288">
        <f>IF(A288="","",IFERROR(INDEX(Attributes!$F$3:$F$52,MATCH(A288,Attributes!$A$3:$A$52,0))&amp;"","Unknown attribute"))</f>
        <v/>
      </c>
      <c r="I288">
        <f>IF(OR(A288="",B288=""),"",IF(AND(H288="Yes",D288&lt;&gt;"No"),"Yes","No"))</f>
        <v/>
      </c>
      <c r="J288">
        <f>IF(I288="Yes",COUNTIF($I$3:I288,"Yes"),"")</f>
        <v/>
      </c>
      <c r="K288">
        <f>IF(I288&lt;&gt;"Yes","",COUNTIFS($A$3:A288,SUBSTITUTE(SUBSTITUTE(A288,"?","~?"),"*","~*"),$I$3:I288,"Yes"))</f>
        <v/>
      </c>
      <c r="L288">
        <f>IF(K288="","",A288&amp;"|"&amp;K288)</f>
        <v/>
      </c>
      <c r="M288">
        <f>IF(I288&lt;&gt;"Yes","",COUNTIFS(Values!$A$3:$A$502,SUBSTITUTE(SUBSTITUTE(A288,"?","~?"),"*","~*"),Values!$I$3:$I$502,"Yes"))</f>
        <v/>
      </c>
      <c r="N288">
        <f>IF(I288&lt;&gt;"Yes","",IF(M288&lt;2,"",INDEX(Values!$B$3:$B$502,MATCH(A288&amp;"|"&amp;IF(K288=M288,1,K288+1),Values!$L$3:$L$502,0))))</f>
        <v/>
      </c>
      <c r="O288">
        <f>IF(N288="","",INDEX(Values!$J$3:$J$502,MATCH(A288&amp;"|"&amp;IF(K288=M288,1,K288+1),Values!$L$3:$L$502,0)))</f>
        <v/>
      </c>
    </row>
    <row r="289">
      <c r="H289">
        <f>IF(A289="","",IFERROR(INDEX(Attributes!$F$3:$F$52,MATCH(A289,Attributes!$A$3:$A$52,0))&amp;"","Unknown attribute"))</f>
        <v/>
      </c>
      <c r="I289">
        <f>IF(OR(A289="",B289=""),"",IF(AND(H289="Yes",D289&lt;&gt;"No"),"Yes","No"))</f>
        <v/>
      </c>
      <c r="J289">
        <f>IF(I289="Yes",COUNTIF($I$3:I289,"Yes"),"")</f>
        <v/>
      </c>
      <c r="K289">
        <f>IF(I289&lt;&gt;"Yes","",COUNTIFS($A$3:A289,SUBSTITUTE(SUBSTITUTE(A289,"?","~?"),"*","~*"),$I$3:I289,"Yes"))</f>
        <v/>
      </c>
      <c r="L289">
        <f>IF(K289="","",A289&amp;"|"&amp;K289)</f>
        <v/>
      </c>
      <c r="M289">
        <f>IF(I289&lt;&gt;"Yes","",COUNTIFS(Values!$A$3:$A$502,SUBSTITUTE(SUBSTITUTE(A289,"?","~?"),"*","~*"),Values!$I$3:$I$502,"Yes"))</f>
        <v/>
      </c>
      <c r="N289">
        <f>IF(I289&lt;&gt;"Yes","",IF(M289&lt;2,"",INDEX(Values!$B$3:$B$502,MATCH(A289&amp;"|"&amp;IF(K289=M289,1,K289+1),Values!$L$3:$L$502,0))))</f>
        <v/>
      </c>
      <c r="O289">
        <f>IF(N289="","",INDEX(Values!$J$3:$J$502,MATCH(A289&amp;"|"&amp;IF(K289=M289,1,K289+1),Values!$L$3:$L$502,0)))</f>
        <v/>
      </c>
    </row>
    <row r="290">
      <c r="H290">
        <f>IF(A290="","",IFERROR(INDEX(Attributes!$F$3:$F$52,MATCH(A290,Attributes!$A$3:$A$52,0))&amp;"","Unknown attribute"))</f>
        <v/>
      </c>
      <c r="I290">
        <f>IF(OR(A290="",B290=""),"",IF(AND(H290="Yes",D290&lt;&gt;"No"),"Yes","No"))</f>
        <v/>
      </c>
      <c r="J290">
        <f>IF(I290="Yes",COUNTIF($I$3:I290,"Yes"),"")</f>
        <v/>
      </c>
      <c r="K290">
        <f>IF(I290&lt;&gt;"Yes","",COUNTIFS($A$3:A290,SUBSTITUTE(SUBSTITUTE(A290,"?","~?"),"*","~*"),$I$3:I290,"Yes"))</f>
        <v/>
      </c>
      <c r="L290">
        <f>IF(K290="","",A290&amp;"|"&amp;K290)</f>
        <v/>
      </c>
      <c r="M290">
        <f>IF(I290&lt;&gt;"Yes","",COUNTIFS(Values!$A$3:$A$502,SUBSTITUTE(SUBSTITUTE(A290,"?","~?"),"*","~*"),Values!$I$3:$I$502,"Yes"))</f>
        <v/>
      </c>
      <c r="N290">
        <f>IF(I290&lt;&gt;"Yes","",IF(M290&lt;2,"",INDEX(Values!$B$3:$B$502,MATCH(A290&amp;"|"&amp;IF(K290=M290,1,K290+1),Values!$L$3:$L$502,0))))</f>
        <v/>
      </c>
      <c r="O290">
        <f>IF(N290="","",INDEX(Values!$J$3:$J$502,MATCH(A290&amp;"|"&amp;IF(K290=M290,1,K290+1),Values!$L$3:$L$502,0)))</f>
        <v/>
      </c>
    </row>
    <row r="291">
      <c r="H291">
        <f>IF(A291="","",IFERROR(INDEX(Attributes!$F$3:$F$52,MATCH(A291,Attributes!$A$3:$A$52,0))&amp;"","Unknown attribute"))</f>
        <v/>
      </c>
      <c r="I291">
        <f>IF(OR(A291="",B291=""),"",IF(AND(H291="Yes",D291&lt;&gt;"No"),"Yes","No"))</f>
        <v/>
      </c>
      <c r="J291">
        <f>IF(I291="Yes",COUNTIF($I$3:I291,"Yes"),"")</f>
        <v/>
      </c>
      <c r="K291">
        <f>IF(I291&lt;&gt;"Yes","",COUNTIFS($A$3:A291,SUBSTITUTE(SUBSTITUTE(A291,"?","~?"),"*","~*"),$I$3:I291,"Yes"))</f>
        <v/>
      </c>
      <c r="L291">
        <f>IF(K291="","",A291&amp;"|"&amp;K291)</f>
        <v/>
      </c>
      <c r="M291">
        <f>IF(I291&lt;&gt;"Yes","",COUNTIFS(Values!$A$3:$A$502,SUBSTITUTE(SUBSTITUTE(A291,"?","~?"),"*","~*"),Values!$I$3:$I$502,"Yes"))</f>
        <v/>
      </c>
      <c r="N291">
        <f>IF(I291&lt;&gt;"Yes","",IF(M291&lt;2,"",INDEX(Values!$B$3:$B$502,MATCH(A291&amp;"|"&amp;IF(K291=M291,1,K291+1),Values!$L$3:$L$502,0))))</f>
        <v/>
      </c>
      <c r="O291">
        <f>IF(N291="","",INDEX(Values!$J$3:$J$502,MATCH(A291&amp;"|"&amp;IF(K291=M291,1,K291+1),Values!$L$3:$L$502,0)))</f>
        <v/>
      </c>
    </row>
    <row r="292">
      <c r="H292">
        <f>IF(A292="","",IFERROR(INDEX(Attributes!$F$3:$F$52,MATCH(A292,Attributes!$A$3:$A$52,0))&amp;"","Unknown attribute"))</f>
        <v/>
      </c>
      <c r="I292">
        <f>IF(OR(A292="",B292=""),"",IF(AND(H292="Yes",D292&lt;&gt;"No"),"Yes","No"))</f>
        <v/>
      </c>
      <c r="J292">
        <f>IF(I292="Yes",COUNTIF($I$3:I292,"Yes"),"")</f>
        <v/>
      </c>
      <c r="K292">
        <f>IF(I292&lt;&gt;"Yes","",COUNTIFS($A$3:A292,SUBSTITUTE(SUBSTITUTE(A292,"?","~?"),"*","~*"),$I$3:I292,"Yes"))</f>
        <v/>
      </c>
      <c r="L292">
        <f>IF(K292="","",A292&amp;"|"&amp;K292)</f>
        <v/>
      </c>
      <c r="M292">
        <f>IF(I292&lt;&gt;"Yes","",COUNTIFS(Values!$A$3:$A$502,SUBSTITUTE(SUBSTITUTE(A292,"?","~?"),"*","~*"),Values!$I$3:$I$502,"Yes"))</f>
        <v/>
      </c>
      <c r="N292">
        <f>IF(I292&lt;&gt;"Yes","",IF(M292&lt;2,"",INDEX(Values!$B$3:$B$502,MATCH(A292&amp;"|"&amp;IF(K292=M292,1,K292+1),Values!$L$3:$L$502,0))))</f>
        <v/>
      </c>
      <c r="O292">
        <f>IF(N292="","",INDEX(Values!$J$3:$J$502,MATCH(A292&amp;"|"&amp;IF(K292=M292,1,K292+1),Values!$L$3:$L$502,0)))</f>
        <v/>
      </c>
    </row>
    <row r="293">
      <c r="H293">
        <f>IF(A293="","",IFERROR(INDEX(Attributes!$F$3:$F$52,MATCH(A293,Attributes!$A$3:$A$52,0))&amp;"","Unknown attribute"))</f>
        <v/>
      </c>
      <c r="I293">
        <f>IF(OR(A293="",B293=""),"",IF(AND(H293="Yes",D293&lt;&gt;"No"),"Yes","No"))</f>
        <v/>
      </c>
      <c r="J293">
        <f>IF(I293="Yes",COUNTIF($I$3:I293,"Yes"),"")</f>
        <v/>
      </c>
      <c r="K293">
        <f>IF(I293&lt;&gt;"Yes","",COUNTIFS($A$3:A293,SUBSTITUTE(SUBSTITUTE(A293,"?","~?"),"*","~*"),$I$3:I293,"Yes"))</f>
        <v/>
      </c>
      <c r="L293">
        <f>IF(K293="","",A293&amp;"|"&amp;K293)</f>
        <v/>
      </c>
      <c r="M293">
        <f>IF(I293&lt;&gt;"Yes","",COUNTIFS(Values!$A$3:$A$502,SUBSTITUTE(SUBSTITUTE(A293,"?","~?"),"*","~*"),Values!$I$3:$I$502,"Yes"))</f>
        <v/>
      </c>
      <c r="N293">
        <f>IF(I293&lt;&gt;"Yes","",IF(M293&lt;2,"",INDEX(Values!$B$3:$B$502,MATCH(A293&amp;"|"&amp;IF(K293=M293,1,K293+1),Values!$L$3:$L$502,0))))</f>
        <v/>
      </c>
      <c r="O293">
        <f>IF(N293="","",INDEX(Values!$J$3:$J$502,MATCH(A293&amp;"|"&amp;IF(K293=M293,1,K293+1),Values!$L$3:$L$502,0)))</f>
        <v/>
      </c>
    </row>
    <row r="294">
      <c r="H294">
        <f>IF(A294="","",IFERROR(INDEX(Attributes!$F$3:$F$52,MATCH(A294,Attributes!$A$3:$A$52,0))&amp;"","Unknown attribute"))</f>
        <v/>
      </c>
      <c r="I294">
        <f>IF(OR(A294="",B294=""),"",IF(AND(H294="Yes",D294&lt;&gt;"No"),"Yes","No"))</f>
        <v/>
      </c>
      <c r="J294">
        <f>IF(I294="Yes",COUNTIF($I$3:I294,"Yes"),"")</f>
        <v/>
      </c>
      <c r="K294">
        <f>IF(I294&lt;&gt;"Yes","",COUNTIFS($A$3:A294,SUBSTITUTE(SUBSTITUTE(A294,"?","~?"),"*","~*"),$I$3:I294,"Yes"))</f>
        <v/>
      </c>
      <c r="L294">
        <f>IF(K294="","",A294&amp;"|"&amp;K294)</f>
        <v/>
      </c>
      <c r="M294">
        <f>IF(I294&lt;&gt;"Yes","",COUNTIFS(Values!$A$3:$A$502,SUBSTITUTE(SUBSTITUTE(A294,"?","~?"),"*","~*"),Values!$I$3:$I$502,"Yes"))</f>
        <v/>
      </c>
      <c r="N294">
        <f>IF(I294&lt;&gt;"Yes","",IF(M294&lt;2,"",INDEX(Values!$B$3:$B$502,MATCH(A294&amp;"|"&amp;IF(K294=M294,1,K294+1),Values!$L$3:$L$502,0))))</f>
        <v/>
      </c>
      <c r="O294">
        <f>IF(N294="","",INDEX(Values!$J$3:$J$502,MATCH(A294&amp;"|"&amp;IF(K294=M294,1,K294+1),Values!$L$3:$L$502,0)))</f>
        <v/>
      </c>
    </row>
    <row r="295">
      <c r="H295">
        <f>IF(A295="","",IFERROR(INDEX(Attributes!$F$3:$F$52,MATCH(A295,Attributes!$A$3:$A$52,0))&amp;"","Unknown attribute"))</f>
        <v/>
      </c>
      <c r="I295">
        <f>IF(OR(A295="",B295=""),"",IF(AND(H295="Yes",D295&lt;&gt;"No"),"Yes","No"))</f>
        <v/>
      </c>
      <c r="J295">
        <f>IF(I295="Yes",COUNTIF($I$3:I295,"Yes"),"")</f>
        <v/>
      </c>
      <c r="K295">
        <f>IF(I295&lt;&gt;"Yes","",COUNTIFS($A$3:A295,SUBSTITUTE(SUBSTITUTE(A295,"?","~?"),"*","~*"),$I$3:I295,"Yes"))</f>
        <v/>
      </c>
      <c r="L295">
        <f>IF(K295="","",A295&amp;"|"&amp;K295)</f>
        <v/>
      </c>
      <c r="M295">
        <f>IF(I295&lt;&gt;"Yes","",COUNTIFS(Values!$A$3:$A$502,SUBSTITUTE(SUBSTITUTE(A295,"?","~?"),"*","~*"),Values!$I$3:$I$502,"Yes"))</f>
        <v/>
      </c>
      <c r="N295">
        <f>IF(I295&lt;&gt;"Yes","",IF(M295&lt;2,"",INDEX(Values!$B$3:$B$502,MATCH(A295&amp;"|"&amp;IF(K295=M295,1,K295+1),Values!$L$3:$L$502,0))))</f>
        <v/>
      </c>
      <c r="O295">
        <f>IF(N295="","",INDEX(Values!$J$3:$J$502,MATCH(A295&amp;"|"&amp;IF(K295=M295,1,K295+1),Values!$L$3:$L$502,0)))</f>
        <v/>
      </c>
    </row>
    <row r="296">
      <c r="H296">
        <f>IF(A296="","",IFERROR(INDEX(Attributes!$F$3:$F$52,MATCH(A296,Attributes!$A$3:$A$52,0))&amp;"","Unknown attribute"))</f>
        <v/>
      </c>
      <c r="I296">
        <f>IF(OR(A296="",B296=""),"",IF(AND(H296="Yes",D296&lt;&gt;"No"),"Yes","No"))</f>
        <v/>
      </c>
      <c r="J296">
        <f>IF(I296="Yes",COUNTIF($I$3:I296,"Yes"),"")</f>
        <v/>
      </c>
      <c r="K296">
        <f>IF(I296&lt;&gt;"Yes","",COUNTIFS($A$3:A296,SUBSTITUTE(SUBSTITUTE(A296,"?","~?"),"*","~*"),$I$3:I296,"Yes"))</f>
        <v/>
      </c>
      <c r="L296">
        <f>IF(K296="","",A296&amp;"|"&amp;K296)</f>
        <v/>
      </c>
      <c r="M296">
        <f>IF(I296&lt;&gt;"Yes","",COUNTIFS(Values!$A$3:$A$502,SUBSTITUTE(SUBSTITUTE(A296,"?","~?"),"*","~*"),Values!$I$3:$I$502,"Yes"))</f>
        <v/>
      </c>
      <c r="N296">
        <f>IF(I296&lt;&gt;"Yes","",IF(M296&lt;2,"",INDEX(Values!$B$3:$B$502,MATCH(A296&amp;"|"&amp;IF(K296=M296,1,K296+1),Values!$L$3:$L$502,0))))</f>
        <v/>
      </c>
      <c r="O296">
        <f>IF(N296="","",INDEX(Values!$J$3:$J$502,MATCH(A296&amp;"|"&amp;IF(K296=M296,1,K296+1),Values!$L$3:$L$502,0)))</f>
        <v/>
      </c>
    </row>
    <row r="297">
      <c r="H297">
        <f>IF(A297="","",IFERROR(INDEX(Attributes!$F$3:$F$52,MATCH(A297,Attributes!$A$3:$A$52,0))&amp;"","Unknown attribute"))</f>
        <v/>
      </c>
      <c r="I297">
        <f>IF(OR(A297="",B297=""),"",IF(AND(H297="Yes",D297&lt;&gt;"No"),"Yes","No"))</f>
        <v/>
      </c>
      <c r="J297">
        <f>IF(I297="Yes",COUNTIF($I$3:I297,"Yes"),"")</f>
        <v/>
      </c>
      <c r="K297">
        <f>IF(I297&lt;&gt;"Yes","",COUNTIFS($A$3:A297,SUBSTITUTE(SUBSTITUTE(A297,"?","~?"),"*","~*"),$I$3:I297,"Yes"))</f>
        <v/>
      </c>
      <c r="L297">
        <f>IF(K297="","",A297&amp;"|"&amp;K297)</f>
        <v/>
      </c>
      <c r="M297">
        <f>IF(I297&lt;&gt;"Yes","",COUNTIFS(Values!$A$3:$A$502,SUBSTITUTE(SUBSTITUTE(A297,"?","~?"),"*","~*"),Values!$I$3:$I$502,"Yes"))</f>
        <v/>
      </c>
      <c r="N297">
        <f>IF(I297&lt;&gt;"Yes","",IF(M297&lt;2,"",INDEX(Values!$B$3:$B$502,MATCH(A297&amp;"|"&amp;IF(K297=M297,1,K297+1),Values!$L$3:$L$502,0))))</f>
        <v/>
      </c>
      <c r="O297">
        <f>IF(N297="","",INDEX(Values!$J$3:$J$502,MATCH(A297&amp;"|"&amp;IF(K297=M297,1,K297+1),Values!$L$3:$L$502,0)))</f>
        <v/>
      </c>
    </row>
    <row r="298">
      <c r="H298">
        <f>IF(A298="","",IFERROR(INDEX(Attributes!$F$3:$F$52,MATCH(A298,Attributes!$A$3:$A$52,0))&amp;"","Unknown attribute"))</f>
        <v/>
      </c>
      <c r="I298">
        <f>IF(OR(A298="",B298=""),"",IF(AND(H298="Yes",D298&lt;&gt;"No"),"Yes","No"))</f>
        <v/>
      </c>
      <c r="J298">
        <f>IF(I298="Yes",COUNTIF($I$3:I298,"Yes"),"")</f>
        <v/>
      </c>
      <c r="K298">
        <f>IF(I298&lt;&gt;"Yes","",COUNTIFS($A$3:A298,SUBSTITUTE(SUBSTITUTE(A298,"?","~?"),"*","~*"),$I$3:I298,"Yes"))</f>
        <v/>
      </c>
      <c r="L298">
        <f>IF(K298="","",A298&amp;"|"&amp;K298)</f>
        <v/>
      </c>
      <c r="M298">
        <f>IF(I298&lt;&gt;"Yes","",COUNTIFS(Values!$A$3:$A$502,SUBSTITUTE(SUBSTITUTE(A298,"?","~?"),"*","~*"),Values!$I$3:$I$502,"Yes"))</f>
        <v/>
      </c>
      <c r="N298">
        <f>IF(I298&lt;&gt;"Yes","",IF(M298&lt;2,"",INDEX(Values!$B$3:$B$502,MATCH(A298&amp;"|"&amp;IF(K298=M298,1,K298+1),Values!$L$3:$L$502,0))))</f>
        <v/>
      </c>
      <c r="O298">
        <f>IF(N298="","",INDEX(Values!$J$3:$J$502,MATCH(A298&amp;"|"&amp;IF(K298=M298,1,K298+1),Values!$L$3:$L$502,0)))</f>
        <v/>
      </c>
    </row>
    <row r="299">
      <c r="H299">
        <f>IF(A299="","",IFERROR(INDEX(Attributes!$F$3:$F$52,MATCH(A299,Attributes!$A$3:$A$52,0))&amp;"","Unknown attribute"))</f>
        <v/>
      </c>
      <c r="I299">
        <f>IF(OR(A299="",B299=""),"",IF(AND(H299="Yes",D299&lt;&gt;"No"),"Yes","No"))</f>
        <v/>
      </c>
      <c r="J299">
        <f>IF(I299="Yes",COUNTIF($I$3:I299,"Yes"),"")</f>
        <v/>
      </c>
      <c r="K299">
        <f>IF(I299&lt;&gt;"Yes","",COUNTIFS($A$3:A299,SUBSTITUTE(SUBSTITUTE(A299,"?","~?"),"*","~*"),$I$3:I299,"Yes"))</f>
        <v/>
      </c>
      <c r="L299">
        <f>IF(K299="","",A299&amp;"|"&amp;K299)</f>
        <v/>
      </c>
      <c r="M299">
        <f>IF(I299&lt;&gt;"Yes","",COUNTIFS(Values!$A$3:$A$502,SUBSTITUTE(SUBSTITUTE(A299,"?","~?"),"*","~*"),Values!$I$3:$I$502,"Yes"))</f>
        <v/>
      </c>
      <c r="N299">
        <f>IF(I299&lt;&gt;"Yes","",IF(M299&lt;2,"",INDEX(Values!$B$3:$B$502,MATCH(A299&amp;"|"&amp;IF(K299=M299,1,K299+1),Values!$L$3:$L$502,0))))</f>
        <v/>
      </c>
      <c r="O299">
        <f>IF(N299="","",INDEX(Values!$J$3:$J$502,MATCH(A299&amp;"|"&amp;IF(K299=M299,1,K299+1),Values!$L$3:$L$502,0)))</f>
        <v/>
      </c>
    </row>
    <row r="300">
      <c r="H300">
        <f>IF(A300="","",IFERROR(INDEX(Attributes!$F$3:$F$52,MATCH(A300,Attributes!$A$3:$A$52,0))&amp;"","Unknown attribute"))</f>
        <v/>
      </c>
      <c r="I300">
        <f>IF(OR(A300="",B300=""),"",IF(AND(H300="Yes",D300&lt;&gt;"No"),"Yes","No"))</f>
        <v/>
      </c>
      <c r="J300">
        <f>IF(I300="Yes",COUNTIF($I$3:I300,"Yes"),"")</f>
        <v/>
      </c>
      <c r="K300">
        <f>IF(I300&lt;&gt;"Yes","",COUNTIFS($A$3:A300,SUBSTITUTE(SUBSTITUTE(A300,"?","~?"),"*","~*"),$I$3:I300,"Yes"))</f>
        <v/>
      </c>
      <c r="L300">
        <f>IF(K300="","",A300&amp;"|"&amp;K300)</f>
        <v/>
      </c>
      <c r="M300">
        <f>IF(I300&lt;&gt;"Yes","",COUNTIFS(Values!$A$3:$A$502,SUBSTITUTE(SUBSTITUTE(A300,"?","~?"),"*","~*"),Values!$I$3:$I$502,"Yes"))</f>
        <v/>
      </c>
      <c r="N300">
        <f>IF(I300&lt;&gt;"Yes","",IF(M300&lt;2,"",INDEX(Values!$B$3:$B$502,MATCH(A300&amp;"|"&amp;IF(K300=M300,1,K300+1),Values!$L$3:$L$502,0))))</f>
        <v/>
      </c>
      <c r="O300">
        <f>IF(N300="","",INDEX(Values!$J$3:$J$502,MATCH(A300&amp;"|"&amp;IF(K300=M300,1,K300+1),Values!$L$3:$L$502,0)))</f>
        <v/>
      </c>
    </row>
    <row r="301">
      <c r="H301">
        <f>IF(A301="","",IFERROR(INDEX(Attributes!$F$3:$F$52,MATCH(A301,Attributes!$A$3:$A$52,0))&amp;"","Unknown attribute"))</f>
        <v/>
      </c>
      <c r="I301">
        <f>IF(OR(A301="",B301=""),"",IF(AND(H301="Yes",D301&lt;&gt;"No"),"Yes","No"))</f>
        <v/>
      </c>
      <c r="J301">
        <f>IF(I301="Yes",COUNTIF($I$3:I301,"Yes"),"")</f>
        <v/>
      </c>
      <c r="K301">
        <f>IF(I301&lt;&gt;"Yes","",COUNTIFS($A$3:A301,SUBSTITUTE(SUBSTITUTE(A301,"?","~?"),"*","~*"),$I$3:I301,"Yes"))</f>
        <v/>
      </c>
      <c r="L301">
        <f>IF(K301="","",A301&amp;"|"&amp;K301)</f>
        <v/>
      </c>
      <c r="M301">
        <f>IF(I301&lt;&gt;"Yes","",COUNTIFS(Values!$A$3:$A$502,SUBSTITUTE(SUBSTITUTE(A301,"?","~?"),"*","~*"),Values!$I$3:$I$502,"Yes"))</f>
        <v/>
      </c>
      <c r="N301">
        <f>IF(I301&lt;&gt;"Yes","",IF(M301&lt;2,"",INDEX(Values!$B$3:$B$502,MATCH(A301&amp;"|"&amp;IF(K301=M301,1,K301+1),Values!$L$3:$L$502,0))))</f>
        <v/>
      </c>
      <c r="O301">
        <f>IF(N301="","",INDEX(Values!$J$3:$J$502,MATCH(A301&amp;"|"&amp;IF(K301=M301,1,K301+1),Values!$L$3:$L$502,0)))</f>
        <v/>
      </c>
    </row>
    <row r="302">
      <c r="H302">
        <f>IF(A302="","",IFERROR(INDEX(Attributes!$F$3:$F$52,MATCH(A302,Attributes!$A$3:$A$52,0))&amp;"","Unknown attribute"))</f>
        <v/>
      </c>
      <c r="I302">
        <f>IF(OR(A302="",B302=""),"",IF(AND(H302="Yes",D302&lt;&gt;"No"),"Yes","No"))</f>
        <v/>
      </c>
      <c r="J302">
        <f>IF(I302="Yes",COUNTIF($I$3:I302,"Yes"),"")</f>
        <v/>
      </c>
      <c r="K302">
        <f>IF(I302&lt;&gt;"Yes","",COUNTIFS($A$3:A302,SUBSTITUTE(SUBSTITUTE(A302,"?","~?"),"*","~*"),$I$3:I302,"Yes"))</f>
        <v/>
      </c>
      <c r="L302">
        <f>IF(K302="","",A302&amp;"|"&amp;K302)</f>
        <v/>
      </c>
      <c r="M302">
        <f>IF(I302&lt;&gt;"Yes","",COUNTIFS(Values!$A$3:$A$502,SUBSTITUTE(SUBSTITUTE(A302,"?","~?"),"*","~*"),Values!$I$3:$I$502,"Yes"))</f>
        <v/>
      </c>
      <c r="N302">
        <f>IF(I302&lt;&gt;"Yes","",IF(M302&lt;2,"",INDEX(Values!$B$3:$B$502,MATCH(A302&amp;"|"&amp;IF(K302=M302,1,K302+1),Values!$L$3:$L$502,0))))</f>
        <v/>
      </c>
      <c r="O302">
        <f>IF(N302="","",INDEX(Values!$J$3:$J$502,MATCH(A302&amp;"|"&amp;IF(K302=M302,1,K302+1),Values!$L$3:$L$502,0)))</f>
        <v/>
      </c>
    </row>
    <row r="303">
      <c r="H303">
        <f>IF(A303="","",IFERROR(INDEX(Attributes!$F$3:$F$52,MATCH(A303,Attributes!$A$3:$A$52,0))&amp;"","Unknown attribute"))</f>
        <v/>
      </c>
      <c r="I303">
        <f>IF(OR(A303="",B303=""),"",IF(AND(H303="Yes",D303&lt;&gt;"No"),"Yes","No"))</f>
        <v/>
      </c>
      <c r="J303">
        <f>IF(I303="Yes",COUNTIF($I$3:I303,"Yes"),"")</f>
        <v/>
      </c>
      <c r="K303">
        <f>IF(I303&lt;&gt;"Yes","",COUNTIFS($A$3:A303,SUBSTITUTE(SUBSTITUTE(A303,"?","~?"),"*","~*"),$I$3:I303,"Yes"))</f>
        <v/>
      </c>
      <c r="L303">
        <f>IF(K303="","",A303&amp;"|"&amp;K303)</f>
        <v/>
      </c>
      <c r="M303">
        <f>IF(I303&lt;&gt;"Yes","",COUNTIFS(Values!$A$3:$A$502,SUBSTITUTE(SUBSTITUTE(A303,"?","~?"),"*","~*"),Values!$I$3:$I$502,"Yes"))</f>
        <v/>
      </c>
      <c r="N303">
        <f>IF(I303&lt;&gt;"Yes","",IF(M303&lt;2,"",INDEX(Values!$B$3:$B$502,MATCH(A303&amp;"|"&amp;IF(K303=M303,1,K303+1),Values!$L$3:$L$502,0))))</f>
        <v/>
      </c>
      <c r="O303">
        <f>IF(N303="","",INDEX(Values!$J$3:$J$502,MATCH(A303&amp;"|"&amp;IF(K303=M303,1,K303+1),Values!$L$3:$L$502,0)))</f>
        <v/>
      </c>
    </row>
    <row r="304">
      <c r="H304">
        <f>IF(A304="","",IFERROR(INDEX(Attributes!$F$3:$F$52,MATCH(A304,Attributes!$A$3:$A$52,0))&amp;"","Unknown attribute"))</f>
        <v/>
      </c>
      <c r="I304">
        <f>IF(OR(A304="",B304=""),"",IF(AND(H304="Yes",D304&lt;&gt;"No"),"Yes","No"))</f>
        <v/>
      </c>
      <c r="J304">
        <f>IF(I304="Yes",COUNTIF($I$3:I304,"Yes"),"")</f>
        <v/>
      </c>
      <c r="K304">
        <f>IF(I304&lt;&gt;"Yes","",COUNTIFS($A$3:A304,SUBSTITUTE(SUBSTITUTE(A304,"?","~?"),"*","~*"),$I$3:I304,"Yes"))</f>
        <v/>
      </c>
      <c r="L304">
        <f>IF(K304="","",A304&amp;"|"&amp;K304)</f>
        <v/>
      </c>
      <c r="M304">
        <f>IF(I304&lt;&gt;"Yes","",COUNTIFS(Values!$A$3:$A$502,SUBSTITUTE(SUBSTITUTE(A304,"?","~?"),"*","~*"),Values!$I$3:$I$502,"Yes"))</f>
        <v/>
      </c>
      <c r="N304">
        <f>IF(I304&lt;&gt;"Yes","",IF(M304&lt;2,"",INDEX(Values!$B$3:$B$502,MATCH(A304&amp;"|"&amp;IF(K304=M304,1,K304+1),Values!$L$3:$L$502,0))))</f>
        <v/>
      </c>
      <c r="O304">
        <f>IF(N304="","",INDEX(Values!$J$3:$J$502,MATCH(A304&amp;"|"&amp;IF(K304=M304,1,K304+1),Values!$L$3:$L$502,0)))</f>
        <v/>
      </c>
    </row>
    <row r="305">
      <c r="H305">
        <f>IF(A305="","",IFERROR(INDEX(Attributes!$F$3:$F$52,MATCH(A305,Attributes!$A$3:$A$52,0))&amp;"","Unknown attribute"))</f>
        <v/>
      </c>
      <c r="I305">
        <f>IF(OR(A305="",B305=""),"",IF(AND(H305="Yes",D305&lt;&gt;"No"),"Yes","No"))</f>
        <v/>
      </c>
      <c r="J305">
        <f>IF(I305="Yes",COUNTIF($I$3:I305,"Yes"),"")</f>
        <v/>
      </c>
      <c r="K305">
        <f>IF(I305&lt;&gt;"Yes","",COUNTIFS($A$3:A305,SUBSTITUTE(SUBSTITUTE(A305,"?","~?"),"*","~*"),$I$3:I305,"Yes"))</f>
        <v/>
      </c>
      <c r="L305">
        <f>IF(K305="","",A305&amp;"|"&amp;K305)</f>
        <v/>
      </c>
      <c r="M305">
        <f>IF(I305&lt;&gt;"Yes","",COUNTIFS(Values!$A$3:$A$502,SUBSTITUTE(SUBSTITUTE(A305,"?","~?"),"*","~*"),Values!$I$3:$I$502,"Yes"))</f>
        <v/>
      </c>
      <c r="N305">
        <f>IF(I305&lt;&gt;"Yes","",IF(M305&lt;2,"",INDEX(Values!$B$3:$B$502,MATCH(A305&amp;"|"&amp;IF(K305=M305,1,K305+1),Values!$L$3:$L$502,0))))</f>
        <v/>
      </c>
      <c r="O305">
        <f>IF(N305="","",INDEX(Values!$J$3:$J$502,MATCH(A305&amp;"|"&amp;IF(K305=M305,1,K305+1),Values!$L$3:$L$502,0)))</f>
        <v/>
      </c>
    </row>
    <row r="306">
      <c r="H306">
        <f>IF(A306="","",IFERROR(INDEX(Attributes!$F$3:$F$52,MATCH(A306,Attributes!$A$3:$A$52,0))&amp;"","Unknown attribute"))</f>
        <v/>
      </c>
      <c r="I306">
        <f>IF(OR(A306="",B306=""),"",IF(AND(H306="Yes",D306&lt;&gt;"No"),"Yes","No"))</f>
        <v/>
      </c>
      <c r="J306">
        <f>IF(I306="Yes",COUNTIF($I$3:I306,"Yes"),"")</f>
        <v/>
      </c>
      <c r="K306">
        <f>IF(I306&lt;&gt;"Yes","",COUNTIFS($A$3:A306,SUBSTITUTE(SUBSTITUTE(A306,"?","~?"),"*","~*"),$I$3:I306,"Yes"))</f>
        <v/>
      </c>
      <c r="L306">
        <f>IF(K306="","",A306&amp;"|"&amp;K306)</f>
        <v/>
      </c>
      <c r="M306">
        <f>IF(I306&lt;&gt;"Yes","",COUNTIFS(Values!$A$3:$A$502,SUBSTITUTE(SUBSTITUTE(A306,"?","~?"),"*","~*"),Values!$I$3:$I$502,"Yes"))</f>
        <v/>
      </c>
      <c r="N306">
        <f>IF(I306&lt;&gt;"Yes","",IF(M306&lt;2,"",INDEX(Values!$B$3:$B$502,MATCH(A306&amp;"|"&amp;IF(K306=M306,1,K306+1),Values!$L$3:$L$502,0))))</f>
        <v/>
      </c>
      <c r="O306">
        <f>IF(N306="","",INDEX(Values!$J$3:$J$502,MATCH(A306&amp;"|"&amp;IF(K306=M306,1,K306+1),Values!$L$3:$L$502,0)))</f>
        <v/>
      </c>
    </row>
    <row r="307">
      <c r="H307">
        <f>IF(A307="","",IFERROR(INDEX(Attributes!$F$3:$F$52,MATCH(A307,Attributes!$A$3:$A$52,0))&amp;"","Unknown attribute"))</f>
        <v/>
      </c>
      <c r="I307">
        <f>IF(OR(A307="",B307=""),"",IF(AND(H307="Yes",D307&lt;&gt;"No"),"Yes","No"))</f>
        <v/>
      </c>
      <c r="J307">
        <f>IF(I307="Yes",COUNTIF($I$3:I307,"Yes"),"")</f>
        <v/>
      </c>
      <c r="K307">
        <f>IF(I307&lt;&gt;"Yes","",COUNTIFS($A$3:A307,SUBSTITUTE(SUBSTITUTE(A307,"?","~?"),"*","~*"),$I$3:I307,"Yes"))</f>
        <v/>
      </c>
      <c r="L307">
        <f>IF(K307="","",A307&amp;"|"&amp;K307)</f>
        <v/>
      </c>
      <c r="M307">
        <f>IF(I307&lt;&gt;"Yes","",COUNTIFS(Values!$A$3:$A$502,SUBSTITUTE(SUBSTITUTE(A307,"?","~?"),"*","~*"),Values!$I$3:$I$502,"Yes"))</f>
        <v/>
      </c>
      <c r="N307">
        <f>IF(I307&lt;&gt;"Yes","",IF(M307&lt;2,"",INDEX(Values!$B$3:$B$502,MATCH(A307&amp;"|"&amp;IF(K307=M307,1,K307+1),Values!$L$3:$L$502,0))))</f>
        <v/>
      </c>
      <c r="O307">
        <f>IF(N307="","",INDEX(Values!$J$3:$J$502,MATCH(A307&amp;"|"&amp;IF(K307=M307,1,K307+1),Values!$L$3:$L$502,0)))</f>
        <v/>
      </c>
    </row>
    <row r="308">
      <c r="H308">
        <f>IF(A308="","",IFERROR(INDEX(Attributes!$F$3:$F$52,MATCH(A308,Attributes!$A$3:$A$52,0))&amp;"","Unknown attribute"))</f>
        <v/>
      </c>
      <c r="I308">
        <f>IF(OR(A308="",B308=""),"",IF(AND(H308="Yes",D308&lt;&gt;"No"),"Yes","No"))</f>
        <v/>
      </c>
      <c r="J308">
        <f>IF(I308="Yes",COUNTIF($I$3:I308,"Yes"),"")</f>
        <v/>
      </c>
      <c r="K308">
        <f>IF(I308&lt;&gt;"Yes","",COUNTIFS($A$3:A308,SUBSTITUTE(SUBSTITUTE(A308,"?","~?"),"*","~*"),$I$3:I308,"Yes"))</f>
        <v/>
      </c>
      <c r="L308">
        <f>IF(K308="","",A308&amp;"|"&amp;K308)</f>
        <v/>
      </c>
      <c r="M308">
        <f>IF(I308&lt;&gt;"Yes","",COUNTIFS(Values!$A$3:$A$502,SUBSTITUTE(SUBSTITUTE(A308,"?","~?"),"*","~*"),Values!$I$3:$I$502,"Yes"))</f>
        <v/>
      </c>
      <c r="N308">
        <f>IF(I308&lt;&gt;"Yes","",IF(M308&lt;2,"",INDEX(Values!$B$3:$B$502,MATCH(A308&amp;"|"&amp;IF(K308=M308,1,K308+1),Values!$L$3:$L$502,0))))</f>
        <v/>
      </c>
      <c r="O308">
        <f>IF(N308="","",INDEX(Values!$J$3:$J$502,MATCH(A308&amp;"|"&amp;IF(K308=M308,1,K308+1),Values!$L$3:$L$502,0)))</f>
        <v/>
      </c>
    </row>
    <row r="309">
      <c r="H309">
        <f>IF(A309="","",IFERROR(INDEX(Attributes!$F$3:$F$52,MATCH(A309,Attributes!$A$3:$A$52,0))&amp;"","Unknown attribute"))</f>
        <v/>
      </c>
      <c r="I309">
        <f>IF(OR(A309="",B309=""),"",IF(AND(H309="Yes",D309&lt;&gt;"No"),"Yes","No"))</f>
        <v/>
      </c>
      <c r="J309">
        <f>IF(I309="Yes",COUNTIF($I$3:I309,"Yes"),"")</f>
        <v/>
      </c>
      <c r="K309">
        <f>IF(I309&lt;&gt;"Yes","",COUNTIFS($A$3:A309,SUBSTITUTE(SUBSTITUTE(A309,"?","~?"),"*","~*"),$I$3:I309,"Yes"))</f>
        <v/>
      </c>
      <c r="L309">
        <f>IF(K309="","",A309&amp;"|"&amp;K309)</f>
        <v/>
      </c>
      <c r="M309">
        <f>IF(I309&lt;&gt;"Yes","",COUNTIFS(Values!$A$3:$A$502,SUBSTITUTE(SUBSTITUTE(A309,"?","~?"),"*","~*"),Values!$I$3:$I$502,"Yes"))</f>
        <v/>
      </c>
      <c r="N309">
        <f>IF(I309&lt;&gt;"Yes","",IF(M309&lt;2,"",INDEX(Values!$B$3:$B$502,MATCH(A309&amp;"|"&amp;IF(K309=M309,1,K309+1),Values!$L$3:$L$502,0))))</f>
        <v/>
      </c>
      <c r="O309">
        <f>IF(N309="","",INDEX(Values!$J$3:$J$502,MATCH(A309&amp;"|"&amp;IF(K309=M309,1,K309+1),Values!$L$3:$L$502,0)))</f>
        <v/>
      </c>
    </row>
    <row r="310">
      <c r="H310">
        <f>IF(A310="","",IFERROR(INDEX(Attributes!$F$3:$F$52,MATCH(A310,Attributes!$A$3:$A$52,0))&amp;"","Unknown attribute"))</f>
        <v/>
      </c>
      <c r="I310">
        <f>IF(OR(A310="",B310=""),"",IF(AND(H310="Yes",D310&lt;&gt;"No"),"Yes","No"))</f>
        <v/>
      </c>
      <c r="J310">
        <f>IF(I310="Yes",COUNTIF($I$3:I310,"Yes"),"")</f>
        <v/>
      </c>
      <c r="K310">
        <f>IF(I310&lt;&gt;"Yes","",COUNTIFS($A$3:A310,SUBSTITUTE(SUBSTITUTE(A310,"?","~?"),"*","~*"),$I$3:I310,"Yes"))</f>
        <v/>
      </c>
      <c r="L310">
        <f>IF(K310="","",A310&amp;"|"&amp;K310)</f>
        <v/>
      </c>
      <c r="M310">
        <f>IF(I310&lt;&gt;"Yes","",COUNTIFS(Values!$A$3:$A$502,SUBSTITUTE(SUBSTITUTE(A310,"?","~?"),"*","~*"),Values!$I$3:$I$502,"Yes"))</f>
        <v/>
      </c>
      <c r="N310">
        <f>IF(I310&lt;&gt;"Yes","",IF(M310&lt;2,"",INDEX(Values!$B$3:$B$502,MATCH(A310&amp;"|"&amp;IF(K310=M310,1,K310+1),Values!$L$3:$L$502,0))))</f>
        <v/>
      </c>
      <c r="O310">
        <f>IF(N310="","",INDEX(Values!$J$3:$J$502,MATCH(A310&amp;"|"&amp;IF(K310=M310,1,K310+1),Values!$L$3:$L$502,0)))</f>
        <v/>
      </c>
    </row>
    <row r="311">
      <c r="H311">
        <f>IF(A311="","",IFERROR(INDEX(Attributes!$F$3:$F$52,MATCH(A311,Attributes!$A$3:$A$52,0))&amp;"","Unknown attribute"))</f>
        <v/>
      </c>
      <c r="I311">
        <f>IF(OR(A311="",B311=""),"",IF(AND(H311="Yes",D311&lt;&gt;"No"),"Yes","No"))</f>
        <v/>
      </c>
      <c r="J311">
        <f>IF(I311="Yes",COUNTIF($I$3:I311,"Yes"),"")</f>
        <v/>
      </c>
      <c r="K311">
        <f>IF(I311&lt;&gt;"Yes","",COUNTIFS($A$3:A311,SUBSTITUTE(SUBSTITUTE(A311,"?","~?"),"*","~*"),$I$3:I311,"Yes"))</f>
        <v/>
      </c>
      <c r="L311">
        <f>IF(K311="","",A311&amp;"|"&amp;K311)</f>
        <v/>
      </c>
      <c r="M311">
        <f>IF(I311&lt;&gt;"Yes","",COUNTIFS(Values!$A$3:$A$502,SUBSTITUTE(SUBSTITUTE(A311,"?","~?"),"*","~*"),Values!$I$3:$I$502,"Yes"))</f>
        <v/>
      </c>
      <c r="N311">
        <f>IF(I311&lt;&gt;"Yes","",IF(M311&lt;2,"",INDEX(Values!$B$3:$B$502,MATCH(A311&amp;"|"&amp;IF(K311=M311,1,K311+1),Values!$L$3:$L$502,0))))</f>
        <v/>
      </c>
      <c r="O311">
        <f>IF(N311="","",INDEX(Values!$J$3:$J$502,MATCH(A311&amp;"|"&amp;IF(K311=M311,1,K311+1),Values!$L$3:$L$502,0)))</f>
        <v/>
      </c>
    </row>
    <row r="312">
      <c r="H312">
        <f>IF(A312="","",IFERROR(INDEX(Attributes!$F$3:$F$52,MATCH(A312,Attributes!$A$3:$A$52,0))&amp;"","Unknown attribute"))</f>
        <v/>
      </c>
      <c r="I312">
        <f>IF(OR(A312="",B312=""),"",IF(AND(H312="Yes",D312&lt;&gt;"No"),"Yes","No"))</f>
        <v/>
      </c>
      <c r="J312">
        <f>IF(I312="Yes",COUNTIF($I$3:I312,"Yes"),"")</f>
        <v/>
      </c>
      <c r="K312">
        <f>IF(I312&lt;&gt;"Yes","",COUNTIFS($A$3:A312,SUBSTITUTE(SUBSTITUTE(A312,"?","~?"),"*","~*"),$I$3:I312,"Yes"))</f>
        <v/>
      </c>
      <c r="L312">
        <f>IF(K312="","",A312&amp;"|"&amp;K312)</f>
        <v/>
      </c>
      <c r="M312">
        <f>IF(I312&lt;&gt;"Yes","",COUNTIFS(Values!$A$3:$A$502,SUBSTITUTE(SUBSTITUTE(A312,"?","~?"),"*","~*"),Values!$I$3:$I$502,"Yes"))</f>
        <v/>
      </c>
      <c r="N312">
        <f>IF(I312&lt;&gt;"Yes","",IF(M312&lt;2,"",INDEX(Values!$B$3:$B$502,MATCH(A312&amp;"|"&amp;IF(K312=M312,1,K312+1),Values!$L$3:$L$502,0))))</f>
        <v/>
      </c>
      <c r="O312">
        <f>IF(N312="","",INDEX(Values!$J$3:$J$502,MATCH(A312&amp;"|"&amp;IF(K312=M312,1,K312+1),Values!$L$3:$L$502,0)))</f>
        <v/>
      </c>
    </row>
    <row r="313">
      <c r="H313">
        <f>IF(A313="","",IFERROR(INDEX(Attributes!$F$3:$F$52,MATCH(A313,Attributes!$A$3:$A$52,0))&amp;"","Unknown attribute"))</f>
        <v/>
      </c>
      <c r="I313">
        <f>IF(OR(A313="",B313=""),"",IF(AND(H313="Yes",D313&lt;&gt;"No"),"Yes","No"))</f>
        <v/>
      </c>
      <c r="J313">
        <f>IF(I313="Yes",COUNTIF($I$3:I313,"Yes"),"")</f>
        <v/>
      </c>
      <c r="K313">
        <f>IF(I313&lt;&gt;"Yes","",COUNTIFS($A$3:A313,SUBSTITUTE(SUBSTITUTE(A313,"?","~?"),"*","~*"),$I$3:I313,"Yes"))</f>
        <v/>
      </c>
      <c r="L313">
        <f>IF(K313="","",A313&amp;"|"&amp;K313)</f>
        <v/>
      </c>
      <c r="M313">
        <f>IF(I313&lt;&gt;"Yes","",COUNTIFS(Values!$A$3:$A$502,SUBSTITUTE(SUBSTITUTE(A313,"?","~?"),"*","~*"),Values!$I$3:$I$502,"Yes"))</f>
        <v/>
      </c>
      <c r="N313">
        <f>IF(I313&lt;&gt;"Yes","",IF(M313&lt;2,"",INDEX(Values!$B$3:$B$502,MATCH(A313&amp;"|"&amp;IF(K313=M313,1,K313+1),Values!$L$3:$L$502,0))))</f>
        <v/>
      </c>
      <c r="O313">
        <f>IF(N313="","",INDEX(Values!$J$3:$J$502,MATCH(A313&amp;"|"&amp;IF(K313=M313,1,K313+1),Values!$L$3:$L$502,0)))</f>
        <v/>
      </c>
    </row>
    <row r="314">
      <c r="H314">
        <f>IF(A314="","",IFERROR(INDEX(Attributes!$F$3:$F$52,MATCH(A314,Attributes!$A$3:$A$52,0))&amp;"","Unknown attribute"))</f>
        <v/>
      </c>
      <c r="I314">
        <f>IF(OR(A314="",B314=""),"",IF(AND(H314="Yes",D314&lt;&gt;"No"),"Yes","No"))</f>
        <v/>
      </c>
      <c r="J314">
        <f>IF(I314="Yes",COUNTIF($I$3:I314,"Yes"),"")</f>
        <v/>
      </c>
      <c r="K314">
        <f>IF(I314&lt;&gt;"Yes","",COUNTIFS($A$3:A314,SUBSTITUTE(SUBSTITUTE(A314,"?","~?"),"*","~*"),$I$3:I314,"Yes"))</f>
        <v/>
      </c>
      <c r="L314">
        <f>IF(K314="","",A314&amp;"|"&amp;K314)</f>
        <v/>
      </c>
      <c r="M314">
        <f>IF(I314&lt;&gt;"Yes","",COUNTIFS(Values!$A$3:$A$502,SUBSTITUTE(SUBSTITUTE(A314,"?","~?"),"*","~*"),Values!$I$3:$I$502,"Yes"))</f>
        <v/>
      </c>
      <c r="N314">
        <f>IF(I314&lt;&gt;"Yes","",IF(M314&lt;2,"",INDEX(Values!$B$3:$B$502,MATCH(A314&amp;"|"&amp;IF(K314=M314,1,K314+1),Values!$L$3:$L$502,0))))</f>
        <v/>
      </c>
      <c r="O314">
        <f>IF(N314="","",INDEX(Values!$J$3:$J$502,MATCH(A314&amp;"|"&amp;IF(K314=M314,1,K314+1),Values!$L$3:$L$502,0)))</f>
        <v/>
      </c>
    </row>
    <row r="315">
      <c r="H315">
        <f>IF(A315="","",IFERROR(INDEX(Attributes!$F$3:$F$52,MATCH(A315,Attributes!$A$3:$A$52,0))&amp;"","Unknown attribute"))</f>
        <v/>
      </c>
      <c r="I315">
        <f>IF(OR(A315="",B315=""),"",IF(AND(H315="Yes",D315&lt;&gt;"No"),"Yes","No"))</f>
        <v/>
      </c>
      <c r="J315">
        <f>IF(I315="Yes",COUNTIF($I$3:I315,"Yes"),"")</f>
        <v/>
      </c>
      <c r="K315">
        <f>IF(I315&lt;&gt;"Yes","",COUNTIFS($A$3:A315,SUBSTITUTE(SUBSTITUTE(A315,"?","~?"),"*","~*"),$I$3:I315,"Yes"))</f>
        <v/>
      </c>
      <c r="L315">
        <f>IF(K315="","",A315&amp;"|"&amp;K315)</f>
        <v/>
      </c>
      <c r="M315">
        <f>IF(I315&lt;&gt;"Yes","",COUNTIFS(Values!$A$3:$A$502,SUBSTITUTE(SUBSTITUTE(A315,"?","~?"),"*","~*"),Values!$I$3:$I$502,"Yes"))</f>
        <v/>
      </c>
      <c r="N315">
        <f>IF(I315&lt;&gt;"Yes","",IF(M315&lt;2,"",INDEX(Values!$B$3:$B$502,MATCH(A315&amp;"|"&amp;IF(K315=M315,1,K315+1),Values!$L$3:$L$502,0))))</f>
        <v/>
      </c>
      <c r="O315">
        <f>IF(N315="","",INDEX(Values!$J$3:$J$502,MATCH(A315&amp;"|"&amp;IF(K315=M315,1,K315+1),Values!$L$3:$L$502,0)))</f>
        <v/>
      </c>
    </row>
    <row r="316">
      <c r="H316">
        <f>IF(A316="","",IFERROR(INDEX(Attributes!$F$3:$F$52,MATCH(A316,Attributes!$A$3:$A$52,0))&amp;"","Unknown attribute"))</f>
        <v/>
      </c>
      <c r="I316">
        <f>IF(OR(A316="",B316=""),"",IF(AND(H316="Yes",D316&lt;&gt;"No"),"Yes","No"))</f>
        <v/>
      </c>
      <c r="J316">
        <f>IF(I316="Yes",COUNTIF($I$3:I316,"Yes"),"")</f>
        <v/>
      </c>
      <c r="K316">
        <f>IF(I316&lt;&gt;"Yes","",COUNTIFS($A$3:A316,SUBSTITUTE(SUBSTITUTE(A316,"?","~?"),"*","~*"),$I$3:I316,"Yes"))</f>
        <v/>
      </c>
      <c r="L316">
        <f>IF(K316="","",A316&amp;"|"&amp;K316)</f>
        <v/>
      </c>
      <c r="M316">
        <f>IF(I316&lt;&gt;"Yes","",COUNTIFS(Values!$A$3:$A$502,SUBSTITUTE(SUBSTITUTE(A316,"?","~?"),"*","~*"),Values!$I$3:$I$502,"Yes"))</f>
        <v/>
      </c>
      <c r="N316">
        <f>IF(I316&lt;&gt;"Yes","",IF(M316&lt;2,"",INDEX(Values!$B$3:$B$502,MATCH(A316&amp;"|"&amp;IF(K316=M316,1,K316+1),Values!$L$3:$L$502,0))))</f>
        <v/>
      </c>
      <c r="O316">
        <f>IF(N316="","",INDEX(Values!$J$3:$J$502,MATCH(A316&amp;"|"&amp;IF(K316=M316,1,K316+1),Values!$L$3:$L$502,0)))</f>
        <v/>
      </c>
    </row>
    <row r="317">
      <c r="H317">
        <f>IF(A317="","",IFERROR(INDEX(Attributes!$F$3:$F$52,MATCH(A317,Attributes!$A$3:$A$52,0))&amp;"","Unknown attribute"))</f>
        <v/>
      </c>
      <c r="I317">
        <f>IF(OR(A317="",B317=""),"",IF(AND(H317="Yes",D317&lt;&gt;"No"),"Yes","No"))</f>
        <v/>
      </c>
      <c r="J317">
        <f>IF(I317="Yes",COUNTIF($I$3:I317,"Yes"),"")</f>
        <v/>
      </c>
      <c r="K317">
        <f>IF(I317&lt;&gt;"Yes","",COUNTIFS($A$3:A317,SUBSTITUTE(SUBSTITUTE(A317,"?","~?"),"*","~*"),$I$3:I317,"Yes"))</f>
        <v/>
      </c>
      <c r="L317">
        <f>IF(K317="","",A317&amp;"|"&amp;K317)</f>
        <v/>
      </c>
      <c r="M317">
        <f>IF(I317&lt;&gt;"Yes","",COUNTIFS(Values!$A$3:$A$502,SUBSTITUTE(SUBSTITUTE(A317,"?","~?"),"*","~*"),Values!$I$3:$I$502,"Yes"))</f>
        <v/>
      </c>
      <c r="N317">
        <f>IF(I317&lt;&gt;"Yes","",IF(M317&lt;2,"",INDEX(Values!$B$3:$B$502,MATCH(A317&amp;"|"&amp;IF(K317=M317,1,K317+1),Values!$L$3:$L$502,0))))</f>
        <v/>
      </c>
      <c r="O317">
        <f>IF(N317="","",INDEX(Values!$J$3:$J$502,MATCH(A317&amp;"|"&amp;IF(K317=M317,1,K317+1),Values!$L$3:$L$502,0)))</f>
        <v/>
      </c>
    </row>
    <row r="318">
      <c r="H318">
        <f>IF(A318="","",IFERROR(INDEX(Attributes!$F$3:$F$52,MATCH(A318,Attributes!$A$3:$A$52,0))&amp;"","Unknown attribute"))</f>
        <v/>
      </c>
      <c r="I318">
        <f>IF(OR(A318="",B318=""),"",IF(AND(H318="Yes",D318&lt;&gt;"No"),"Yes","No"))</f>
        <v/>
      </c>
      <c r="J318">
        <f>IF(I318="Yes",COUNTIF($I$3:I318,"Yes"),"")</f>
        <v/>
      </c>
      <c r="K318">
        <f>IF(I318&lt;&gt;"Yes","",COUNTIFS($A$3:A318,SUBSTITUTE(SUBSTITUTE(A318,"?","~?"),"*","~*"),$I$3:I318,"Yes"))</f>
        <v/>
      </c>
      <c r="L318">
        <f>IF(K318="","",A318&amp;"|"&amp;K318)</f>
        <v/>
      </c>
      <c r="M318">
        <f>IF(I318&lt;&gt;"Yes","",COUNTIFS(Values!$A$3:$A$502,SUBSTITUTE(SUBSTITUTE(A318,"?","~?"),"*","~*"),Values!$I$3:$I$502,"Yes"))</f>
        <v/>
      </c>
      <c r="N318">
        <f>IF(I318&lt;&gt;"Yes","",IF(M318&lt;2,"",INDEX(Values!$B$3:$B$502,MATCH(A318&amp;"|"&amp;IF(K318=M318,1,K318+1),Values!$L$3:$L$502,0))))</f>
        <v/>
      </c>
      <c r="O318">
        <f>IF(N318="","",INDEX(Values!$J$3:$J$502,MATCH(A318&amp;"|"&amp;IF(K318=M318,1,K318+1),Values!$L$3:$L$502,0)))</f>
        <v/>
      </c>
    </row>
    <row r="319">
      <c r="H319">
        <f>IF(A319="","",IFERROR(INDEX(Attributes!$F$3:$F$52,MATCH(A319,Attributes!$A$3:$A$52,0))&amp;"","Unknown attribute"))</f>
        <v/>
      </c>
      <c r="I319">
        <f>IF(OR(A319="",B319=""),"",IF(AND(H319="Yes",D319&lt;&gt;"No"),"Yes","No"))</f>
        <v/>
      </c>
      <c r="J319">
        <f>IF(I319="Yes",COUNTIF($I$3:I319,"Yes"),"")</f>
        <v/>
      </c>
      <c r="K319">
        <f>IF(I319&lt;&gt;"Yes","",COUNTIFS($A$3:A319,SUBSTITUTE(SUBSTITUTE(A319,"?","~?"),"*","~*"),$I$3:I319,"Yes"))</f>
        <v/>
      </c>
      <c r="L319">
        <f>IF(K319="","",A319&amp;"|"&amp;K319)</f>
        <v/>
      </c>
      <c r="M319">
        <f>IF(I319&lt;&gt;"Yes","",COUNTIFS(Values!$A$3:$A$502,SUBSTITUTE(SUBSTITUTE(A319,"?","~?"),"*","~*"),Values!$I$3:$I$502,"Yes"))</f>
        <v/>
      </c>
      <c r="N319">
        <f>IF(I319&lt;&gt;"Yes","",IF(M319&lt;2,"",INDEX(Values!$B$3:$B$502,MATCH(A319&amp;"|"&amp;IF(K319=M319,1,K319+1),Values!$L$3:$L$502,0))))</f>
        <v/>
      </c>
      <c r="O319">
        <f>IF(N319="","",INDEX(Values!$J$3:$J$502,MATCH(A319&amp;"|"&amp;IF(K319=M319,1,K319+1),Values!$L$3:$L$502,0)))</f>
        <v/>
      </c>
    </row>
    <row r="320">
      <c r="H320">
        <f>IF(A320="","",IFERROR(INDEX(Attributes!$F$3:$F$52,MATCH(A320,Attributes!$A$3:$A$52,0))&amp;"","Unknown attribute"))</f>
        <v/>
      </c>
      <c r="I320">
        <f>IF(OR(A320="",B320=""),"",IF(AND(H320="Yes",D320&lt;&gt;"No"),"Yes","No"))</f>
        <v/>
      </c>
      <c r="J320">
        <f>IF(I320="Yes",COUNTIF($I$3:I320,"Yes"),"")</f>
        <v/>
      </c>
      <c r="K320">
        <f>IF(I320&lt;&gt;"Yes","",COUNTIFS($A$3:A320,SUBSTITUTE(SUBSTITUTE(A320,"?","~?"),"*","~*"),$I$3:I320,"Yes"))</f>
        <v/>
      </c>
      <c r="L320">
        <f>IF(K320="","",A320&amp;"|"&amp;K320)</f>
        <v/>
      </c>
      <c r="M320">
        <f>IF(I320&lt;&gt;"Yes","",COUNTIFS(Values!$A$3:$A$502,SUBSTITUTE(SUBSTITUTE(A320,"?","~?"),"*","~*"),Values!$I$3:$I$502,"Yes"))</f>
        <v/>
      </c>
      <c r="N320">
        <f>IF(I320&lt;&gt;"Yes","",IF(M320&lt;2,"",INDEX(Values!$B$3:$B$502,MATCH(A320&amp;"|"&amp;IF(K320=M320,1,K320+1),Values!$L$3:$L$502,0))))</f>
        <v/>
      </c>
      <c r="O320">
        <f>IF(N320="","",INDEX(Values!$J$3:$J$502,MATCH(A320&amp;"|"&amp;IF(K320=M320,1,K320+1),Values!$L$3:$L$502,0)))</f>
        <v/>
      </c>
    </row>
    <row r="321">
      <c r="H321">
        <f>IF(A321="","",IFERROR(INDEX(Attributes!$F$3:$F$52,MATCH(A321,Attributes!$A$3:$A$52,0))&amp;"","Unknown attribute"))</f>
        <v/>
      </c>
      <c r="I321">
        <f>IF(OR(A321="",B321=""),"",IF(AND(H321="Yes",D321&lt;&gt;"No"),"Yes","No"))</f>
        <v/>
      </c>
      <c r="J321">
        <f>IF(I321="Yes",COUNTIF($I$3:I321,"Yes"),"")</f>
        <v/>
      </c>
      <c r="K321">
        <f>IF(I321&lt;&gt;"Yes","",COUNTIFS($A$3:A321,SUBSTITUTE(SUBSTITUTE(A321,"?","~?"),"*","~*"),$I$3:I321,"Yes"))</f>
        <v/>
      </c>
      <c r="L321">
        <f>IF(K321="","",A321&amp;"|"&amp;K321)</f>
        <v/>
      </c>
      <c r="M321">
        <f>IF(I321&lt;&gt;"Yes","",COUNTIFS(Values!$A$3:$A$502,SUBSTITUTE(SUBSTITUTE(A321,"?","~?"),"*","~*"),Values!$I$3:$I$502,"Yes"))</f>
        <v/>
      </c>
      <c r="N321">
        <f>IF(I321&lt;&gt;"Yes","",IF(M321&lt;2,"",INDEX(Values!$B$3:$B$502,MATCH(A321&amp;"|"&amp;IF(K321=M321,1,K321+1),Values!$L$3:$L$502,0))))</f>
        <v/>
      </c>
      <c r="O321">
        <f>IF(N321="","",INDEX(Values!$J$3:$J$502,MATCH(A321&amp;"|"&amp;IF(K321=M321,1,K321+1),Values!$L$3:$L$502,0)))</f>
        <v/>
      </c>
    </row>
    <row r="322">
      <c r="H322">
        <f>IF(A322="","",IFERROR(INDEX(Attributes!$F$3:$F$52,MATCH(A322,Attributes!$A$3:$A$52,0))&amp;"","Unknown attribute"))</f>
        <v/>
      </c>
      <c r="I322">
        <f>IF(OR(A322="",B322=""),"",IF(AND(H322="Yes",D322&lt;&gt;"No"),"Yes","No"))</f>
        <v/>
      </c>
      <c r="J322">
        <f>IF(I322="Yes",COUNTIF($I$3:I322,"Yes"),"")</f>
        <v/>
      </c>
      <c r="K322">
        <f>IF(I322&lt;&gt;"Yes","",COUNTIFS($A$3:A322,SUBSTITUTE(SUBSTITUTE(A322,"?","~?"),"*","~*"),$I$3:I322,"Yes"))</f>
        <v/>
      </c>
      <c r="L322">
        <f>IF(K322="","",A322&amp;"|"&amp;K322)</f>
        <v/>
      </c>
      <c r="M322">
        <f>IF(I322&lt;&gt;"Yes","",COUNTIFS(Values!$A$3:$A$502,SUBSTITUTE(SUBSTITUTE(A322,"?","~?"),"*","~*"),Values!$I$3:$I$502,"Yes"))</f>
        <v/>
      </c>
      <c r="N322">
        <f>IF(I322&lt;&gt;"Yes","",IF(M322&lt;2,"",INDEX(Values!$B$3:$B$502,MATCH(A322&amp;"|"&amp;IF(K322=M322,1,K322+1),Values!$L$3:$L$502,0))))</f>
        <v/>
      </c>
      <c r="O322">
        <f>IF(N322="","",INDEX(Values!$J$3:$J$502,MATCH(A322&amp;"|"&amp;IF(K322=M322,1,K322+1),Values!$L$3:$L$502,0)))</f>
        <v/>
      </c>
    </row>
    <row r="323">
      <c r="H323">
        <f>IF(A323="","",IFERROR(INDEX(Attributes!$F$3:$F$52,MATCH(A323,Attributes!$A$3:$A$52,0))&amp;"","Unknown attribute"))</f>
        <v/>
      </c>
      <c r="I323">
        <f>IF(OR(A323="",B323=""),"",IF(AND(H323="Yes",D323&lt;&gt;"No"),"Yes","No"))</f>
        <v/>
      </c>
      <c r="J323">
        <f>IF(I323="Yes",COUNTIF($I$3:I323,"Yes"),"")</f>
        <v/>
      </c>
      <c r="K323">
        <f>IF(I323&lt;&gt;"Yes","",COUNTIFS($A$3:A323,SUBSTITUTE(SUBSTITUTE(A323,"?","~?"),"*","~*"),$I$3:I323,"Yes"))</f>
        <v/>
      </c>
      <c r="L323">
        <f>IF(K323="","",A323&amp;"|"&amp;K323)</f>
        <v/>
      </c>
      <c r="M323">
        <f>IF(I323&lt;&gt;"Yes","",COUNTIFS(Values!$A$3:$A$502,SUBSTITUTE(SUBSTITUTE(A323,"?","~?"),"*","~*"),Values!$I$3:$I$502,"Yes"))</f>
        <v/>
      </c>
      <c r="N323">
        <f>IF(I323&lt;&gt;"Yes","",IF(M323&lt;2,"",INDEX(Values!$B$3:$B$502,MATCH(A323&amp;"|"&amp;IF(K323=M323,1,K323+1),Values!$L$3:$L$502,0))))</f>
        <v/>
      </c>
      <c r="O323">
        <f>IF(N323="","",INDEX(Values!$J$3:$J$502,MATCH(A323&amp;"|"&amp;IF(K323=M323,1,K323+1),Values!$L$3:$L$502,0)))</f>
        <v/>
      </c>
    </row>
    <row r="324">
      <c r="H324">
        <f>IF(A324="","",IFERROR(INDEX(Attributes!$F$3:$F$52,MATCH(A324,Attributes!$A$3:$A$52,0))&amp;"","Unknown attribute"))</f>
        <v/>
      </c>
      <c r="I324">
        <f>IF(OR(A324="",B324=""),"",IF(AND(H324="Yes",D324&lt;&gt;"No"),"Yes","No"))</f>
        <v/>
      </c>
      <c r="J324">
        <f>IF(I324="Yes",COUNTIF($I$3:I324,"Yes"),"")</f>
        <v/>
      </c>
      <c r="K324">
        <f>IF(I324&lt;&gt;"Yes","",COUNTIFS($A$3:A324,SUBSTITUTE(SUBSTITUTE(A324,"?","~?"),"*","~*"),$I$3:I324,"Yes"))</f>
        <v/>
      </c>
      <c r="L324">
        <f>IF(K324="","",A324&amp;"|"&amp;K324)</f>
        <v/>
      </c>
      <c r="M324">
        <f>IF(I324&lt;&gt;"Yes","",COUNTIFS(Values!$A$3:$A$502,SUBSTITUTE(SUBSTITUTE(A324,"?","~?"),"*","~*"),Values!$I$3:$I$502,"Yes"))</f>
        <v/>
      </c>
      <c r="N324">
        <f>IF(I324&lt;&gt;"Yes","",IF(M324&lt;2,"",INDEX(Values!$B$3:$B$502,MATCH(A324&amp;"|"&amp;IF(K324=M324,1,K324+1),Values!$L$3:$L$502,0))))</f>
        <v/>
      </c>
      <c r="O324">
        <f>IF(N324="","",INDEX(Values!$J$3:$J$502,MATCH(A324&amp;"|"&amp;IF(K324=M324,1,K324+1),Values!$L$3:$L$502,0)))</f>
        <v/>
      </c>
    </row>
    <row r="325">
      <c r="H325">
        <f>IF(A325="","",IFERROR(INDEX(Attributes!$F$3:$F$52,MATCH(A325,Attributes!$A$3:$A$52,0))&amp;"","Unknown attribute"))</f>
        <v/>
      </c>
      <c r="I325">
        <f>IF(OR(A325="",B325=""),"",IF(AND(H325="Yes",D325&lt;&gt;"No"),"Yes","No"))</f>
        <v/>
      </c>
      <c r="J325">
        <f>IF(I325="Yes",COUNTIF($I$3:I325,"Yes"),"")</f>
        <v/>
      </c>
      <c r="K325">
        <f>IF(I325&lt;&gt;"Yes","",COUNTIFS($A$3:A325,SUBSTITUTE(SUBSTITUTE(A325,"?","~?"),"*","~*"),$I$3:I325,"Yes"))</f>
        <v/>
      </c>
      <c r="L325">
        <f>IF(K325="","",A325&amp;"|"&amp;K325)</f>
        <v/>
      </c>
      <c r="M325">
        <f>IF(I325&lt;&gt;"Yes","",COUNTIFS(Values!$A$3:$A$502,SUBSTITUTE(SUBSTITUTE(A325,"?","~?"),"*","~*"),Values!$I$3:$I$502,"Yes"))</f>
        <v/>
      </c>
      <c r="N325">
        <f>IF(I325&lt;&gt;"Yes","",IF(M325&lt;2,"",INDEX(Values!$B$3:$B$502,MATCH(A325&amp;"|"&amp;IF(K325=M325,1,K325+1),Values!$L$3:$L$502,0))))</f>
        <v/>
      </c>
      <c r="O325">
        <f>IF(N325="","",INDEX(Values!$J$3:$J$502,MATCH(A325&amp;"|"&amp;IF(K325=M325,1,K325+1),Values!$L$3:$L$502,0)))</f>
        <v/>
      </c>
    </row>
    <row r="326">
      <c r="H326">
        <f>IF(A326="","",IFERROR(INDEX(Attributes!$F$3:$F$52,MATCH(A326,Attributes!$A$3:$A$52,0))&amp;"","Unknown attribute"))</f>
        <v/>
      </c>
      <c r="I326">
        <f>IF(OR(A326="",B326=""),"",IF(AND(H326="Yes",D326&lt;&gt;"No"),"Yes","No"))</f>
        <v/>
      </c>
      <c r="J326">
        <f>IF(I326="Yes",COUNTIF($I$3:I326,"Yes"),"")</f>
        <v/>
      </c>
      <c r="K326">
        <f>IF(I326&lt;&gt;"Yes","",COUNTIFS($A$3:A326,SUBSTITUTE(SUBSTITUTE(A326,"?","~?"),"*","~*"),$I$3:I326,"Yes"))</f>
        <v/>
      </c>
      <c r="L326">
        <f>IF(K326="","",A326&amp;"|"&amp;K326)</f>
        <v/>
      </c>
      <c r="M326">
        <f>IF(I326&lt;&gt;"Yes","",COUNTIFS(Values!$A$3:$A$502,SUBSTITUTE(SUBSTITUTE(A326,"?","~?"),"*","~*"),Values!$I$3:$I$502,"Yes"))</f>
        <v/>
      </c>
      <c r="N326">
        <f>IF(I326&lt;&gt;"Yes","",IF(M326&lt;2,"",INDEX(Values!$B$3:$B$502,MATCH(A326&amp;"|"&amp;IF(K326=M326,1,K326+1),Values!$L$3:$L$502,0))))</f>
        <v/>
      </c>
      <c r="O326">
        <f>IF(N326="","",INDEX(Values!$J$3:$J$502,MATCH(A326&amp;"|"&amp;IF(K326=M326,1,K326+1),Values!$L$3:$L$502,0)))</f>
        <v/>
      </c>
    </row>
    <row r="327">
      <c r="H327">
        <f>IF(A327="","",IFERROR(INDEX(Attributes!$F$3:$F$52,MATCH(A327,Attributes!$A$3:$A$52,0))&amp;"","Unknown attribute"))</f>
        <v/>
      </c>
      <c r="I327">
        <f>IF(OR(A327="",B327=""),"",IF(AND(H327="Yes",D327&lt;&gt;"No"),"Yes","No"))</f>
        <v/>
      </c>
      <c r="J327">
        <f>IF(I327="Yes",COUNTIF($I$3:I327,"Yes"),"")</f>
        <v/>
      </c>
      <c r="K327">
        <f>IF(I327&lt;&gt;"Yes","",COUNTIFS($A$3:A327,SUBSTITUTE(SUBSTITUTE(A327,"?","~?"),"*","~*"),$I$3:I327,"Yes"))</f>
        <v/>
      </c>
      <c r="L327">
        <f>IF(K327="","",A327&amp;"|"&amp;K327)</f>
        <v/>
      </c>
      <c r="M327">
        <f>IF(I327&lt;&gt;"Yes","",COUNTIFS(Values!$A$3:$A$502,SUBSTITUTE(SUBSTITUTE(A327,"?","~?"),"*","~*"),Values!$I$3:$I$502,"Yes"))</f>
        <v/>
      </c>
      <c r="N327">
        <f>IF(I327&lt;&gt;"Yes","",IF(M327&lt;2,"",INDEX(Values!$B$3:$B$502,MATCH(A327&amp;"|"&amp;IF(K327=M327,1,K327+1),Values!$L$3:$L$502,0))))</f>
        <v/>
      </c>
      <c r="O327">
        <f>IF(N327="","",INDEX(Values!$J$3:$J$502,MATCH(A327&amp;"|"&amp;IF(K327=M327,1,K327+1),Values!$L$3:$L$502,0)))</f>
        <v/>
      </c>
    </row>
    <row r="328">
      <c r="H328">
        <f>IF(A328="","",IFERROR(INDEX(Attributes!$F$3:$F$52,MATCH(A328,Attributes!$A$3:$A$52,0))&amp;"","Unknown attribute"))</f>
        <v/>
      </c>
      <c r="I328">
        <f>IF(OR(A328="",B328=""),"",IF(AND(H328="Yes",D328&lt;&gt;"No"),"Yes","No"))</f>
        <v/>
      </c>
      <c r="J328">
        <f>IF(I328="Yes",COUNTIF($I$3:I328,"Yes"),"")</f>
        <v/>
      </c>
      <c r="K328">
        <f>IF(I328&lt;&gt;"Yes","",COUNTIFS($A$3:A328,SUBSTITUTE(SUBSTITUTE(A328,"?","~?"),"*","~*"),$I$3:I328,"Yes"))</f>
        <v/>
      </c>
      <c r="L328">
        <f>IF(K328="","",A328&amp;"|"&amp;K328)</f>
        <v/>
      </c>
      <c r="M328">
        <f>IF(I328&lt;&gt;"Yes","",COUNTIFS(Values!$A$3:$A$502,SUBSTITUTE(SUBSTITUTE(A328,"?","~?"),"*","~*"),Values!$I$3:$I$502,"Yes"))</f>
        <v/>
      </c>
      <c r="N328">
        <f>IF(I328&lt;&gt;"Yes","",IF(M328&lt;2,"",INDEX(Values!$B$3:$B$502,MATCH(A328&amp;"|"&amp;IF(K328=M328,1,K328+1),Values!$L$3:$L$502,0))))</f>
        <v/>
      </c>
      <c r="O328">
        <f>IF(N328="","",INDEX(Values!$J$3:$J$502,MATCH(A328&amp;"|"&amp;IF(K328=M328,1,K328+1),Values!$L$3:$L$502,0)))</f>
        <v/>
      </c>
    </row>
    <row r="329">
      <c r="H329">
        <f>IF(A329="","",IFERROR(INDEX(Attributes!$F$3:$F$52,MATCH(A329,Attributes!$A$3:$A$52,0))&amp;"","Unknown attribute"))</f>
        <v/>
      </c>
      <c r="I329">
        <f>IF(OR(A329="",B329=""),"",IF(AND(H329="Yes",D329&lt;&gt;"No"),"Yes","No"))</f>
        <v/>
      </c>
      <c r="J329">
        <f>IF(I329="Yes",COUNTIF($I$3:I329,"Yes"),"")</f>
        <v/>
      </c>
      <c r="K329">
        <f>IF(I329&lt;&gt;"Yes","",COUNTIFS($A$3:A329,SUBSTITUTE(SUBSTITUTE(A329,"?","~?"),"*","~*"),$I$3:I329,"Yes"))</f>
        <v/>
      </c>
      <c r="L329">
        <f>IF(K329="","",A329&amp;"|"&amp;K329)</f>
        <v/>
      </c>
      <c r="M329">
        <f>IF(I329&lt;&gt;"Yes","",COUNTIFS(Values!$A$3:$A$502,SUBSTITUTE(SUBSTITUTE(A329,"?","~?"),"*","~*"),Values!$I$3:$I$502,"Yes"))</f>
        <v/>
      </c>
      <c r="N329">
        <f>IF(I329&lt;&gt;"Yes","",IF(M329&lt;2,"",INDEX(Values!$B$3:$B$502,MATCH(A329&amp;"|"&amp;IF(K329=M329,1,K329+1),Values!$L$3:$L$502,0))))</f>
        <v/>
      </c>
      <c r="O329">
        <f>IF(N329="","",INDEX(Values!$J$3:$J$502,MATCH(A329&amp;"|"&amp;IF(K329=M329,1,K329+1),Values!$L$3:$L$502,0)))</f>
        <v/>
      </c>
    </row>
    <row r="330">
      <c r="H330">
        <f>IF(A330="","",IFERROR(INDEX(Attributes!$F$3:$F$52,MATCH(A330,Attributes!$A$3:$A$52,0))&amp;"","Unknown attribute"))</f>
        <v/>
      </c>
      <c r="I330">
        <f>IF(OR(A330="",B330=""),"",IF(AND(H330="Yes",D330&lt;&gt;"No"),"Yes","No"))</f>
        <v/>
      </c>
      <c r="J330">
        <f>IF(I330="Yes",COUNTIF($I$3:I330,"Yes"),"")</f>
        <v/>
      </c>
      <c r="K330">
        <f>IF(I330&lt;&gt;"Yes","",COUNTIFS($A$3:A330,SUBSTITUTE(SUBSTITUTE(A330,"?","~?"),"*","~*"),$I$3:I330,"Yes"))</f>
        <v/>
      </c>
      <c r="L330">
        <f>IF(K330="","",A330&amp;"|"&amp;K330)</f>
        <v/>
      </c>
      <c r="M330">
        <f>IF(I330&lt;&gt;"Yes","",COUNTIFS(Values!$A$3:$A$502,SUBSTITUTE(SUBSTITUTE(A330,"?","~?"),"*","~*"),Values!$I$3:$I$502,"Yes"))</f>
        <v/>
      </c>
      <c r="N330">
        <f>IF(I330&lt;&gt;"Yes","",IF(M330&lt;2,"",INDEX(Values!$B$3:$B$502,MATCH(A330&amp;"|"&amp;IF(K330=M330,1,K330+1),Values!$L$3:$L$502,0))))</f>
        <v/>
      </c>
      <c r="O330">
        <f>IF(N330="","",INDEX(Values!$J$3:$J$502,MATCH(A330&amp;"|"&amp;IF(K330=M330,1,K330+1),Values!$L$3:$L$502,0)))</f>
        <v/>
      </c>
    </row>
    <row r="331">
      <c r="H331">
        <f>IF(A331="","",IFERROR(INDEX(Attributes!$F$3:$F$52,MATCH(A331,Attributes!$A$3:$A$52,0))&amp;"","Unknown attribute"))</f>
        <v/>
      </c>
      <c r="I331">
        <f>IF(OR(A331="",B331=""),"",IF(AND(H331="Yes",D331&lt;&gt;"No"),"Yes","No"))</f>
        <v/>
      </c>
      <c r="J331">
        <f>IF(I331="Yes",COUNTIF($I$3:I331,"Yes"),"")</f>
        <v/>
      </c>
      <c r="K331">
        <f>IF(I331&lt;&gt;"Yes","",COUNTIFS($A$3:A331,SUBSTITUTE(SUBSTITUTE(A331,"?","~?"),"*","~*"),$I$3:I331,"Yes"))</f>
        <v/>
      </c>
      <c r="L331">
        <f>IF(K331="","",A331&amp;"|"&amp;K331)</f>
        <v/>
      </c>
      <c r="M331">
        <f>IF(I331&lt;&gt;"Yes","",COUNTIFS(Values!$A$3:$A$502,SUBSTITUTE(SUBSTITUTE(A331,"?","~?"),"*","~*"),Values!$I$3:$I$502,"Yes"))</f>
        <v/>
      </c>
      <c r="N331">
        <f>IF(I331&lt;&gt;"Yes","",IF(M331&lt;2,"",INDEX(Values!$B$3:$B$502,MATCH(A331&amp;"|"&amp;IF(K331=M331,1,K331+1),Values!$L$3:$L$502,0))))</f>
        <v/>
      </c>
      <c r="O331">
        <f>IF(N331="","",INDEX(Values!$J$3:$J$502,MATCH(A331&amp;"|"&amp;IF(K331=M331,1,K331+1),Values!$L$3:$L$502,0)))</f>
        <v/>
      </c>
    </row>
    <row r="332">
      <c r="H332">
        <f>IF(A332="","",IFERROR(INDEX(Attributes!$F$3:$F$52,MATCH(A332,Attributes!$A$3:$A$52,0))&amp;"","Unknown attribute"))</f>
        <v/>
      </c>
      <c r="I332">
        <f>IF(OR(A332="",B332=""),"",IF(AND(H332="Yes",D332&lt;&gt;"No"),"Yes","No"))</f>
        <v/>
      </c>
      <c r="J332">
        <f>IF(I332="Yes",COUNTIF($I$3:I332,"Yes"),"")</f>
        <v/>
      </c>
      <c r="K332">
        <f>IF(I332&lt;&gt;"Yes","",COUNTIFS($A$3:A332,SUBSTITUTE(SUBSTITUTE(A332,"?","~?"),"*","~*"),$I$3:I332,"Yes"))</f>
        <v/>
      </c>
      <c r="L332">
        <f>IF(K332="","",A332&amp;"|"&amp;K332)</f>
        <v/>
      </c>
      <c r="M332">
        <f>IF(I332&lt;&gt;"Yes","",COUNTIFS(Values!$A$3:$A$502,SUBSTITUTE(SUBSTITUTE(A332,"?","~?"),"*","~*"),Values!$I$3:$I$502,"Yes"))</f>
        <v/>
      </c>
      <c r="N332">
        <f>IF(I332&lt;&gt;"Yes","",IF(M332&lt;2,"",INDEX(Values!$B$3:$B$502,MATCH(A332&amp;"|"&amp;IF(K332=M332,1,K332+1),Values!$L$3:$L$502,0))))</f>
        <v/>
      </c>
      <c r="O332">
        <f>IF(N332="","",INDEX(Values!$J$3:$J$502,MATCH(A332&amp;"|"&amp;IF(K332=M332,1,K332+1),Values!$L$3:$L$502,0)))</f>
        <v/>
      </c>
    </row>
    <row r="333">
      <c r="H333">
        <f>IF(A333="","",IFERROR(INDEX(Attributes!$F$3:$F$52,MATCH(A333,Attributes!$A$3:$A$52,0))&amp;"","Unknown attribute"))</f>
        <v/>
      </c>
      <c r="I333">
        <f>IF(OR(A333="",B333=""),"",IF(AND(H333="Yes",D333&lt;&gt;"No"),"Yes","No"))</f>
        <v/>
      </c>
      <c r="J333">
        <f>IF(I333="Yes",COUNTIF($I$3:I333,"Yes"),"")</f>
        <v/>
      </c>
      <c r="K333">
        <f>IF(I333&lt;&gt;"Yes","",COUNTIFS($A$3:A333,SUBSTITUTE(SUBSTITUTE(A333,"?","~?"),"*","~*"),$I$3:I333,"Yes"))</f>
        <v/>
      </c>
      <c r="L333">
        <f>IF(K333="","",A333&amp;"|"&amp;K333)</f>
        <v/>
      </c>
      <c r="M333">
        <f>IF(I333&lt;&gt;"Yes","",COUNTIFS(Values!$A$3:$A$502,SUBSTITUTE(SUBSTITUTE(A333,"?","~?"),"*","~*"),Values!$I$3:$I$502,"Yes"))</f>
        <v/>
      </c>
      <c r="N333">
        <f>IF(I333&lt;&gt;"Yes","",IF(M333&lt;2,"",INDEX(Values!$B$3:$B$502,MATCH(A333&amp;"|"&amp;IF(K333=M333,1,K333+1),Values!$L$3:$L$502,0))))</f>
        <v/>
      </c>
      <c r="O333">
        <f>IF(N333="","",INDEX(Values!$J$3:$J$502,MATCH(A333&amp;"|"&amp;IF(K333=M333,1,K333+1),Values!$L$3:$L$502,0)))</f>
        <v/>
      </c>
    </row>
    <row r="334">
      <c r="H334">
        <f>IF(A334="","",IFERROR(INDEX(Attributes!$F$3:$F$52,MATCH(A334,Attributes!$A$3:$A$52,0))&amp;"","Unknown attribute"))</f>
        <v/>
      </c>
      <c r="I334">
        <f>IF(OR(A334="",B334=""),"",IF(AND(H334="Yes",D334&lt;&gt;"No"),"Yes","No"))</f>
        <v/>
      </c>
      <c r="J334">
        <f>IF(I334="Yes",COUNTIF($I$3:I334,"Yes"),"")</f>
        <v/>
      </c>
      <c r="K334">
        <f>IF(I334&lt;&gt;"Yes","",COUNTIFS($A$3:A334,SUBSTITUTE(SUBSTITUTE(A334,"?","~?"),"*","~*"),$I$3:I334,"Yes"))</f>
        <v/>
      </c>
      <c r="L334">
        <f>IF(K334="","",A334&amp;"|"&amp;K334)</f>
        <v/>
      </c>
      <c r="M334">
        <f>IF(I334&lt;&gt;"Yes","",COUNTIFS(Values!$A$3:$A$502,SUBSTITUTE(SUBSTITUTE(A334,"?","~?"),"*","~*"),Values!$I$3:$I$502,"Yes"))</f>
        <v/>
      </c>
      <c r="N334">
        <f>IF(I334&lt;&gt;"Yes","",IF(M334&lt;2,"",INDEX(Values!$B$3:$B$502,MATCH(A334&amp;"|"&amp;IF(K334=M334,1,K334+1),Values!$L$3:$L$502,0))))</f>
        <v/>
      </c>
      <c r="O334">
        <f>IF(N334="","",INDEX(Values!$J$3:$J$502,MATCH(A334&amp;"|"&amp;IF(K334=M334,1,K334+1),Values!$L$3:$L$502,0)))</f>
        <v/>
      </c>
    </row>
    <row r="335">
      <c r="H335">
        <f>IF(A335="","",IFERROR(INDEX(Attributes!$F$3:$F$52,MATCH(A335,Attributes!$A$3:$A$52,0))&amp;"","Unknown attribute"))</f>
        <v/>
      </c>
      <c r="I335">
        <f>IF(OR(A335="",B335=""),"",IF(AND(H335="Yes",D335&lt;&gt;"No"),"Yes","No"))</f>
        <v/>
      </c>
      <c r="J335">
        <f>IF(I335="Yes",COUNTIF($I$3:I335,"Yes"),"")</f>
        <v/>
      </c>
      <c r="K335">
        <f>IF(I335&lt;&gt;"Yes","",COUNTIFS($A$3:A335,SUBSTITUTE(SUBSTITUTE(A335,"?","~?"),"*","~*"),$I$3:I335,"Yes"))</f>
        <v/>
      </c>
      <c r="L335">
        <f>IF(K335="","",A335&amp;"|"&amp;K335)</f>
        <v/>
      </c>
      <c r="M335">
        <f>IF(I335&lt;&gt;"Yes","",COUNTIFS(Values!$A$3:$A$502,SUBSTITUTE(SUBSTITUTE(A335,"?","~?"),"*","~*"),Values!$I$3:$I$502,"Yes"))</f>
        <v/>
      </c>
      <c r="N335">
        <f>IF(I335&lt;&gt;"Yes","",IF(M335&lt;2,"",INDEX(Values!$B$3:$B$502,MATCH(A335&amp;"|"&amp;IF(K335=M335,1,K335+1),Values!$L$3:$L$502,0))))</f>
        <v/>
      </c>
      <c r="O335">
        <f>IF(N335="","",INDEX(Values!$J$3:$J$502,MATCH(A335&amp;"|"&amp;IF(K335=M335,1,K335+1),Values!$L$3:$L$502,0)))</f>
        <v/>
      </c>
    </row>
    <row r="336">
      <c r="H336">
        <f>IF(A336="","",IFERROR(INDEX(Attributes!$F$3:$F$52,MATCH(A336,Attributes!$A$3:$A$52,0))&amp;"","Unknown attribute"))</f>
        <v/>
      </c>
      <c r="I336">
        <f>IF(OR(A336="",B336=""),"",IF(AND(H336="Yes",D336&lt;&gt;"No"),"Yes","No"))</f>
        <v/>
      </c>
      <c r="J336">
        <f>IF(I336="Yes",COUNTIF($I$3:I336,"Yes"),"")</f>
        <v/>
      </c>
      <c r="K336">
        <f>IF(I336&lt;&gt;"Yes","",COUNTIFS($A$3:A336,SUBSTITUTE(SUBSTITUTE(A336,"?","~?"),"*","~*"),$I$3:I336,"Yes"))</f>
        <v/>
      </c>
      <c r="L336">
        <f>IF(K336="","",A336&amp;"|"&amp;K336)</f>
        <v/>
      </c>
      <c r="M336">
        <f>IF(I336&lt;&gt;"Yes","",COUNTIFS(Values!$A$3:$A$502,SUBSTITUTE(SUBSTITUTE(A336,"?","~?"),"*","~*"),Values!$I$3:$I$502,"Yes"))</f>
        <v/>
      </c>
      <c r="N336">
        <f>IF(I336&lt;&gt;"Yes","",IF(M336&lt;2,"",INDEX(Values!$B$3:$B$502,MATCH(A336&amp;"|"&amp;IF(K336=M336,1,K336+1),Values!$L$3:$L$502,0))))</f>
        <v/>
      </c>
      <c r="O336">
        <f>IF(N336="","",INDEX(Values!$J$3:$J$502,MATCH(A336&amp;"|"&amp;IF(K336=M336,1,K336+1),Values!$L$3:$L$502,0)))</f>
        <v/>
      </c>
    </row>
    <row r="337">
      <c r="H337">
        <f>IF(A337="","",IFERROR(INDEX(Attributes!$F$3:$F$52,MATCH(A337,Attributes!$A$3:$A$52,0))&amp;"","Unknown attribute"))</f>
        <v/>
      </c>
      <c r="I337">
        <f>IF(OR(A337="",B337=""),"",IF(AND(H337="Yes",D337&lt;&gt;"No"),"Yes","No"))</f>
        <v/>
      </c>
      <c r="J337">
        <f>IF(I337="Yes",COUNTIF($I$3:I337,"Yes"),"")</f>
        <v/>
      </c>
      <c r="K337">
        <f>IF(I337&lt;&gt;"Yes","",COUNTIFS($A$3:A337,SUBSTITUTE(SUBSTITUTE(A337,"?","~?"),"*","~*"),$I$3:I337,"Yes"))</f>
        <v/>
      </c>
      <c r="L337">
        <f>IF(K337="","",A337&amp;"|"&amp;K337)</f>
        <v/>
      </c>
      <c r="M337">
        <f>IF(I337&lt;&gt;"Yes","",COUNTIFS(Values!$A$3:$A$502,SUBSTITUTE(SUBSTITUTE(A337,"?","~?"),"*","~*"),Values!$I$3:$I$502,"Yes"))</f>
        <v/>
      </c>
      <c r="N337">
        <f>IF(I337&lt;&gt;"Yes","",IF(M337&lt;2,"",INDEX(Values!$B$3:$B$502,MATCH(A337&amp;"|"&amp;IF(K337=M337,1,K337+1),Values!$L$3:$L$502,0))))</f>
        <v/>
      </c>
      <c r="O337">
        <f>IF(N337="","",INDEX(Values!$J$3:$J$502,MATCH(A337&amp;"|"&amp;IF(K337=M337,1,K337+1),Values!$L$3:$L$502,0)))</f>
        <v/>
      </c>
    </row>
    <row r="338">
      <c r="H338">
        <f>IF(A338="","",IFERROR(INDEX(Attributes!$F$3:$F$52,MATCH(A338,Attributes!$A$3:$A$52,0))&amp;"","Unknown attribute"))</f>
        <v/>
      </c>
      <c r="I338">
        <f>IF(OR(A338="",B338=""),"",IF(AND(H338="Yes",D338&lt;&gt;"No"),"Yes","No"))</f>
        <v/>
      </c>
      <c r="J338">
        <f>IF(I338="Yes",COUNTIF($I$3:I338,"Yes"),"")</f>
        <v/>
      </c>
      <c r="K338">
        <f>IF(I338&lt;&gt;"Yes","",COUNTIFS($A$3:A338,SUBSTITUTE(SUBSTITUTE(A338,"?","~?"),"*","~*"),$I$3:I338,"Yes"))</f>
        <v/>
      </c>
      <c r="L338">
        <f>IF(K338="","",A338&amp;"|"&amp;K338)</f>
        <v/>
      </c>
      <c r="M338">
        <f>IF(I338&lt;&gt;"Yes","",COUNTIFS(Values!$A$3:$A$502,SUBSTITUTE(SUBSTITUTE(A338,"?","~?"),"*","~*"),Values!$I$3:$I$502,"Yes"))</f>
        <v/>
      </c>
      <c r="N338">
        <f>IF(I338&lt;&gt;"Yes","",IF(M338&lt;2,"",INDEX(Values!$B$3:$B$502,MATCH(A338&amp;"|"&amp;IF(K338=M338,1,K338+1),Values!$L$3:$L$502,0))))</f>
        <v/>
      </c>
      <c r="O338">
        <f>IF(N338="","",INDEX(Values!$J$3:$J$502,MATCH(A338&amp;"|"&amp;IF(K338=M338,1,K338+1),Values!$L$3:$L$502,0)))</f>
        <v/>
      </c>
    </row>
    <row r="339">
      <c r="H339">
        <f>IF(A339="","",IFERROR(INDEX(Attributes!$F$3:$F$52,MATCH(A339,Attributes!$A$3:$A$52,0))&amp;"","Unknown attribute"))</f>
        <v/>
      </c>
      <c r="I339">
        <f>IF(OR(A339="",B339=""),"",IF(AND(H339="Yes",D339&lt;&gt;"No"),"Yes","No"))</f>
        <v/>
      </c>
      <c r="J339">
        <f>IF(I339="Yes",COUNTIF($I$3:I339,"Yes"),"")</f>
        <v/>
      </c>
      <c r="K339">
        <f>IF(I339&lt;&gt;"Yes","",COUNTIFS($A$3:A339,SUBSTITUTE(SUBSTITUTE(A339,"?","~?"),"*","~*"),$I$3:I339,"Yes"))</f>
        <v/>
      </c>
      <c r="L339">
        <f>IF(K339="","",A339&amp;"|"&amp;K339)</f>
        <v/>
      </c>
      <c r="M339">
        <f>IF(I339&lt;&gt;"Yes","",COUNTIFS(Values!$A$3:$A$502,SUBSTITUTE(SUBSTITUTE(A339,"?","~?"),"*","~*"),Values!$I$3:$I$502,"Yes"))</f>
        <v/>
      </c>
      <c r="N339">
        <f>IF(I339&lt;&gt;"Yes","",IF(M339&lt;2,"",INDEX(Values!$B$3:$B$502,MATCH(A339&amp;"|"&amp;IF(K339=M339,1,K339+1),Values!$L$3:$L$502,0))))</f>
        <v/>
      </c>
      <c r="O339">
        <f>IF(N339="","",INDEX(Values!$J$3:$J$502,MATCH(A339&amp;"|"&amp;IF(K339=M339,1,K339+1),Values!$L$3:$L$502,0)))</f>
        <v/>
      </c>
    </row>
    <row r="340">
      <c r="H340">
        <f>IF(A340="","",IFERROR(INDEX(Attributes!$F$3:$F$52,MATCH(A340,Attributes!$A$3:$A$52,0))&amp;"","Unknown attribute"))</f>
        <v/>
      </c>
      <c r="I340">
        <f>IF(OR(A340="",B340=""),"",IF(AND(H340="Yes",D340&lt;&gt;"No"),"Yes","No"))</f>
        <v/>
      </c>
      <c r="J340">
        <f>IF(I340="Yes",COUNTIF($I$3:I340,"Yes"),"")</f>
        <v/>
      </c>
      <c r="K340">
        <f>IF(I340&lt;&gt;"Yes","",COUNTIFS($A$3:A340,SUBSTITUTE(SUBSTITUTE(A340,"?","~?"),"*","~*"),$I$3:I340,"Yes"))</f>
        <v/>
      </c>
      <c r="L340">
        <f>IF(K340="","",A340&amp;"|"&amp;K340)</f>
        <v/>
      </c>
      <c r="M340">
        <f>IF(I340&lt;&gt;"Yes","",COUNTIFS(Values!$A$3:$A$502,SUBSTITUTE(SUBSTITUTE(A340,"?","~?"),"*","~*"),Values!$I$3:$I$502,"Yes"))</f>
        <v/>
      </c>
      <c r="N340">
        <f>IF(I340&lt;&gt;"Yes","",IF(M340&lt;2,"",INDEX(Values!$B$3:$B$502,MATCH(A340&amp;"|"&amp;IF(K340=M340,1,K340+1),Values!$L$3:$L$502,0))))</f>
        <v/>
      </c>
      <c r="O340">
        <f>IF(N340="","",INDEX(Values!$J$3:$J$502,MATCH(A340&amp;"|"&amp;IF(K340=M340,1,K340+1),Values!$L$3:$L$502,0)))</f>
        <v/>
      </c>
    </row>
    <row r="341">
      <c r="H341">
        <f>IF(A341="","",IFERROR(INDEX(Attributes!$F$3:$F$52,MATCH(A341,Attributes!$A$3:$A$52,0))&amp;"","Unknown attribute"))</f>
        <v/>
      </c>
      <c r="I341">
        <f>IF(OR(A341="",B341=""),"",IF(AND(H341="Yes",D341&lt;&gt;"No"),"Yes","No"))</f>
        <v/>
      </c>
      <c r="J341">
        <f>IF(I341="Yes",COUNTIF($I$3:I341,"Yes"),"")</f>
        <v/>
      </c>
      <c r="K341">
        <f>IF(I341&lt;&gt;"Yes","",COUNTIFS($A$3:A341,SUBSTITUTE(SUBSTITUTE(A341,"?","~?"),"*","~*"),$I$3:I341,"Yes"))</f>
        <v/>
      </c>
      <c r="L341">
        <f>IF(K341="","",A341&amp;"|"&amp;K341)</f>
        <v/>
      </c>
      <c r="M341">
        <f>IF(I341&lt;&gt;"Yes","",COUNTIFS(Values!$A$3:$A$502,SUBSTITUTE(SUBSTITUTE(A341,"?","~?"),"*","~*"),Values!$I$3:$I$502,"Yes"))</f>
        <v/>
      </c>
      <c r="N341">
        <f>IF(I341&lt;&gt;"Yes","",IF(M341&lt;2,"",INDEX(Values!$B$3:$B$502,MATCH(A341&amp;"|"&amp;IF(K341=M341,1,K341+1),Values!$L$3:$L$502,0))))</f>
        <v/>
      </c>
      <c r="O341">
        <f>IF(N341="","",INDEX(Values!$J$3:$J$502,MATCH(A341&amp;"|"&amp;IF(K341=M341,1,K341+1),Values!$L$3:$L$502,0)))</f>
        <v/>
      </c>
    </row>
    <row r="342">
      <c r="H342">
        <f>IF(A342="","",IFERROR(INDEX(Attributes!$F$3:$F$52,MATCH(A342,Attributes!$A$3:$A$52,0))&amp;"","Unknown attribute"))</f>
        <v/>
      </c>
      <c r="I342">
        <f>IF(OR(A342="",B342=""),"",IF(AND(H342="Yes",D342&lt;&gt;"No"),"Yes","No"))</f>
        <v/>
      </c>
      <c r="J342">
        <f>IF(I342="Yes",COUNTIF($I$3:I342,"Yes"),"")</f>
        <v/>
      </c>
      <c r="K342">
        <f>IF(I342&lt;&gt;"Yes","",COUNTIFS($A$3:A342,SUBSTITUTE(SUBSTITUTE(A342,"?","~?"),"*","~*"),$I$3:I342,"Yes"))</f>
        <v/>
      </c>
      <c r="L342">
        <f>IF(K342="","",A342&amp;"|"&amp;K342)</f>
        <v/>
      </c>
      <c r="M342">
        <f>IF(I342&lt;&gt;"Yes","",COUNTIFS(Values!$A$3:$A$502,SUBSTITUTE(SUBSTITUTE(A342,"?","~?"),"*","~*"),Values!$I$3:$I$502,"Yes"))</f>
        <v/>
      </c>
      <c r="N342">
        <f>IF(I342&lt;&gt;"Yes","",IF(M342&lt;2,"",INDEX(Values!$B$3:$B$502,MATCH(A342&amp;"|"&amp;IF(K342=M342,1,K342+1),Values!$L$3:$L$502,0))))</f>
        <v/>
      </c>
      <c r="O342">
        <f>IF(N342="","",INDEX(Values!$J$3:$J$502,MATCH(A342&amp;"|"&amp;IF(K342=M342,1,K342+1),Values!$L$3:$L$502,0)))</f>
        <v/>
      </c>
    </row>
    <row r="343">
      <c r="H343">
        <f>IF(A343="","",IFERROR(INDEX(Attributes!$F$3:$F$52,MATCH(A343,Attributes!$A$3:$A$52,0))&amp;"","Unknown attribute"))</f>
        <v/>
      </c>
      <c r="I343">
        <f>IF(OR(A343="",B343=""),"",IF(AND(H343="Yes",D343&lt;&gt;"No"),"Yes","No"))</f>
        <v/>
      </c>
      <c r="J343">
        <f>IF(I343="Yes",COUNTIF($I$3:I343,"Yes"),"")</f>
        <v/>
      </c>
      <c r="K343">
        <f>IF(I343&lt;&gt;"Yes","",COUNTIFS($A$3:A343,SUBSTITUTE(SUBSTITUTE(A343,"?","~?"),"*","~*"),$I$3:I343,"Yes"))</f>
        <v/>
      </c>
      <c r="L343">
        <f>IF(K343="","",A343&amp;"|"&amp;K343)</f>
        <v/>
      </c>
      <c r="M343">
        <f>IF(I343&lt;&gt;"Yes","",COUNTIFS(Values!$A$3:$A$502,SUBSTITUTE(SUBSTITUTE(A343,"?","~?"),"*","~*"),Values!$I$3:$I$502,"Yes"))</f>
        <v/>
      </c>
      <c r="N343">
        <f>IF(I343&lt;&gt;"Yes","",IF(M343&lt;2,"",INDEX(Values!$B$3:$B$502,MATCH(A343&amp;"|"&amp;IF(K343=M343,1,K343+1),Values!$L$3:$L$502,0))))</f>
        <v/>
      </c>
      <c r="O343">
        <f>IF(N343="","",INDEX(Values!$J$3:$J$502,MATCH(A343&amp;"|"&amp;IF(K343=M343,1,K343+1),Values!$L$3:$L$502,0)))</f>
        <v/>
      </c>
    </row>
    <row r="344">
      <c r="H344">
        <f>IF(A344="","",IFERROR(INDEX(Attributes!$F$3:$F$52,MATCH(A344,Attributes!$A$3:$A$52,0))&amp;"","Unknown attribute"))</f>
        <v/>
      </c>
      <c r="I344">
        <f>IF(OR(A344="",B344=""),"",IF(AND(H344="Yes",D344&lt;&gt;"No"),"Yes","No"))</f>
        <v/>
      </c>
      <c r="J344">
        <f>IF(I344="Yes",COUNTIF($I$3:I344,"Yes"),"")</f>
        <v/>
      </c>
      <c r="K344">
        <f>IF(I344&lt;&gt;"Yes","",COUNTIFS($A$3:A344,SUBSTITUTE(SUBSTITUTE(A344,"?","~?"),"*","~*"),$I$3:I344,"Yes"))</f>
        <v/>
      </c>
      <c r="L344">
        <f>IF(K344="","",A344&amp;"|"&amp;K344)</f>
        <v/>
      </c>
      <c r="M344">
        <f>IF(I344&lt;&gt;"Yes","",COUNTIFS(Values!$A$3:$A$502,SUBSTITUTE(SUBSTITUTE(A344,"?","~?"),"*","~*"),Values!$I$3:$I$502,"Yes"))</f>
        <v/>
      </c>
      <c r="N344">
        <f>IF(I344&lt;&gt;"Yes","",IF(M344&lt;2,"",INDEX(Values!$B$3:$B$502,MATCH(A344&amp;"|"&amp;IF(K344=M344,1,K344+1),Values!$L$3:$L$502,0))))</f>
        <v/>
      </c>
      <c r="O344">
        <f>IF(N344="","",INDEX(Values!$J$3:$J$502,MATCH(A344&amp;"|"&amp;IF(K344=M344,1,K344+1),Values!$L$3:$L$502,0)))</f>
        <v/>
      </c>
    </row>
    <row r="345">
      <c r="H345">
        <f>IF(A345="","",IFERROR(INDEX(Attributes!$F$3:$F$52,MATCH(A345,Attributes!$A$3:$A$52,0))&amp;"","Unknown attribute"))</f>
        <v/>
      </c>
      <c r="I345">
        <f>IF(OR(A345="",B345=""),"",IF(AND(H345="Yes",D345&lt;&gt;"No"),"Yes","No"))</f>
        <v/>
      </c>
      <c r="J345">
        <f>IF(I345="Yes",COUNTIF($I$3:I345,"Yes"),"")</f>
        <v/>
      </c>
      <c r="K345">
        <f>IF(I345&lt;&gt;"Yes","",COUNTIFS($A$3:A345,SUBSTITUTE(SUBSTITUTE(A345,"?","~?"),"*","~*"),$I$3:I345,"Yes"))</f>
        <v/>
      </c>
      <c r="L345">
        <f>IF(K345="","",A345&amp;"|"&amp;K345)</f>
        <v/>
      </c>
      <c r="M345">
        <f>IF(I345&lt;&gt;"Yes","",COUNTIFS(Values!$A$3:$A$502,SUBSTITUTE(SUBSTITUTE(A345,"?","~?"),"*","~*"),Values!$I$3:$I$502,"Yes"))</f>
        <v/>
      </c>
      <c r="N345">
        <f>IF(I345&lt;&gt;"Yes","",IF(M345&lt;2,"",INDEX(Values!$B$3:$B$502,MATCH(A345&amp;"|"&amp;IF(K345=M345,1,K345+1),Values!$L$3:$L$502,0))))</f>
        <v/>
      </c>
      <c r="O345">
        <f>IF(N345="","",INDEX(Values!$J$3:$J$502,MATCH(A345&amp;"|"&amp;IF(K345=M345,1,K345+1),Values!$L$3:$L$502,0)))</f>
        <v/>
      </c>
    </row>
    <row r="346">
      <c r="H346">
        <f>IF(A346="","",IFERROR(INDEX(Attributes!$F$3:$F$52,MATCH(A346,Attributes!$A$3:$A$52,0))&amp;"","Unknown attribute"))</f>
        <v/>
      </c>
      <c r="I346">
        <f>IF(OR(A346="",B346=""),"",IF(AND(H346="Yes",D346&lt;&gt;"No"),"Yes","No"))</f>
        <v/>
      </c>
      <c r="J346">
        <f>IF(I346="Yes",COUNTIF($I$3:I346,"Yes"),"")</f>
        <v/>
      </c>
      <c r="K346">
        <f>IF(I346&lt;&gt;"Yes","",COUNTIFS($A$3:A346,SUBSTITUTE(SUBSTITUTE(A346,"?","~?"),"*","~*"),$I$3:I346,"Yes"))</f>
        <v/>
      </c>
      <c r="L346">
        <f>IF(K346="","",A346&amp;"|"&amp;K346)</f>
        <v/>
      </c>
      <c r="M346">
        <f>IF(I346&lt;&gt;"Yes","",COUNTIFS(Values!$A$3:$A$502,SUBSTITUTE(SUBSTITUTE(A346,"?","~?"),"*","~*"),Values!$I$3:$I$502,"Yes"))</f>
        <v/>
      </c>
      <c r="N346">
        <f>IF(I346&lt;&gt;"Yes","",IF(M346&lt;2,"",INDEX(Values!$B$3:$B$502,MATCH(A346&amp;"|"&amp;IF(K346=M346,1,K346+1),Values!$L$3:$L$502,0))))</f>
        <v/>
      </c>
      <c r="O346">
        <f>IF(N346="","",INDEX(Values!$J$3:$J$502,MATCH(A346&amp;"|"&amp;IF(K346=M346,1,K346+1),Values!$L$3:$L$502,0)))</f>
        <v/>
      </c>
    </row>
    <row r="347">
      <c r="H347">
        <f>IF(A347="","",IFERROR(INDEX(Attributes!$F$3:$F$52,MATCH(A347,Attributes!$A$3:$A$52,0))&amp;"","Unknown attribute"))</f>
        <v/>
      </c>
      <c r="I347">
        <f>IF(OR(A347="",B347=""),"",IF(AND(H347="Yes",D347&lt;&gt;"No"),"Yes","No"))</f>
        <v/>
      </c>
      <c r="J347">
        <f>IF(I347="Yes",COUNTIF($I$3:I347,"Yes"),"")</f>
        <v/>
      </c>
      <c r="K347">
        <f>IF(I347&lt;&gt;"Yes","",COUNTIFS($A$3:A347,SUBSTITUTE(SUBSTITUTE(A347,"?","~?"),"*","~*"),$I$3:I347,"Yes"))</f>
        <v/>
      </c>
      <c r="L347">
        <f>IF(K347="","",A347&amp;"|"&amp;K347)</f>
        <v/>
      </c>
      <c r="M347">
        <f>IF(I347&lt;&gt;"Yes","",COUNTIFS(Values!$A$3:$A$502,SUBSTITUTE(SUBSTITUTE(A347,"?","~?"),"*","~*"),Values!$I$3:$I$502,"Yes"))</f>
        <v/>
      </c>
      <c r="N347">
        <f>IF(I347&lt;&gt;"Yes","",IF(M347&lt;2,"",INDEX(Values!$B$3:$B$502,MATCH(A347&amp;"|"&amp;IF(K347=M347,1,K347+1),Values!$L$3:$L$502,0))))</f>
        <v/>
      </c>
      <c r="O347">
        <f>IF(N347="","",INDEX(Values!$J$3:$J$502,MATCH(A347&amp;"|"&amp;IF(K347=M347,1,K347+1),Values!$L$3:$L$502,0)))</f>
        <v/>
      </c>
    </row>
    <row r="348">
      <c r="H348">
        <f>IF(A348="","",IFERROR(INDEX(Attributes!$F$3:$F$52,MATCH(A348,Attributes!$A$3:$A$52,0))&amp;"","Unknown attribute"))</f>
        <v/>
      </c>
      <c r="I348">
        <f>IF(OR(A348="",B348=""),"",IF(AND(H348="Yes",D348&lt;&gt;"No"),"Yes","No"))</f>
        <v/>
      </c>
      <c r="J348">
        <f>IF(I348="Yes",COUNTIF($I$3:I348,"Yes"),"")</f>
        <v/>
      </c>
      <c r="K348">
        <f>IF(I348&lt;&gt;"Yes","",COUNTIFS($A$3:A348,SUBSTITUTE(SUBSTITUTE(A348,"?","~?"),"*","~*"),$I$3:I348,"Yes"))</f>
        <v/>
      </c>
      <c r="L348">
        <f>IF(K348="","",A348&amp;"|"&amp;K348)</f>
        <v/>
      </c>
      <c r="M348">
        <f>IF(I348&lt;&gt;"Yes","",COUNTIFS(Values!$A$3:$A$502,SUBSTITUTE(SUBSTITUTE(A348,"?","~?"),"*","~*"),Values!$I$3:$I$502,"Yes"))</f>
        <v/>
      </c>
      <c r="N348">
        <f>IF(I348&lt;&gt;"Yes","",IF(M348&lt;2,"",INDEX(Values!$B$3:$B$502,MATCH(A348&amp;"|"&amp;IF(K348=M348,1,K348+1),Values!$L$3:$L$502,0))))</f>
        <v/>
      </c>
      <c r="O348">
        <f>IF(N348="","",INDEX(Values!$J$3:$J$502,MATCH(A348&amp;"|"&amp;IF(K348=M348,1,K348+1),Values!$L$3:$L$502,0)))</f>
        <v/>
      </c>
    </row>
    <row r="349">
      <c r="H349">
        <f>IF(A349="","",IFERROR(INDEX(Attributes!$F$3:$F$52,MATCH(A349,Attributes!$A$3:$A$52,0))&amp;"","Unknown attribute"))</f>
        <v/>
      </c>
      <c r="I349">
        <f>IF(OR(A349="",B349=""),"",IF(AND(H349="Yes",D349&lt;&gt;"No"),"Yes","No"))</f>
        <v/>
      </c>
      <c r="J349">
        <f>IF(I349="Yes",COUNTIF($I$3:I349,"Yes"),"")</f>
        <v/>
      </c>
      <c r="K349">
        <f>IF(I349&lt;&gt;"Yes","",COUNTIFS($A$3:A349,SUBSTITUTE(SUBSTITUTE(A349,"?","~?"),"*","~*"),$I$3:I349,"Yes"))</f>
        <v/>
      </c>
      <c r="L349">
        <f>IF(K349="","",A349&amp;"|"&amp;K349)</f>
        <v/>
      </c>
      <c r="M349">
        <f>IF(I349&lt;&gt;"Yes","",COUNTIFS(Values!$A$3:$A$502,SUBSTITUTE(SUBSTITUTE(A349,"?","~?"),"*","~*"),Values!$I$3:$I$502,"Yes"))</f>
        <v/>
      </c>
      <c r="N349">
        <f>IF(I349&lt;&gt;"Yes","",IF(M349&lt;2,"",INDEX(Values!$B$3:$B$502,MATCH(A349&amp;"|"&amp;IF(K349=M349,1,K349+1),Values!$L$3:$L$502,0))))</f>
        <v/>
      </c>
      <c r="O349">
        <f>IF(N349="","",INDEX(Values!$J$3:$J$502,MATCH(A349&amp;"|"&amp;IF(K349=M349,1,K349+1),Values!$L$3:$L$502,0)))</f>
        <v/>
      </c>
    </row>
    <row r="350">
      <c r="H350">
        <f>IF(A350="","",IFERROR(INDEX(Attributes!$F$3:$F$52,MATCH(A350,Attributes!$A$3:$A$52,0))&amp;"","Unknown attribute"))</f>
        <v/>
      </c>
      <c r="I350">
        <f>IF(OR(A350="",B350=""),"",IF(AND(H350="Yes",D350&lt;&gt;"No"),"Yes","No"))</f>
        <v/>
      </c>
      <c r="J350">
        <f>IF(I350="Yes",COUNTIF($I$3:I350,"Yes"),"")</f>
        <v/>
      </c>
      <c r="K350">
        <f>IF(I350&lt;&gt;"Yes","",COUNTIFS($A$3:A350,SUBSTITUTE(SUBSTITUTE(A350,"?","~?"),"*","~*"),$I$3:I350,"Yes"))</f>
        <v/>
      </c>
      <c r="L350">
        <f>IF(K350="","",A350&amp;"|"&amp;K350)</f>
        <v/>
      </c>
      <c r="M350">
        <f>IF(I350&lt;&gt;"Yes","",COUNTIFS(Values!$A$3:$A$502,SUBSTITUTE(SUBSTITUTE(A350,"?","~?"),"*","~*"),Values!$I$3:$I$502,"Yes"))</f>
        <v/>
      </c>
      <c r="N350">
        <f>IF(I350&lt;&gt;"Yes","",IF(M350&lt;2,"",INDEX(Values!$B$3:$B$502,MATCH(A350&amp;"|"&amp;IF(K350=M350,1,K350+1),Values!$L$3:$L$502,0))))</f>
        <v/>
      </c>
      <c r="O350">
        <f>IF(N350="","",INDEX(Values!$J$3:$J$502,MATCH(A350&amp;"|"&amp;IF(K350=M350,1,K350+1),Values!$L$3:$L$502,0)))</f>
        <v/>
      </c>
    </row>
    <row r="351">
      <c r="H351">
        <f>IF(A351="","",IFERROR(INDEX(Attributes!$F$3:$F$52,MATCH(A351,Attributes!$A$3:$A$52,0))&amp;"","Unknown attribute"))</f>
        <v/>
      </c>
      <c r="I351">
        <f>IF(OR(A351="",B351=""),"",IF(AND(H351="Yes",D351&lt;&gt;"No"),"Yes","No"))</f>
        <v/>
      </c>
      <c r="J351">
        <f>IF(I351="Yes",COUNTIF($I$3:I351,"Yes"),"")</f>
        <v/>
      </c>
      <c r="K351">
        <f>IF(I351&lt;&gt;"Yes","",COUNTIFS($A$3:A351,SUBSTITUTE(SUBSTITUTE(A351,"?","~?"),"*","~*"),$I$3:I351,"Yes"))</f>
        <v/>
      </c>
      <c r="L351">
        <f>IF(K351="","",A351&amp;"|"&amp;K351)</f>
        <v/>
      </c>
      <c r="M351">
        <f>IF(I351&lt;&gt;"Yes","",COUNTIFS(Values!$A$3:$A$502,SUBSTITUTE(SUBSTITUTE(A351,"?","~?"),"*","~*"),Values!$I$3:$I$502,"Yes"))</f>
        <v/>
      </c>
      <c r="N351">
        <f>IF(I351&lt;&gt;"Yes","",IF(M351&lt;2,"",INDEX(Values!$B$3:$B$502,MATCH(A351&amp;"|"&amp;IF(K351=M351,1,K351+1),Values!$L$3:$L$502,0))))</f>
        <v/>
      </c>
      <c r="O351">
        <f>IF(N351="","",INDEX(Values!$J$3:$J$502,MATCH(A351&amp;"|"&amp;IF(K351=M351,1,K351+1),Values!$L$3:$L$502,0)))</f>
        <v/>
      </c>
    </row>
    <row r="352">
      <c r="H352">
        <f>IF(A352="","",IFERROR(INDEX(Attributes!$F$3:$F$52,MATCH(A352,Attributes!$A$3:$A$52,0))&amp;"","Unknown attribute"))</f>
        <v/>
      </c>
      <c r="I352">
        <f>IF(OR(A352="",B352=""),"",IF(AND(H352="Yes",D352&lt;&gt;"No"),"Yes","No"))</f>
        <v/>
      </c>
      <c r="J352">
        <f>IF(I352="Yes",COUNTIF($I$3:I352,"Yes"),"")</f>
        <v/>
      </c>
      <c r="K352">
        <f>IF(I352&lt;&gt;"Yes","",COUNTIFS($A$3:A352,SUBSTITUTE(SUBSTITUTE(A352,"?","~?"),"*","~*"),$I$3:I352,"Yes"))</f>
        <v/>
      </c>
      <c r="L352">
        <f>IF(K352="","",A352&amp;"|"&amp;K352)</f>
        <v/>
      </c>
      <c r="M352">
        <f>IF(I352&lt;&gt;"Yes","",COUNTIFS(Values!$A$3:$A$502,SUBSTITUTE(SUBSTITUTE(A352,"?","~?"),"*","~*"),Values!$I$3:$I$502,"Yes"))</f>
        <v/>
      </c>
      <c r="N352">
        <f>IF(I352&lt;&gt;"Yes","",IF(M352&lt;2,"",INDEX(Values!$B$3:$B$502,MATCH(A352&amp;"|"&amp;IF(K352=M352,1,K352+1),Values!$L$3:$L$502,0))))</f>
        <v/>
      </c>
      <c r="O352">
        <f>IF(N352="","",INDEX(Values!$J$3:$J$502,MATCH(A352&amp;"|"&amp;IF(K352=M352,1,K352+1),Values!$L$3:$L$502,0)))</f>
        <v/>
      </c>
    </row>
    <row r="353">
      <c r="H353">
        <f>IF(A353="","",IFERROR(INDEX(Attributes!$F$3:$F$52,MATCH(A353,Attributes!$A$3:$A$52,0))&amp;"","Unknown attribute"))</f>
        <v/>
      </c>
      <c r="I353">
        <f>IF(OR(A353="",B353=""),"",IF(AND(H353="Yes",D353&lt;&gt;"No"),"Yes","No"))</f>
        <v/>
      </c>
      <c r="J353">
        <f>IF(I353="Yes",COUNTIF($I$3:I353,"Yes"),"")</f>
        <v/>
      </c>
      <c r="K353">
        <f>IF(I353&lt;&gt;"Yes","",COUNTIFS($A$3:A353,SUBSTITUTE(SUBSTITUTE(A353,"?","~?"),"*","~*"),$I$3:I353,"Yes"))</f>
        <v/>
      </c>
      <c r="L353">
        <f>IF(K353="","",A353&amp;"|"&amp;K353)</f>
        <v/>
      </c>
      <c r="M353">
        <f>IF(I353&lt;&gt;"Yes","",COUNTIFS(Values!$A$3:$A$502,SUBSTITUTE(SUBSTITUTE(A353,"?","~?"),"*","~*"),Values!$I$3:$I$502,"Yes"))</f>
        <v/>
      </c>
      <c r="N353">
        <f>IF(I353&lt;&gt;"Yes","",IF(M353&lt;2,"",INDEX(Values!$B$3:$B$502,MATCH(A353&amp;"|"&amp;IF(K353=M353,1,K353+1),Values!$L$3:$L$502,0))))</f>
        <v/>
      </c>
      <c r="O353">
        <f>IF(N353="","",INDEX(Values!$J$3:$J$502,MATCH(A353&amp;"|"&amp;IF(K353=M353,1,K353+1),Values!$L$3:$L$502,0)))</f>
        <v/>
      </c>
    </row>
    <row r="354">
      <c r="H354">
        <f>IF(A354="","",IFERROR(INDEX(Attributes!$F$3:$F$52,MATCH(A354,Attributes!$A$3:$A$52,0))&amp;"","Unknown attribute"))</f>
        <v/>
      </c>
      <c r="I354">
        <f>IF(OR(A354="",B354=""),"",IF(AND(H354="Yes",D354&lt;&gt;"No"),"Yes","No"))</f>
        <v/>
      </c>
      <c r="J354">
        <f>IF(I354="Yes",COUNTIF($I$3:I354,"Yes"),"")</f>
        <v/>
      </c>
      <c r="K354">
        <f>IF(I354&lt;&gt;"Yes","",COUNTIFS($A$3:A354,SUBSTITUTE(SUBSTITUTE(A354,"?","~?"),"*","~*"),$I$3:I354,"Yes"))</f>
        <v/>
      </c>
      <c r="L354">
        <f>IF(K354="","",A354&amp;"|"&amp;K354)</f>
        <v/>
      </c>
      <c r="M354">
        <f>IF(I354&lt;&gt;"Yes","",COUNTIFS(Values!$A$3:$A$502,SUBSTITUTE(SUBSTITUTE(A354,"?","~?"),"*","~*"),Values!$I$3:$I$502,"Yes"))</f>
        <v/>
      </c>
      <c r="N354">
        <f>IF(I354&lt;&gt;"Yes","",IF(M354&lt;2,"",INDEX(Values!$B$3:$B$502,MATCH(A354&amp;"|"&amp;IF(K354=M354,1,K354+1),Values!$L$3:$L$502,0))))</f>
        <v/>
      </c>
      <c r="O354">
        <f>IF(N354="","",INDEX(Values!$J$3:$J$502,MATCH(A354&amp;"|"&amp;IF(K354=M354,1,K354+1),Values!$L$3:$L$502,0)))</f>
        <v/>
      </c>
    </row>
    <row r="355">
      <c r="H355">
        <f>IF(A355="","",IFERROR(INDEX(Attributes!$F$3:$F$52,MATCH(A355,Attributes!$A$3:$A$52,0))&amp;"","Unknown attribute"))</f>
        <v/>
      </c>
      <c r="I355">
        <f>IF(OR(A355="",B355=""),"",IF(AND(H355="Yes",D355&lt;&gt;"No"),"Yes","No"))</f>
        <v/>
      </c>
      <c r="J355">
        <f>IF(I355="Yes",COUNTIF($I$3:I355,"Yes"),"")</f>
        <v/>
      </c>
      <c r="K355">
        <f>IF(I355&lt;&gt;"Yes","",COUNTIFS($A$3:A355,SUBSTITUTE(SUBSTITUTE(A355,"?","~?"),"*","~*"),$I$3:I355,"Yes"))</f>
        <v/>
      </c>
      <c r="L355">
        <f>IF(K355="","",A355&amp;"|"&amp;K355)</f>
        <v/>
      </c>
      <c r="M355">
        <f>IF(I355&lt;&gt;"Yes","",COUNTIFS(Values!$A$3:$A$502,SUBSTITUTE(SUBSTITUTE(A355,"?","~?"),"*","~*"),Values!$I$3:$I$502,"Yes"))</f>
        <v/>
      </c>
      <c r="N355">
        <f>IF(I355&lt;&gt;"Yes","",IF(M355&lt;2,"",INDEX(Values!$B$3:$B$502,MATCH(A355&amp;"|"&amp;IF(K355=M355,1,K355+1),Values!$L$3:$L$502,0))))</f>
        <v/>
      </c>
      <c r="O355">
        <f>IF(N355="","",INDEX(Values!$J$3:$J$502,MATCH(A355&amp;"|"&amp;IF(K355=M355,1,K355+1),Values!$L$3:$L$502,0)))</f>
        <v/>
      </c>
    </row>
    <row r="356">
      <c r="H356">
        <f>IF(A356="","",IFERROR(INDEX(Attributes!$F$3:$F$52,MATCH(A356,Attributes!$A$3:$A$52,0))&amp;"","Unknown attribute"))</f>
        <v/>
      </c>
      <c r="I356">
        <f>IF(OR(A356="",B356=""),"",IF(AND(H356="Yes",D356&lt;&gt;"No"),"Yes","No"))</f>
        <v/>
      </c>
      <c r="J356">
        <f>IF(I356="Yes",COUNTIF($I$3:I356,"Yes"),"")</f>
        <v/>
      </c>
      <c r="K356">
        <f>IF(I356&lt;&gt;"Yes","",COUNTIFS($A$3:A356,SUBSTITUTE(SUBSTITUTE(A356,"?","~?"),"*","~*"),$I$3:I356,"Yes"))</f>
        <v/>
      </c>
      <c r="L356">
        <f>IF(K356="","",A356&amp;"|"&amp;K356)</f>
        <v/>
      </c>
      <c r="M356">
        <f>IF(I356&lt;&gt;"Yes","",COUNTIFS(Values!$A$3:$A$502,SUBSTITUTE(SUBSTITUTE(A356,"?","~?"),"*","~*"),Values!$I$3:$I$502,"Yes"))</f>
        <v/>
      </c>
      <c r="N356">
        <f>IF(I356&lt;&gt;"Yes","",IF(M356&lt;2,"",INDEX(Values!$B$3:$B$502,MATCH(A356&amp;"|"&amp;IF(K356=M356,1,K356+1),Values!$L$3:$L$502,0))))</f>
        <v/>
      </c>
      <c r="O356">
        <f>IF(N356="","",INDEX(Values!$J$3:$J$502,MATCH(A356&amp;"|"&amp;IF(K356=M356,1,K356+1),Values!$L$3:$L$502,0)))</f>
        <v/>
      </c>
    </row>
    <row r="357">
      <c r="H357">
        <f>IF(A357="","",IFERROR(INDEX(Attributes!$F$3:$F$52,MATCH(A357,Attributes!$A$3:$A$52,0))&amp;"","Unknown attribute"))</f>
        <v/>
      </c>
      <c r="I357">
        <f>IF(OR(A357="",B357=""),"",IF(AND(H357="Yes",D357&lt;&gt;"No"),"Yes","No"))</f>
        <v/>
      </c>
      <c r="J357">
        <f>IF(I357="Yes",COUNTIF($I$3:I357,"Yes"),"")</f>
        <v/>
      </c>
      <c r="K357">
        <f>IF(I357&lt;&gt;"Yes","",COUNTIFS($A$3:A357,SUBSTITUTE(SUBSTITUTE(A357,"?","~?"),"*","~*"),$I$3:I357,"Yes"))</f>
        <v/>
      </c>
      <c r="L357">
        <f>IF(K357="","",A357&amp;"|"&amp;K357)</f>
        <v/>
      </c>
      <c r="M357">
        <f>IF(I357&lt;&gt;"Yes","",COUNTIFS(Values!$A$3:$A$502,SUBSTITUTE(SUBSTITUTE(A357,"?","~?"),"*","~*"),Values!$I$3:$I$502,"Yes"))</f>
        <v/>
      </c>
      <c r="N357">
        <f>IF(I357&lt;&gt;"Yes","",IF(M357&lt;2,"",INDEX(Values!$B$3:$B$502,MATCH(A357&amp;"|"&amp;IF(K357=M357,1,K357+1),Values!$L$3:$L$502,0))))</f>
        <v/>
      </c>
      <c r="O357">
        <f>IF(N357="","",INDEX(Values!$J$3:$J$502,MATCH(A357&amp;"|"&amp;IF(K357=M357,1,K357+1),Values!$L$3:$L$502,0)))</f>
        <v/>
      </c>
    </row>
    <row r="358">
      <c r="H358">
        <f>IF(A358="","",IFERROR(INDEX(Attributes!$F$3:$F$52,MATCH(A358,Attributes!$A$3:$A$52,0))&amp;"","Unknown attribute"))</f>
        <v/>
      </c>
      <c r="I358">
        <f>IF(OR(A358="",B358=""),"",IF(AND(H358="Yes",D358&lt;&gt;"No"),"Yes","No"))</f>
        <v/>
      </c>
      <c r="J358">
        <f>IF(I358="Yes",COUNTIF($I$3:I358,"Yes"),"")</f>
        <v/>
      </c>
      <c r="K358">
        <f>IF(I358&lt;&gt;"Yes","",COUNTIFS($A$3:A358,SUBSTITUTE(SUBSTITUTE(A358,"?","~?"),"*","~*"),$I$3:I358,"Yes"))</f>
        <v/>
      </c>
      <c r="L358">
        <f>IF(K358="","",A358&amp;"|"&amp;K358)</f>
        <v/>
      </c>
      <c r="M358">
        <f>IF(I358&lt;&gt;"Yes","",COUNTIFS(Values!$A$3:$A$502,SUBSTITUTE(SUBSTITUTE(A358,"?","~?"),"*","~*"),Values!$I$3:$I$502,"Yes"))</f>
        <v/>
      </c>
      <c r="N358">
        <f>IF(I358&lt;&gt;"Yes","",IF(M358&lt;2,"",INDEX(Values!$B$3:$B$502,MATCH(A358&amp;"|"&amp;IF(K358=M358,1,K358+1),Values!$L$3:$L$502,0))))</f>
        <v/>
      </c>
      <c r="O358">
        <f>IF(N358="","",INDEX(Values!$J$3:$J$502,MATCH(A358&amp;"|"&amp;IF(K358=M358,1,K358+1),Values!$L$3:$L$502,0)))</f>
        <v/>
      </c>
    </row>
    <row r="359">
      <c r="H359">
        <f>IF(A359="","",IFERROR(INDEX(Attributes!$F$3:$F$52,MATCH(A359,Attributes!$A$3:$A$52,0))&amp;"","Unknown attribute"))</f>
        <v/>
      </c>
      <c r="I359">
        <f>IF(OR(A359="",B359=""),"",IF(AND(H359="Yes",D359&lt;&gt;"No"),"Yes","No"))</f>
        <v/>
      </c>
      <c r="J359">
        <f>IF(I359="Yes",COUNTIF($I$3:I359,"Yes"),"")</f>
        <v/>
      </c>
      <c r="K359">
        <f>IF(I359&lt;&gt;"Yes","",COUNTIFS($A$3:A359,SUBSTITUTE(SUBSTITUTE(A359,"?","~?"),"*","~*"),$I$3:I359,"Yes"))</f>
        <v/>
      </c>
      <c r="L359">
        <f>IF(K359="","",A359&amp;"|"&amp;K359)</f>
        <v/>
      </c>
      <c r="M359">
        <f>IF(I359&lt;&gt;"Yes","",COUNTIFS(Values!$A$3:$A$502,SUBSTITUTE(SUBSTITUTE(A359,"?","~?"),"*","~*"),Values!$I$3:$I$502,"Yes"))</f>
        <v/>
      </c>
      <c r="N359">
        <f>IF(I359&lt;&gt;"Yes","",IF(M359&lt;2,"",INDEX(Values!$B$3:$B$502,MATCH(A359&amp;"|"&amp;IF(K359=M359,1,K359+1),Values!$L$3:$L$502,0))))</f>
        <v/>
      </c>
      <c r="O359">
        <f>IF(N359="","",INDEX(Values!$J$3:$J$502,MATCH(A359&amp;"|"&amp;IF(K359=M359,1,K359+1),Values!$L$3:$L$502,0)))</f>
        <v/>
      </c>
    </row>
    <row r="360">
      <c r="H360">
        <f>IF(A360="","",IFERROR(INDEX(Attributes!$F$3:$F$52,MATCH(A360,Attributes!$A$3:$A$52,0))&amp;"","Unknown attribute"))</f>
        <v/>
      </c>
      <c r="I360">
        <f>IF(OR(A360="",B360=""),"",IF(AND(H360="Yes",D360&lt;&gt;"No"),"Yes","No"))</f>
        <v/>
      </c>
      <c r="J360">
        <f>IF(I360="Yes",COUNTIF($I$3:I360,"Yes"),"")</f>
        <v/>
      </c>
      <c r="K360">
        <f>IF(I360&lt;&gt;"Yes","",COUNTIFS($A$3:A360,SUBSTITUTE(SUBSTITUTE(A360,"?","~?"),"*","~*"),$I$3:I360,"Yes"))</f>
        <v/>
      </c>
      <c r="L360">
        <f>IF(K360="","",A360&amp;"|"&amp;K360)</f>
        <v/>
      </c>
      <c r="M360">
        <f>IF(I360&lt;&gt;"Yes","",COUNTIFS(Values!$A$3:$A$502,SUBSTITUTE(SUBSTITUTE(A360,"?","~?"),"*","~*"),Values!$I$3:$I$502,"Yes"))</f>
        <v/>
      </c>
      <c r="N360">
        <f>IF(I360&lt;&gt;"Yes","",IF(M360&lt;2,"",INDEX(Values!$B$3:$B$502,MATCH(A360&amp;"|"&amp;IF(K360=M360,1,K360+1),Values!$L$3:$L$502,0))))</f>
        <v/>
      </c>
      <c r="O360">
        <f>IF(N360="","",INDEX(Values!$J$3:$J$502,MATCH(A360&amp;"|"&amp;IF(K360=M360,1,K360+1),Values!$L$3:$L$502,0)))</f>
        <v/>
      </c>
    </row>
    <row r="361">
      <c r="H361">
        <f>IF(A361="","",IFERROR(INDEX(Attributes!$F$3:$F$52,MATCH(A361,Attributes!$A$3:$A$52,0))&amp;"","Unknown attribute"))</f>
        <v/>
      </c>
      <c r="I361">
        <f>IF(OR(A361="",B361=""),"",IF(AND(H361="Yes",D361&lt;&gt;"No"),"Yes","No"))</f>
        <v/>
      </c>
      <c r="J361">
        <f>IF(I361="Yes",COUNTIF($I$3:I361,"Yes"),"")</f>
        <v/>
      </c>
      <c r="K361">
        <f>IF(I361&lt;&gt;"Yes","",COUNTIFS($A$3:A361,SUBSTITUTE(SUBSTITUTE(A361,"?","~?"),"*","~*"),$I$3:I361,"Yes"))</f>
        <v/>
      </c>
      <c r="L361">
        <f>IF(K361="","",A361&amp;"|"&amp;K361)</f>
        <v/>
      </c>
      <c r="M361">
        <f>IF(I361&lt;&gt;"Yes","",COUNTIFS(Values!$A$3:$A$502,SUBSTITUTE(SUBSTITUTE(A361,"?","~?"),"*","~*"),Values!$I$3:$I$502,"Yes"))</f>
        <v/>
      </c>
      <c r="N361">
        <f>IF(I361&lt;&gt;"Yes","",IF(M361&lt;2,"",INDEX(Values!$B$3:$B$502,MATCH(A361&amp;"|"&amp;IF(K361=M361,1,K361+1),Values!$L$3:$L$502,0))))</f>
        <v/>
      </c>
      <c r="O361">
        <f>IF(N361="","",INDEX(Values!$J$3:$J$502,MATCH(A361&amp;"|"&amp;IF(K361=M361,1,K361+1),Values!$L$3:$L$502,0)))</f>
        <v/>
      </c>
    </row>
    <row r="362">
      <c r="H362">
        <f>IF(A362="","",IFERROR(INDEX(Attributes!$F$3:$F$52,MATCH(A362,Attributes!$A$3:$A$52,0))&amp;"","Unknown attribute"))</f>
        <v/>
      </c>
      <c r="I362">
        <f>IF(OR(A362="",B362=""),"",IF(AND(H362="Yes",D362&lt;&gt;"No"),"Yes","No"))</f>
        <v/>
      </c>
      <c r="J362">
        <f>IF(I362="Yes",COUNTIF($I$3:I362,"Yes"),"")</f>
        <v/>
      </c>
      <c r="K362">
        <f>IF(I362&lt;&gt;"Yes","",COUNTIFS($A$3:A362,SUBSTITUTE(SUBSTITUTE(A362,"?","~?"),"*","~*"),$I$3:I362,"Yes"))</f>
        <v/>
      </c>
      <c r="L362">
        <f>IF(K362="","",A362&amp;"|"&amp;K362)</f>
        <v/>
      </c>
      <c r="M362">
        <f>IF(I362&lt;&gt;"Yes","",COUNTIFS(Values!$A$3:$A$502,SUBSTITUTE(SUBSTITUTE(A362,"?","~?"),"*","~*"),Values!$I$3:$I$502,"Yes"))</f>
        <v/>
      </c>
      <c r="N362">
        <f>IF(I362&lt;&gt;"Yes","",IF(M362&lt;2,"",INDEX(Values!$B$3:$B$502,MATCH(A362&amp;"|"&amp;IF(K362=M362,1,K362+1),Values!$L$3:$L$502,0))))</f>
        <v/>
      </c>
      <c r="O362">
        <f>IF(N362="","",INDEX(Values!$J$3:$J$502,MATCH(A362&amp;"|"&amp;IF(K362=M362,1,K362+1),Values!$L$3:$L$502,0)))</f>
        <v/>
      </c>
    </row>
    <row r="363">
      <c r="H363">
        <f>IF(A363="","",IFERROR(INDEX(Attributes!$F$3:$F$52,MATCH(A363,Attributes!$A$3:$A$52,0))&amp;"","Unknown attribute"))</f>
        <v/>
      </c>
      <c r="I363">
        <f>IF(OR(A363="",B363=""),"",IF(AND(H363="Yes",D363&lt;&gt;"No"),"Yes","No"))</f>
        <v/>
      </c>
      <c r="J363">
        <f>IF(I363="Yes",COUNTIF($I$3:I363,"Yes"),"")</f>
        <v/>
      </c>
      <c r="K363">
        <f>IF(I363&lt;&gt;"Yes","",COUNTIFS($A$3:A363,SUBSTITUTE(SUBSTITUTE(A363,"?","~?"),"*","~*"),$I$3:I363,"Yes"))</f>
        <v/>
      </c>
      <c r="L363">
        <f>IF(K363="","",A363&amp;"|"&amp;K363)</f>
        <v/>
      </c>
      <c r="M363">
        <f>IF(I363&lt;&gt;"Yes","",COUNTIFS(Values!$A$3:$A$502,SUBSTITUTE(SUBSTITUTE(A363,"?","~?"),"*","~*"),Values!$I$3:$I$502,"Yes"))</f>
        <v/>
      </c>
      <c r="N363">
        <f>IF(I363&lt;&gt;"Yes","",IF(M363&lt;2,"",INDEX(Values!$B$3:$B$502,MATCH(A363&amp;"|"&amp;IF(K363=M363,1,K363+1),Values!$L$3:$L$502,0))))</f>
        <v/>
      </c>
      <c r="O363">
        <f>IF(N363="","",INDEX(Values!$J$3:$J$502,MATCH(A363&amp;"|"&amp;IF(K363=M363,1,K363+1),Values!$L$3:$L$502,0)))</f>
        <v/>
      </c>
    </row>
    <row r="364">
      <c r="H364">
        <f>IF(A364="","",IFERROR(INDEX(Attributes!$F$3:$F$52,MATCH(A364,Attributes!$A$3:$A$52,0))&amp;"","Unknown attribute"))</f>
        <v/>
      </c>
      <c r="I364">
        <f>IF(OR(A364="",B364=""),"",IF(AND(H364="Yes",D364&lt;&gt;"No"),"Yes","No"))</f>
        <v/>
      </c>
      <c r="J364">
        <f>IF(I364="Yes",COUNTIF($I$3:I364,"Yes"),"")</f>
        <v/>
      </c>
      <c r="K364">
        <f>IF(I364&lt;&gt;"Yes","",COUNTIFS($A$3:A364,SUBSTITUTE(SUBSTITUTE(A364,"?","~?"),"*","~*"),$I$3:I364,"Yes"))</f>
        <v/>
      </c>
      <c r="L364">
        <f>IF(K364="","",A364&amp;"|"&amp;K364)</f>
        <v/>
      </c>
      <c r="M364">
        <f>IF(I364&lt;&gt;"Yes","",COUNTIFS(Values!$A$3:$A$502,SUBSTITUTE(SUBSTITUTE(A364,"?","~?"),"*","~*"),Values!$I$3:$I$502,"Yes"))</f>
        <v/>
      </c>
      <c r="N364">
        <f>IF(I364&lt;&gt;"Yes","",IF(M364&lt;2,"",INDEX(Values!$B$3:$B$502,MATCH(A364&amp;"|"&amp;IF(K364=M364,1,K364+1),Values!$L$3:$L$502,0))))</f>
        <v/>
      </c>
      <c r="O364">
        <f>IF(N364="","",INDEX(Values!$J$3:$J$502,MATCH(A364&amp;"|"&amp;IF(K364=M364,1,K364+1),Values!$L$3:$L$502,0)))</f>
        <v/>
      </c>
    </row>
    <row r="365">
      <c r="H365">
        <f>IF(A365="","",IFERROR(INDEX(Attributes!$F$3:$F$52,MATCH(A365,Attributes!$A$3:$A$52,0))&amp;"","Unknown attribute"))</f>
        <v/>
      </c>
      <c r="I365">
        <f>IF(OR(A365="",B365=""),"",IF(AND(H365="Yes",D365&lt;&gt;"No"),"Yes","No"))</f>
        <v/>
      </c>
      <c r="J365">
        <f>IF(I365="Yes",COUNTIF($I$3:I365,"Yes"),"")</f>
        <v/>
      </c>
      <c r="K365">
        <f>IF(I365&lt;&gt;"Yes","",COUNTIFS($A$3:A365,SUBSTITUTE(SUBSTITUTE(A365,"?","~?"),"*","~*"),$I$3:I365,"Yes"))</f>
        <v/>
      </c>
      <c r="L365">
        <f>IF(K365="","",A365&amp;"|"&amp;K365)</f>
        <v/>
      </c>
      <c r="M365">
        <f>IF(I365&lt;&gt;"Yes","",COUNTIFS(Values!$A$3:$A$502,SUBSTITUTE(SUBSTITUTE(A365,"?","~?"),"*","~*"),Values!$I$3:$I$502,"Yes"))</f>
        <v/>
      </c>
      <c r="N365">
        <f>IF(I365&lt;&gt;"Yes","",IF(M365&lt;2,"",INDEX(Values!$B$3:$B$502,MATCH(A365&amp;"|"&amp;IF(K365=M365,1,K365+1),Values!$L$3:$L$502,0))))</f>
        <v/>
      </c>
      <c r="O365">
        <f>IF(N365="","",INDEX(Values!$J$3:$J$502,MATCH(A365&amp;"|"&amp;IF(K365=M365,1,K365+1),Values!$L$3:$L$502,0)))</f>
        <v/>
      </c>
    </row>
    <row r="366">
      <c r="H366">
        <f>IF(A366="","",IFERROR(INDEX(Attributes!$F$3:$F$52,MATCH(A366,Attributes!$A$3:$A$52,0))&amp;"","Unknown attribute"))</f>
        <v/>
      </c>
      <c r="I366">
        <f>IF(OR(A366="",B366=""),"",IF(AND(H366="Yes",D366&lt;&gt;"No"),"Yes","No"))</f>
        <v/>
      </c>
      <c r="J366">
        <f>IF(I366="Yes",COUNTIF($I$3:I366,"Yes"),"")</f>
        <v/>
      </c>
      <c r="K366">
        <f>IF(I366&lt;&gt;"Yes","",COUNTIFS($A$3:A366,SUBSTITUTE(SUBSTITUTE(A366,"?","~?"),"*","~*"),$I$3:I366,"Yes"))</f>
        <v/>
      </c>
      <c r="L366">
        <f>IF(K366="","",A366&amp;"|"&amp;K366)</f>
        <v/>
      </c>
      <c r="M366">
        <f>IF(I366&lt;&gt;"Yes","",COUNTIFS(Values!$A$3:$A$502,SUBSTITUTE(SUBSTITUTE(A366,"?","~?"),"*","~*"),Values!$I$3:$I$502,"Yes"))</f>
        <v/>
      </c>
      <c r="N366">
        <f>IF(I366&lt;&gt;"Yes","",IF(M366&lt;2,"",INDEX(Values!$B$3:$B$502,MATCH(A366&amp;"|"&amp;IF(K366=M366,1,K366+1),Values!$L$3:$L$502,0))))</f>
        <v/>
      </c>
      <c r="O366">
        <f>IF(N366="","",INDEX(Values!$J$3:$J$502,MATCH(A366&amp;"|"&amp;IF(K366=M366,1,K366+1),Values!$L$3:$L$502,0)))</f>
        <v/>
      </c>
    </row>
    <row r="367">
      <c r="H367">
        <f>IF(A367="","",IFERROR(INDEX(Attributes!$F$3:$F$52,MATCH(A367,Attributes!$A$3:$A$52,0))&amp;"","Unknown attribute"))</f>
        <v/>
      </c>
      <c r="I367">
        <f>IF(OR(A367="",B367=""),"",IF(AND(H367="Yes",D367&lt;&gt;"No"),"Yes","No"))</f>
        <v/>
      </c>
      <c r="J367">
        <f>IF(I367="Yes",COUNTIF($I$3:I367,"Yes"),"")</f>
        <v/>
      </c>
      <c r="K367">
        <f>IF(I367&lt;&gt;"Yes","",COUNTIFS($A$3:A367,SUBSTITUTE(SUBSTITUTE(A367,"?","~?"),"*","~*"),$I$3:I367,"Yes"))</f>
        <v/>
      </c>
      <c r="L367">
        <f>IF(K367="","",A367&amp;"|"&amp;K367)</f>
        <v/>
      </c>
      <c r="M367">
        <f>IF(I367&lt;&gt;"Yes","",COUNTIFS(Values!$A$3:$A$502,SUBSTITUTE(SUBSTITUTE(A367,"?","~?"),"*","~*"),Values!$I$3:$I$502,"Yes"))</f>
        <v/>
      </c>
      <c r="N367">
        <f>IF(I367&lt;&gt;"Yes","",IF(M367&lt;2,"",INDEX(Values!$B$3:$B$502,MATCH(A367&amp;"|"&amp;IF(K367=M367,1,K367+1),Values!$L$3:$L$502,0))))</f>
        <v/>
      </c>
      <c r="O367">
        <f>IF(N367="","",INDEX(Values!$J$3:$J$502,MATCH(A367&amp;"|"&amp;IF(K367=M367,1,K367+1),Values!$L$3:$L$502,0)))</f>
        <v/>
      </c>
    </row>
    <row r="368">
      <c r="H368">
        <f>IF(A368="","",IFERROR(INDEX(Attributes!$F$3:$F$52,MATCH(A368,Attributes!$A$3:$A$52,0))&amp;"","Unknown attribute"))</f>
        <v/>
      </c>
      <c r="I368">
        <f>IF(OR(A368="",B368=""),"",IF(AND(H368="Yes",D368&lt;&gt;"No"),"Yes","No"))</f>
        <v/>
      </c>
      <c r="J368">
        <f>IF(I368="Yes",COUNTIF($I$3:I368,"Yes"),"")</f>
        <v/>
      </c>
      <c r="K368">
        <f>IF(I368&lt;&gt;"Yes","",COUNTIFS($A$3:A368,SUBSTITUTE(SUBSTITUTE(A368,"?","~?"),"*","~*"),$I$3:I368,"Yes"))</f>
        <v/>
      </c>
      <c r="L368">
        <f>IF(K368="","",A368&amp;"|"&amp;K368)</f>
        <v/>
      </c>
      <c r="M368">
        <f>IF(I368&lt;&gt;"Yes","",COUNTIFS(Values!$A$3:$A$502,SUBSTITUTE(SUBSTITUTE(A368,"?","~?"),"*","~*"),Values!$I$3:$I$502,"Yes"))</f>
        <v/>
      </c>
      <c r="N368">
        <f>IF(I368&lt;&gt;"Yes","",IF(M368&lt;2,"",INDEX(Values!$B$3:$B$502,MATCH(A368&amp;"|"&amp;IF(K368=M368,1,K368+1),Values!$L$3:$L$502,0))))</f>
        <v/>
      </c>
      <c r="O368">
        <f>IF(N368="","",INDEX(Values!$J$3:$J$502,MATCH(A368&amp;"|"&amp;IF(K368=M368,1,K368+1),Values!$L$3:$L$502,0)))</f>
        <v/>
      </c>
    </row>
    <row r="369">
      <c r="H369">
        <f>IF(A369="","",IFERROR(INDEX(Attributes!$F$3:$F$52,MATCH(A369,Attributes!$A$3:$A$52,0))&amp;"","Unknown attribute"))</f>
        <v/>
      </c>
      <c r="I369">
        <f>IF(OR(A369="",B369=""),"",IF(AND(H369="Yes",D369&lt;&gt;"No"),"Yes","No"))</f>
        <v/>
      </c>
      <c r="J369">
        <f>IF(I369="Yes",COUNTIF($I$3:I369,"Yes"),"")</f>
        <v/>
      </c>
      <c r="K369">
        <f>IF(I369&lt;&gt;"Yes","",COUNTIFS($A$3:A369,SUBSTITUTE(SUBSTITUTE(A369,"?","~?"),"*","~*"),$I$3:I369,"Yes"))</f>
        <v/>
      </c>
      <c r="L369">
        <f>IF(K369="","",A369&amp;"|"&amp;K369)</f>
        <v/>
      </c>
      <c r="M369">
        <f>IF(I369&lt;&gt;"Yes","",COUNTIFS(Values!$A$3:$A$502,SUBSTITUTE(SUBSTITUTE(A369,"?","~?"),"*","~*"),Values!$I$3:$I$502,"Yes"))</f>
        <v/>
      </c>
      <c r="N369">
        <f>IF(I369&lt;&gt;"Yes","",IF(M369&lt;2,"",INDEX(Values!$B$3:$B$502,MATCH(A369&amp;"|"&amp;IF(K369=M369,1,K369+1),Values!$L$3:$L$502,0))))</f>
        <v/>
      </c>
      <c r="O369">
        <f>IF(N369="","",INDEX(Values!$J$3:$J$502,MATCH(A369&amp;"|"&amp;IF(K369=M369,1,K369+1),Values!$L$3:$L$502,0)))</f>
        <v/>
      </c>
    </row>
    <row r="370">
      <c r="H370">
        <f>IF(A370="","",IFERROR(INDEX(Attributes!$F$3:$F$52,MATCH(A370,Attributes!$A$3:$A$52,0))&amp;"","Unknown attribute"))</f>
        <v/>
      </c>
      <c r="I370">
        <f>IF(OR(A370="",B370=""),"",IF(AND(H370="Yes",D370&lt;&gt;"No"),"Yes","No"))</f>
        <v/>
      </c>
      <c r="J370">
        <f>IF(I370="Yes",COUNTIF($I$3:I370,"Yes"),"")</f>
        <v/>
      </c>
      <c r="K370">
        <f>IF(I370&lt;&gt;"Yes","",COUNTIFS($A$3:A370,SUBSTITUTE(SUBSTITUTE(A370,"?","~?"),"*","~*"),$I$3:I370,"Yes"))</f>
        <v/>
      </c>
      <c r="L370">
        <f>IF(K370="","",A370&amp;"|"&amp;K370)</f>
        <v/>
      </c>
      <c r="M370">
        <f>IF(I370&lt;&gt;"Yes","",COUNTIFS(Values!$A$3:$A$502,SUBSTITUTE(SUBSTITUTE(A370,"?","~?"),"*","~*"),Values!$I$3:$I$502,"Yes"))</f>
        <v/>
      </c>
      <c r="N370">
        <f>IF(I370&lt;&gt;"Yes","",IF(M370&lt;2,"",INDEX(Values!$B$3:$B$502,MATCH(A370&amp;"|"&amp;IF(K370=M370,1,K370+1),Values!$L$3:$L$502,0))))</f>
        <v/>
      </c>
      <c r="O370">
        <f>IF(N370="","",INDEX(Values!$J$3:$J$502,MATCH(A370&amp;"|"&amp;IF(K370=M370,1,K370+1),Values!$L$3:$L$502,0)))</f>
        <v/>
      </c>
    </row>
    <row r="371">
      <c r="H371">
        <f>IF(A371="","",IFERROR(INDEX(Attributes!$F$3:$F$52,MATCH(A371,Attributes!$A$3:$A$52,0))&amp;"","Unknown attribute"))</f>
        <v/>
      </c>
      <c r="I371">
        <f>IF(OR(A371="",B371=""),"",IF(AND(H371="Yes",D371&lt;&gt;"No"),"Yes","No"))</f>
        <v/>
      </c>
      <c r="J371">
        <f>IF(I371="Yes",COUNTIF($I$3:I371,"Yes"),"")</f>
        <v/>
      </c>
      <c r="K371">
        <f>IF(I371&lt;&gt;"Yes","",COUNTIFS($A$3:A371,SUBSTITUTE(SUBSTITUTE(A371,"?","~?"),"*","~*"),$I$3:I371,"Yes"))</f>
        <v/>
      </c>
      <c r="L371">
        <f>IF(K371="","",A371&amp;"|"&amp;K371)</f>
        <v/>
      </c>
      <c r="M371">
        <f>IF(I371&lt;&gt;"Yes","",COUNTIFS(Values!$A$3:$A$502,SUBSTITUTE(SUBSTITUTE(A371,"?","~?"),"*","~*"),Values!$I$3:$I$502,"Yes"))</f>
        <v/>
      </c>
      <c r="N371">
        <f>IF(I371&lt;&gt;"Yes","",IF(M371&lt;2,"",INDEX(Values!$B$3:$B$502,MATCH(A371&amp;"|"&amp;IF(K371=M371,1,K371+1),Values!$L$3:$L$502,0))))</f>
        <v/>
      </c>
      <c r="O371">
        <f>IF(N371="","",INDEX(Values!$J$3:$J$502,MATCH(A371&amp;"|"&amp;IF(K371=M371,1,K371+1),Values!$L$3:$L$502,0)))</f>
        <v/>
      </c>
    </row>
    <row r="372">
      <c r="H372">
        <f>IF(A372="","",IFERROR(INDEX(Attributes!$F$3:$F$52,MATCH(A372,Attributes!$A$3:$A$52,0))&amp;"","Unknown attribute"))</f>
        <v/>
      </c>
      <c r="I372">
        <f>IF(OR(A372="",B372=""),"",IF(AND(H372="Yes",D372&lt;&gt;"No"),"Yes","No"))</f>
        <v/>
      </c>
      <c r="J372">
        <f>IF(I372="Yes",COUNTIF($I$3:I372,"Yes"),"")</f>
        <v/>
      </c>
      <c r="K372">
        <f>IF(I372&lt;&gt;"Yes","",COUNTIFS($A$3:A372,SUBSTITUTE(SUBSTITUTE(A372,"?","~?"),"*","~*"),$I$3:I372,"Yes"))</f>
        <v/>
      </c>
      <c r="L372">
        <f>IF(K372="","",A372&amp;"|"&amp;K372)</f>
        <v/>
      </c>
      <c r="M372">
        <f>IF(I372&lt;&gt;"Yes","",COUNTIFS(Values!$A$3:$A$502,SUBSTITUTE(SUBSTITUTE(A372,"?","~?"),"*","~*"),Values!$I$3:$I$502,"Yes"))</f>
        <v/>
      </c>
      <c r="N372">
        <f>IF(I372&lt;&gt;"Yes","",IF(M372&lt;2,"",INDEX(Values!$B$3:$B$502,MATCH(A372&amp;"|"&amp;IF(K372=M372,1,K372+1),Values!$L$3:$L$502,0))))</f>
        <v/>
      </c>
      <c r="O372">
        <f>IF(N372="","",INDEX(Values!$J$3:$J$502,MATCH(A372&amp;"|"&amp;IF(K372=M372,1,K372+1),Values!$L$3:$L$502,0)))</f>
        <v/>
      </c>
    </row>
    <row r="373">
      <c r="H373">
        <f>IF(A373="","",IFERROR(INDEX(Attributes!$F$3:$F$52,MATCH(A373,Attributes!$A$3:$A$52,0))&amp;"","Unknown attribute"))</f>
        <v/>
      </c>
      <c r="I373">
        <f>IF(OR(A373="",B373=""),"",IF(AND(H373="Yes",D373&lt;&gt;"No"),"Yes","No"))</f>
        <v/>
      </c>
      <c r="J373">
        <f>IF(I373="Yes",COUNTIF($I$3:I373,"Yes"),"")</f>
        <v/>
      </c>
      <c r="K373">
        <f>IF(I373&lt;&gt;"Yes","",COUNTIFS($A$3:A373,SUBSTITUTE(SUBSTITUTE(A373,"?","~?"),"*","~*"),$I$3:I373,"Yes"))</f>
        <v/>
      </c>
      <c r="L373">
        <f>IF(K373="","",A373&amp;"|"&amp;K373)</f>
        <v/>
      </c>
      <c r="M373">
        <f>IF(I373&lt;&gt;"Yes","",COUNTIFS(Values!$A$3:$A$502,SUBSTITUTE(SUBSTITUTE(A373,"?","~?"),"*","~*"),Values!$I$3:$I$502,"Yes"))</f>
        <v/>
      </c>
      <c r="N373">
        <f>IF(I373&lt;&gt;"Yes","",IF(M373&lt;2,"",INDEX(Values!$B$3:$B$502,MATCH(A373&amp;"|"&amp;IF(K373=M373,1,K373+1),Values!$L$3:$L$502,0))))</f>
        <v/>
      </c>
      <c r="O373">
        <f>IF(N373="","",INDEX(Values!$J$3:$J$502,MATCH(A373&amp;"|"&amp;IF(K373=M373,1,K373+1),Values!$L$3:$L$502,0)))</f>
        <v/>
      </c>
    </row>
    <row r="374">
      <c r="H374">
        <f>IF(A374="","",IFERROR(INDEX(Attributes!$F$3:$F$52,MATCH(A374,Attributes!$A$3:$A$52,0))&amp;"","Unknown attribute"))</f>
        <v/>
      </c>
      <c r="I374">
        <f>IF(OR(A374="",B374=""),"",IF(AND(H374="Yes",D374&lt;&gt;"No"),"Yes","No"))</f>
        <v/>
      </c>
      <c r="J374">
        <f>IF(I374="Yes",COUNTIF($I$3:I374,"Yes"),"")</f>
        <v/>
      </c>
      <c r="K374">
        <f>IF(I374&lt;&gt;"Yes","",COUNTIFS($A$3:A374,SUBSTITUTE(SUBSTITUTE(A374,"?","~?"),"*","~*"),$I$3:I374,"Yes"))</f>
        <v/>
      </c>
      <c r="L374">
        <f>IF(K374="","",A374&amp;"|"&amp;K374)</f>
        <v/>
      </c>
      <c r="M374">
        <f>IF(I374&lt;&gt;"Yes","",COUNTIFS(Values!$A$3:$A$502,SUBSTITUTE(SUBSTITUTE(A374,"?","~?"),"*","~*"),Values!$I$3:$I$502,"Yes"))</f>
        <v/>
      </c>
      <c r="N374">
        <f>IF(I374&lt;&gt;"Yes","",IF(M374&lt;2,"",INDEX(Values!$B$3:$B$502,MATCH(A374&amp;"|"&amp;IF(K374=M374,1,K374+1),Values!$L$3:$L$502,0))))</f>
        <v/>
      </c>
      <c r="O374">
        <f>IF(N374="","",INDEX(Values!$J$3:$J$502,MATCH(A374&amp;"|"&amp;IF(K374=M374,1,K374+1),Values!$L$3:$L$502,0)))</f>
        <v/>
      </c>
    </row>
    <row r="375">
      <c r="H375">
        <f>IF(A375="","",IFERROR(INDEX(Attributes!$F$3:$F$52,MATCH(A375,Attributes!$A$3:$A$52,0))&amp;"","Unknown attribute"))</f>
        <v/>
      </c>
      <c r="I375">
        <f>IF(OR(A375="",B375=""),"",IF(AND(H375="Yes",D375&lt;&gt;"No"),"Yes","No"))</f>
        <v/>
      </c>
      <c r="J375">
        <f>IF(I375="Yes",COUNTIF($I$3:I375,"Yes"),"")</f>
        <v/>
      </c>
      <c r="K375">
        <f>IF(I375&lt;&gt;"Yes","",COUNTIFS($A$3:A375,SUBSTITUTE(SUBSTITUTE(A375,"?","~?"),"*","~*"),$I$3:I375,"Yes"))</f>
        <v/>
      </c>
      <c r="L375">
        <f>IF(K375="","",A375&amp;"|"&amp;K375)</f>
        <v/>
      </c>
      <c r="M375">
        <f>IF(I375&lt;&gt;"Yes","",COUNTIFS(Values!$A$3:$A$502,SUBSTITUTE(SUBSTITUTE(A375,"?","~?"),"*","~*"),Values!$I$3:$I$502,"Yes"))</f>
        <v/>
      </c>
      <c r="N375">
        <f>IF(I375&lt;&gt;"Yes","",IF(M375&lt;2,"",INDEX(Values!$B$3:$B$502,MATCH(A375&amp;"|"&amp;IF(K375=M375,1,K375+1),Values!$L$3:$L$502,0))))</f>
        <v/>
      </c>
      <c r="O375">
        <f>IF(N375="","",INDEX(Values!$J$3:$J$502,MATCH(A375&amp;"|"&amp;IF(K375=M375,1,K375+1),Values!$L$3:$L$502,0)))</f>
        <v/>
      </c>
    </row>
    <row r="376">
      <c r="H376">
        <f>IF(A376="","",IFERROR(INDEX(Attributes!$F$3:$F$52,MATCH(A376,Attributes!$A$3:$A$52,0))&amp;"","Unknown attribute"))</f>
        <v/>
      </c>
      <c r="I376">
        <f>IF(OR(A376="",B376=""),"",IF(AND(H376="Yes",D376&lt;&gt;"No"),"Yes","No"))</f>
        <v/>
      </c>
      <c r="J376">
        <f>IF(I376="Yes",COUNTIF($I$3:I376,"Yes"),"")</f>
        <v/>
      </c>
      <c r="K376">
        <f>IF(I376&lt;&gt;"Yes","",COUNTIFS($A$3:A376,SUBSTITUTE(SUBSTITUTE(A376,"?","~?"),"*","~*"),$I$3:I376,"Yes"))</f>
        <v/>
      </c>
      <c r="L376">
        <f>IF(K376="","",A376&amp;"|"&amp;K376)</f>
        <v/>
      </c>
      <c r="M376">
        <f>IF(I376&lt;&gt;"Yes","",COUNTIFS(Values!$A$3:$A$502,SUBSTITUTE(SUBSTITUTE(A376,"?","~?"),"*","~*"),Values!$I$3:$I$502,"Yes"))</f>
        <v/>
      </c>
      <c r="N376">
        <f>IF(I376&lt;&gt;"Yes","",IF(M376&lt;2,"",INDEX(Values!$B$3:$B$502,MATCH(A376&amp;"|"&amp;IF(K376=M376,1,K376+1),Values!$L$3:$L$502,0))))</f>
        <v/>
      </c>
      <c r="O376">
        <f>IF(N376="","",INDEX(Values!$J$3:$J$502,MATCH(A376&amp;"|"&amp;IF(K376=M376,1,K376+1),Values!$L$3:$L$502,0)))</f>
        <v/>
      </c>
    </row>
    <row r="377">
      <c r="H377">
        <f>IF(A377="","",IFERROR(INDEX(Attributes!$F$3:$F$52,MATCH(A377,Attributes!$A$3:$A$52,0))&amp;"","Unknown attribute"))</f>
        <v/>
      </c>
      <c r="I377">
        <f>IF(OR(A377="",B377=""),"",IF(AND(H377="Yes",D377&lt;&gt;"No"),"Yes","No"))</f>
        <v/>
      </c>
      <c r="J377">
        <f>IF(I377="Yes",COUNTIF($I$3:I377,"Yes"),"")</f>
        <v/>
      </c>
      <c r="K377">
        <f>IF(I377&lt;&gt;"Yes","",COUNTIFS($A$3:A377,SUBSTITUTE(SUBSTITUTE(A377,"?","~?"),"*","~*"),$I$3:I377,"Yes"))</f>
        <v/>
      </c>
      <c r="L377">
        <f>IF(K377="","",A377&amp;"|"&amp;K377)</f>
        <v/>
      </c>
      <c r="M377">
        <f>IF(I377&lt;&gt;"Yes","",COUNTIFS(Values!$A$3:$A$502,SUBSTITUTE(SUBSTITUTE(A377,"?","~?"),"*","~*"),Values!$I$3:$I$502,"Yes"))</f>
        <v/>
      </c>
      <c r="N377">
        <f>IF(I377&lt;&gt;"Yes","",IF(M377&lt;2,"",INDEX(Values!$B$3:$B$502,MATCH(A377&amp;"|"&amp;IF(K377=M377,1,K377+1),Values!$L$3:$L$502,0))))</f>
        <v/>
      </c>
      <c r="O377">
        <f>IF(N377="","",INDEX(Values!$J$3:$J$502,MATCH(A377&amp;"|"&amp;IF(K377=M377,1,K377+1),Values!$L$3:$L$502,0)))</f>
        <v/>
      </c>
    </row>
    <row r="378">
      <c r="H378">
        <f>IF(A378="","",IFERROR(INDEX(Attributes!$F$3:$F$52,MATCH(A378,Attributes!$A$3:$A$52,0))&amp;"","Unknown attribute"))</f>
        <v/>
      </c>
      <c r="I378">
        <f>IF(OR(A378="",B378=""),"",IF(AND(H378="Yes",D378&lt;&gt;"No"),"Yes","No"))</f>
        <v/>
      </c>
      <c r="J378">
        <f>IF(I378="Yes",COUNTIF($I$3:I378,"Yes"),"")</f>
        <v/>
      </c>
      <c r="K378">
        <f>IF(I378&lt;&gt;"Yes","",COUNTIFS($A$3:A378,SUBSTITUTE(SUBSTITUTE(A378,"?","~?"),"*","~*"),$I$3:I378,"Yes"))</f>
        <v/>
      </c>
      <c r="L378">
        <f>IF(K378="","",A378&amp;"|"&amp;K378)</f>
        <v/>
      </c>
      <c r="M378">
        <f>IF(I378&lt;&gt;"Yes","",COUNTIFS(Values!$A$3:$A$502,SUBSTITUTE(SUBSTITUTE(A378,"?","~?"),"*","~*"),Values!$I$3:$I$502,"Yes"))</f>
        <v/>
      </c>
      <c r="N378">
        <f>IF(I378&lt;&gt;"Yes","",IF(M378&lt;2,"",INDEX(Values!$B$3:$B$502,MATCH(A378&amp;"|"&amp;IF(K378=M378,1,K378+1),Values!$L$3:$L$502,0))))</f>
        <v/>
      </c>
      <c r="O378">
        <f>IF(N378="","",INDEX(Values!$J$3:$J$502,MATCH(A378&amp;"|"&amp;IF(K378=M378,1,K378+1),Values!$L$3:$L$502,0)))</f>
        <v/>
      </c>
    </row>
    <row r="379">
      <c r="H379">
        <f>IF(A379="","",IFERROR(INDEX(Attributes!$F$3:$F$52,MATCH(A379,Attributes!$A$3:$A$52,0))&amp;"","Unknown attribute"))</f>
        <v/>
      </c>
      <c r="I379">
        <f>IF(OR(A379="",B379=""),"",IF(AND(H379="Yes",D379&lt;&gt;"No"),"Yes","No"))</f>
        <v/>
      </c>
      <c r="J379">
        <f>IF(I379="Yes",COUNTIF($I$3:I379,"Yes"),"")</f>
        <v/>
      </c>
      <c r="K379">
        <f>IF(I379&lt;&gt;"Yes","",COUNTIFS($A$3:A379,SUBSTITUTE(SUBSTITUTE(A379,"?","~?"),"*","~*"),$I$3:I379,"Yes"))</f>
        <v/>
      </c>
      <c r="L379">
        <f>IF(K379="","",A379&amp;"|"&amp;K379)</f>
        <v/>
      </c>
      <c r="M379">
        <f>IF(I379&lt;&gt;"Yes","",COUNTIFS(Values!$A$3:$A$502,SUBSTITUTE(SUBSTITUTE(A379,"?","~?"),"*","~*"),Values!$I$3:$I$502,"Yes"))</f>
        <v/>
      </c>
      <c r="N379">
        <f>IF(I379&lt;&gt;"Yes","",IF(M379&lt;2,"",INDEX(Values!$B$3:$B$502,MATCH(A379&amp;"|"&amp;IF(K379=M379,1,K379+1),Values!$L$3:$L$502,0))))</f>
        <v/>
      </c>
      <c r="O379">
        <f>IF(N379="","",INDEX(Values!$J$3:$J$502,MATCH(A379&amp;"|"&amp;IF(K379=M379,1,K379+1),Values!$L$3:$L$502,0)))</f>
        <v/>
      </c>
    </row>
    <row r="380">
      <c r="H380">
        <f>IF(A380="","",IFERROR(INDEX(Attributes!$F$3:$F$52,MATCH(A380,Attributes!$A$3:$A$52,0))&amp;"","Unknown attribute"))</f>
        <v/>
      </c>
      <c r="I380">
        <f>IF(OR(A380="",B380=""),"",IF(AND(H380="Yes",D380&lt;&gt;"No"),"Yes","No"))</f>
        <v/>
      </c>
      <c r="J380">
        <f>IF(I380="Yes",COUNTIF($I$3:I380,"Yes"),"")</f>
        <v/>
      </c>
      <c r="K380">
        <f>IF(I380&lt;&gt;"Yes","",COUNTIFS($A$3:A380,SUBSTITUTE(SUBSTITUTE(A380,"?","~?"),"*","~*"),$I$3:I380,"Yes"))</f>
        <v/>
      </c>
      <c r="L380">
        <f>IF(K380="","",A380&amp;"|"&amp;K380)</f>
        <v/>
      </c>
      <c r="M380">
        <f>IF(I380&lt;&gt;"Yes","",COUNTIFS(Values!$A$3:$A$502,SUBSTITUTE(SUBSTITUTE(A380,"?","~?"),"*","~*"),Values!$I$3:$I$502,"Yes"))</f>
        <v/>
      </c>
      <c r="N380">
        <f>IF(I380&lt;&gt;"Yes","",IF(M380&lt;2,"",INDEX(Values!$B$3:$B$502,MATCH(A380&amp;"|"&amp;IF(K380=M380,1,K380+1),Values!$L$3:$L$502,0))))</f>
        <v/>
      </c>
      <c r="O380">
        <f>IF(N380="","",INDEX(Values!$J$3:$J$502,MATCH(A380&amp;"|"&amp;IF(K380=M380,1,K380+1),Values!$L$3:$L$502,0)))</f>
        <v/>
      </c>
    </row>
    <row r="381">
      <c r="H381">
        <f>IF(A381="","",IFERROR(INDEX(Attributes!$F$3:$F$52,MATCH(A381,Attributes!$A$3:$A$52,0))&amp;"","Unknown attribute"))</f>
        <v/>
      </c>
      <c r="I381">
        <f>IF(OR(A381="",B381=""),"",IF(AND(H381="Yes",D381&lt;&gt;"No"),"Yes","No"))</f>
        <v/>
      </c>
      <c r="J381">
        <f>IF(I381="Yes",COUNTIF($I$3:I381,"Yes"),"")</f>
        <v/>
      </c>
      <c r="K381">
        <f>IF(I381&lt;&gt;"Yes","",COUNTIFS($A$3:A381,SUBSTITUTE(SUBSTITUTE(A381,"?","~?"),"*","~*"),$I$3:I381,"Yes"))</f>
        <v/>
      </c>
      <c r="L381">
        <f>IF(K381="","",A381&amp;"|"&amp;K381)</f>
        <v/>
      </c>
      <c r="M381">
        <f>IF(I381&lt;&gt;"Yes","",COUNTIFS(Values!$A$3:$A$502,SUBSTITUTE(SUBSTITUTE(A381,"?","~?"),"*","~*"),Values!$I$3:$I$502,"Yes"))</f>
        <v/>
      </c>
      <c r="N381">
        <f>IF(I381&lt;&gt;"Yes","",IF(M381&lt;2,"",INDEX(Values!$B$3:$B$502,MATCH(A381&amp;"|"&amp;IF(K381=M381,1,K381+1),Values!$L$3:$L$502,0))))</f>
        <v/>
      </c>
      <c r="O381">
        <f>IF(N381="","",INDEX(Values!$J$3:$J$502,MATCH(A381&amp;"|"&amp;IF(K381=M381,1,K381+1),Values!$L$3:$L$502,0)))</f>
        <v/>
      </c>
    </row>
    <row r="382">
      <c r="H382">
        <f>IF(A382="","",IFERROR(INDEX(Attributes!$F$3:$F$52,MATCH(A382,Attributes!$A$3:$A$52,0))&amp;"","Unknown attribute"))</f>
        <v/>
      </c>
      <c r="I382">
        <f>IF(OR(A382="",B382=""),"",IF(AND(H382="Yes",D382&lt;&gt;"No"),"Yes","No"))</f>
        <v/>
      </c>
      <c r="J382">
        <f>IF(I382="Yes",COUNTIF($I$3:I382,"Yes"),"")</f>
        <v/>
      </c>
      <c r="K382">
        <f>IF(I382&lt;&gt;"Yes","",COUNTIFS($A$3:A382,SUBSTITUTE(SUBSTITUTE(A382,"?","~?"),"*","~*"),$I$3:I382,"Yes"))</f>
        <v/>
      </c>
      <c r="L382">
        <f>IF(K382="","",A382&amp;"|"&amp;K382)</f>
        <v/>
      </c>
      <c r="M382">
        <f>IF(I382&lt;&gt;"Yes","",COUNTIFS(Values!$A$3:$A$502,SUBSTITUTE(SUBSTITUTE(A382,"?","~?"),"*","~*"),Values!$I$3:$I$502,"Yes"))</f>
        <v/>
      </c>
      <c r="N382">
        <f>IF(I382&lt;&gt;"Yes","",IF(M382&lt;2,"",INDEX(Values!$B$3:$B$502,MATCH(A382&amp;"|"&amp;IF(K382=M382,1,K382+1),Values!$L$3:$L$502,0))))</f>
        <v/>
      </c>
      <c r="O382">
        <f>IF(N382="","",INDEX(Values!$J$3:$J$502,MATCH(A382&amp;"|"&amp;IF(K382=M382,1,K382+1),Values!$L$3:$L$502,0)))</f>
        <v/>
      </c>
    </row>
    <row r="383">
      <c r="H383">
        <f>IF(A383="","",IFERROR(INDEX(Attributes!$F$3:$F$52,MATCH(A383,Attributes!$A$3:$A$52,0))&amp;"","Unknown attribute"))</f>
        <v/>
      </c>
      <c r="I383">
        <f>IF(OR(A383="",B383=""),"",IF(AND(H383="Yes",D383&lt;&gt;"No"),"Yes","No"))</f>
        <v/>
      </c>
      <c r="J383">
        <f>IF(I383="Yes",COUNTIF($I$3:I383,"Yes"),"")</f>
        <v/>
      </c>
      <c r="K383">
        <f>IF(I383&lt;&gt;"Yes","",COUNTIFS($A$3:A383,SUBSTITUTE(SUBSTITUTE(A383,"?","~?"),"*","~*"),$I$3:I383,"Yes"))</f>
        <v/>
      </c>
      <c r="L383">
        <f>IF(K383="","",A383&amp;"|"&amp;K383)</f>
        <v/>
      </c>
      <c r="M383">
        <f>IF(I383&lt;&gt;"Yes","",COUNTIFS(Values!$A$3:$A$502,SUBSTITUTE(SUBSTITUTE(A383,"?","~?"),"*","~*"),Values!$I$3:$I$502,"Yes"))</f>
        <v/>
      </c>
      <c r="N383">
        <f>IF(I383&lt;&gt;"Yes","",IF(M383&lt;2,"",INDEX(Values!$B$3:$B$502,MATCH(A383&amp;"|"&amp;IF(K383=M383,1,K383+1),Values!$L$3:$L$502,0))))</f>
        <v/>
      </c>
      <c r="O383">
        <f>IF(N383="","",INDEX(Values!$J$3:$J$502,MATCH(A383&amp;"|"&amp;IF(K383=M383,1,K383+1),Values!$L$3:$L$502,0)))</f>
        <v/>
      </c>
    </row>
    <row r="384">
      <c r="H384">
        <f>IF(A384="","",IFERROR(INDEX(Attributes!$F$3:$F$52,MATCH(A384,Attributes!$A$3:$A$52,0))&amp;"","Unknown attribute"))</f>
        <v/>
      </c>
      <c r="I384">
        <f>IF(OR(A384="",B384=""),"",IF(AND(H384="Yes",D384&lt;&gt;"No"),"Yes","No"))</f>
        <v/>
      </c>
      <c r="J384">
        <f>IF(I384="Yes",COUNTIF($I$3:I384,"Yes"),"")</f>
        <v/>
      </c>
      <c r="K384">
        <f>IF(I384&lt;&gt;"Yes","",COUNTIFS($A$3:A384,SUBSTITUTE(SUBSTITUTE(A384,"?","~?"),"*","~*"),$I$3:I384,"Yes"))</f>
        <v/>
      </c>
      <c r="L384">
        <f>IF(K384="","",A384&amp;"|"&amp;K384)</f>
        <v/>
      </c>
      <c r="M384">
        <f>IF(I384&lt;&gt;"Yes","",COUNTIFS(Values!$A$3:$A$502,SUBSTITUTE(SUBSTITUTE(A384,"?","~?"),"*","~*"),Values!$I$3:$I$502,"Yes"))</f>
        <v/>
      </c>
      <c r="N384">
        <f>IF(I384&lt;&gt;"Yes","",IF(M384&lt;2,"",INDEX(Values!$B$3:$B$502,MATCH(A384&amp;"|"&amp;IF(K384=M384,1,K384+1),Values!$L$3:$L$502,0))))</f>
        <v/>
      </c>
      <c r="O384">
        <f>IF(N384="","",INDEX(Values!$J$3:$J$502,MATCH(A384&amp;"|"&amp;IF(K384=M384,1,K384+1),Values!$L$3:$L$502,0)))</f>
        <v/>
      </c>
    </row>
    <row r="385">
      <c r="H385">
        <f>IF(A385="","",IFERROR(INDEX(Attributes!$F$3:$F$52,MATCH(A385,Attributes!$A$3:$A$52,0))&amp;"","Unknown attribute"))</f>
        <v/>
      </c>
      <c r="I385">
        <f>IF(OR(A385="",B385=""),"",IF(AND(H385="Yes",D385&lt;&gt;"No"),"Yes","No"))</f>
        <v/>
      </c>
      <c r="J385">
        <f>IF(I385="Yes",COUNTIF($I$3:I385,"Yes"),"")</f>
        <v/>
      </c>
      <c r="K385">
        <f>IF(I385&lt;&gt;"Yes","",COUNTIFS($A$3:A385,SUBSTITUTE(SUBSTITUTE(A385,"?","~?"),"*","~*"),$I$3:I385,"Yes"))</f>
        <v/>
      </c>
      <c r="L385">
        <f>IF(K385="","",A385&amp;"|"&amp;K385)</f>
        <v/>
      </c>
      <c r="M385">
        <f>IF(I385&lt;&gt;"Yes","",COUNTIFS(Values!$A$3:$A$502,SUBSTITUTE(SUBSTITUTE(A385,"?","~?"),"*","~*"),Values!$I$3:$I$502,"Yes"))</f>
        <v/>
      </c>
      <c r="N385">
        <f>IF(I385&lt;&gt;"Yes","",IF(M385&lt;2,"",INDEX(Values!$B$3:$B$502,MATCH(A385&amp;"|"&amp;IF(K385=M385,1,K385+1),Values!$L$3:$L$502,0))))</f>
        <v/>
      </c>
      <c r="O385">
        <f>IF(N385="","",INDEX(Values!$J$3:$J$502,MATCH(A385&amp;"|"&amp;IF(K385=M385,1,K385+1),Values!$L$3:$L$502,0)))</f>
        <v/>
      </c>
    </row>
    <row r="386">
      <c r="H386">
        <f>IF(A386="","",IFERROR(INDEX(Attributes!$F$3:$F$52,MATCH(A386,Attributes!$A$3:$A$52,0))&amp;"","Unknown attribute"))</f>
        <v/>
      </c>
      <c r="I386">
        <f>IF(OR(A386="",B386=""),"",IF(AND(H386="Yes",D386&lt;&gt;"No"),"Yes","No"))</f>
        <v/>
      </c>
      <c r="J386">
        <f>IF(I386="Yes",COUNTIF($I$3:I386,"Yes"),"")</f>
        <v/>
      </c>
      <c r="K386">
        <f>IF(I386&lt;&gt;"Yes","",COUNTIFS($A$3:A386,SUBSTITUTE(SUBSTITUTE(A386,"?","~?"),"*","~*"),$I$3:I386,"Yes"))</f>
        <v/>
      </c>
      <c r="L386">
        <f>IF(K386="","",A386&amp;"|"&amp;K386)</f>
        <v/>
      </c>
      <c r="M386">
        <f>IF(I386&lt;&gt;"Yes","",COUNTIFS(Values!$A$3:$A$502,SUBSTITUTE(SUBSTITUTE(A386,"?","~?"),"*","~*"),Values!$I$3:$I$502,"Yes"))</f>
        <v/>
      </c>
      <c r="N386">
        <f>IF(I386&lt;&gt;"Yes","",IF(M386&lt;2,"",INDEX(Values!$B$3:$B$502,MATCH(A386&amp;"|"&amp;IF(K386=M386,1,K386+1),Values!$L$3:$L$502,0))))</f>
        <v/>
      </c>
      <c r="O386">
        <f>IF(N386="","",INDEX(Values!$J$3:$J$502,MATCH(A386&amp;"|"&amp;IF(K386=M386,1,K386+1),Values!$L$3:$L$502,0)))</f>
        <v/>
      </c>
    </row>
    <row r="387">
      <c r="H387">
        <f>IF(A387="","",IFERROR(INDEX(Attributes!$F$3:$F$52,MATCH(A387,Attributes!$A$3:$A$52,0))&amp;"","Unknown attribute"))</f>
        <v/>
      </c>
      <c r="I387">
        <f>IF(OR(A387="",B387=""),"",IF(AND(H387="Yes",D387&lt;&gt;"No"),"Yes","No"))</f>
        <v/>
      </c>
      <c r="J387">
        <f>IF(I387="Yes",COUNTIF($I$3:I387,"Yes"),"")</f>
        <v/>
      </c>
      <c r="K387">
        <f>IF(I387&lt;&gt;"Yes","",COUNTIFS($A$3:A387,SUBSTITUTE(SUBSTITUTE(A387,"?","~?"),"*","~*"),$I$3:I387,"Yes"))</f>
        <v/>
      </c>
      <c r="L387">
        <f>IF(K387="","",A387&amp;"|"&amp;K387)</f>
        <v/>
      </c>
      <c r="M387">
        <f>IF(I387&lt;&gt;"Yes","",COUNTIFS(Values!$A$3:$A$502,SUBSTITUTE(SUBSTITUTE(A387,"?","~?"),"*","~*"),Values!$I$3:$I$502,"Yes"))</f>
        <v/>
      </c>
      <c r="N387">
        <f>IF(I387&lt;&gt;"Yes","",IF(M387&lt;2,"",INDEX(Values!$B$3:$B$502,MATCH(A387&amp;"|"&amp;IF(K387=M387,1,K387+1),Values!$L$3:$L$502,0))))</f>
        <v/>
      </c>
      <c r="O387">
        <f>IF(N387="","",INDEX(Values!$J$3:$J$502,MATCH(A387&amp;"|"&amp;IF(K387=M387,1,K387+1),Values!$L$3:$L$502,0)))</f>
        <v/>
      </c>
    </row>
    <row r="388">
      <c r="H388">
        <f>IF(A388="","",IFERROR(INDEX(Attributes!$F$3:$F$52,MATCH(A388,Attributes!$A$3:$A$52,0))&amp;"","Unknown attribute"))</f>
        <v/>
      </c>
      <c r="I388">
        <f>IF(OR(A388="",B388=""),"",IF(AND(H388="Yes",D388&lt;&gt;"No"),"Yes","No"))</f>
        <v/>
      </c>
      <c r="J388">
        <f>IF(I388="Yes",COUNTIF($I$3:I388,"Yes"),"")</f>
        <v/>
      </c>
      <c r="K388">
        <f>IF(I388&lt;&gt;"Yes","",COUNTIFS($A$3:A388,SUBSTITUTE(SUBSTITUTE(A388,"?","~?"),"*","~*"),$I$3:I388,"Yes"))</f>
        <v/>
      </c>
      <c r="L388">
        <f>IF(K388="","",A388&amp;"|"&amp;K388)</f>
        <v/>
      </c>
      <c r="M388">
        <f>IF(I388&lt;&gt;"Yes","",COUNTIFS(Values!$A$3:$A$502,SUBSTITUTE(SUBSTITUTE(A388,"?","~?"),"*","~*"),Values!$I$3:$I$502,"Yes"))</f>
        <v/>
      </c>
      <c r="N388">
        <f>IF(I388&lt;&gt;"Yes","",IF(M388&lt;2,"",INDEX(Values!$B$3:$B$502,MATCH(A388&amp;"|"&amp;IF(K388=M388,1,K388+1),Values!$L$3:$L$502,0))))</f>
        <v/>
      </c>
      <c r="O388">
        <f>IF(N388="","",INDEX(Values!$J$3:$J$502,MATCH(A388&amp;"|"&amp;IF(K388=M388,1,K388+1),Values!$L$3:$L$502,0)))</f>
        <v/>
      </c>
    </row>
    <row r="389">
      <c r="H389">
        <f>IF(A389="","",IFERROR(INDEX(Attributes!$F$3:$F$52,MATCH(A389,Attributes!$A$3:$A$52,0))&amp;"","Unknown attribute"))</f>
        <v/>
      </c>
      <c r="I389">
        <f>IF(OR(A389="",B389=""),"",IF(AND(H389="Yes",D389&lt;&gt;"No"),"Yes","No"))</f>
        <v/>
      </c>
      <c r="J389">
        <f>IF(I389="Yes",COUNTIF($I$3:I389,"Yes"),"")</f>
        <v/>
      </c>
      <c r="K389">
        <f>IF(I389&lt;&gt;"Yes","",COUNTIFS($A$3:A389,SUBSTITUTE(SUBSTITUTE(A389,"?","~?"),"*","~*"),$I$3:I389,"Yes"))</f>
        <v/>
      </c>
      <c r="L389">
        <f>IF(K389="","",A389&amp;"|"&amp;K389)</f>
        <v/>
      </c>
      <c r="M389">
        <f>IF(I389&lt;&gt;"Yes","",COUNTIFS(Values!$A$3:$A$502,SUBSTITUTE(SUBSTITUTE(A389,"?","~?"),"*","~*"),Values!$I$3:$I$502,"Yes"))</f>
        <v/>
      </c>
      <c r="N389">
        <f>IF(I389&lt;&gt;"Yes","",IF(M389&lt;2,"",INDEX(Values!$B$3:$B$502,MATCH(A389&amp;"|"&amp;IF(K389=M389,1,K389+1),Values!$L$3:$L$502,0))))</f>
        <v/>
      </c>
      <c r="O389">
        <f>IF(N389="","",INDEX(Values!$J$3:$J$502,MATCH(A389&amp;"|"&amp;IF(K389=M389,1,K389+1),Values!$L$3:$L$502,0)))</f>
        <v/>
      </c>
    </row>
    <row r="390">
      <c r="H390">
        <f>IF(A390="","",IFERROR(INDEX(Attributes!$F$3:$F$52,MATCH(A390,Attributes!$A$3:$A$52,0))&amp;"","Unknown attribute"))</f>
        <v/>
      </c>
      <c r="I390">
        <f>IF(OR(A390="",B390=""),"",IF(AND(H390="Yes",D390&lt;&gt;"No"),"Yes","No"))</f>
        <v/>
      </c>
      <c r="J390">
        <f>IF(I390="Yes",COUNTIF($I$3:I390,"Yes"),"")</f>
        <v/>
      </c>
      <c r="K390">
        <f>IF(I390&lt;&gt;"Yes","",COUNTIFS($A$3:A390,SUBSTITUTE(SUBSTITUTE(A390,"?","~?"),"*","~*"),$I$3:I390,"Yes"))</f>
        <v/>
      </c>
      <c r="L390">
        <f>IF(K390="","",A390&amp;"|"&amp;K390)</f>
        <v/>
      </c>
      <c r="M390">
        <f>IF(I390&lt;&gt;"Yes","",COUNTIFS(Values!$A$3:$A$502,SUBSTITUTE(SUBSTITUTE(A390,"?","~?"),"*","~*"),Values!$I$3:$I$502,"Yes"))</f>
        <v/>
      </c>
      <c r="N390">
        <f>IF(I390&lt;&gt;"Yes","",IF(M390&lt;2,"",INDEX(Values!$B$3:$B$502,MATCH(A390&amp;"|"&amp;IF(K390=M390,1,K390+1),Values!$L$3:$L$502,0))))</f>
        <v/>
      </c>
      <c r="O390">
        <f>IF(N390="","",INDEX(Values!$J$3:$J$502,MATCH(A390&amp;"|"&amp;IF(K390=M390,1,K390+1),Values!$L$3:$L$502,0)))</f>
        <v/>
      </c>
    </row>
    <row r="391">
      <c r="H391">
        <f>IF(A391="","",IFERROR(INDEX(Attributes!$F$3:$F$52,MATCH(A391,Attributes!$A$3:$A$52,0))&amp;"","Unknown attribute"))</f>
        <v/>
      </c>
      <c r="I391">
        <f>IF(OR(A391="",B391=""),"",IF(AND(H391="Yes",D391&lt;&gt;"No"),"Yes","No"))</f>
        <v/>
      </c>
      <c r="J391">
        <f>IF(I391="Yes",COUNTIF($I$3:I391,"Yes"),"")</f>
        <v/>
      </c>
      <c r="K391">
        <f>IF(I391&lt;&gt;"Yes","",COUNTIFS($A$3:A391,SUBSTITUTE(SUBSTITUTE(A391,"?","~?"),"*","~*"),$I$3:I391,"Yes"))</f>
        <v/>
      </c>
      <c r="L391">
        <f>IF(K391="","",A391&amp;"|"&amp;K391)</f>
        <v/>
      </c>
      <c r="M391">
        <f>IF(I391&lt;&gt;"Yes","",COUNTIFS(Values!$A$3:$A$502,SUBSTITUTE(SUBSTITUTE(A391,"?","~?"),"*","~*"),Values!$I$3:$I$502,"Yes"))</f>
        <v/>
      </c>
      <c r="N391">
        <f>IF(I391&lt;&gt;"Yes","",IF(M391&lt;2,"",INDEX(Values!$B$3:$B$502,MATCH(A391&amp;"|"&amp;IF(K391=M391,1,K391+1),Values!$L$3:$L$502,0))))</f>
        <v/>
      </c>
      <c r="O391">
        <f>IF(N391="","",INDEX(Values!$J$3:$J$502,MATCH(A391&amp;"|"&amp;IF(K391=M391,1,K391+1),Values!$L$3:$L$502,0)))</f>
        <v/>
      </c>
    </row>
    <row r="392">
      <c r="H392">
        <f>IF(A392="","",IFERROR(INDEX(Attributes!$F$3:$F$52,MATCH(A392,Attributes!$A$3:$A$52,0))&amp;"","Unknown attribute"))</f>
        <v/>
      </c>
      <c r="I392">
        <f>IF(OR(A392="",B392=""),"",IF(AND(H392="Yes",D392&lt;&gt;"No"),"Yes","No"))</f>
        <v/>
      </c>
      <c r="J392">
        <f>IF(I392="Yes",COUNTIF($I$3:I392,"Yes"),"")</f>
        <v/>
      </c>
      <c r="K392">
        <f>IF(I392&lt;&gt;"Yes","",COUNTIFS($A$3:A392,SUBSTITUTE(SUBSTITUTE(A392,"?","~?"),"*","~*"),$I$3:I392,"Yes"))</f>
        <v/>
      </c>
      <c r="L392">
        <f>IF(K392="","",A392&amp;"|"&amp;K392)</f>
        <v/>
      </c>
      <c r="M392">
        <f>IF(I392&lt;&gt;"Yes","",COUNTIFS(Values!$A$3:$A$502,SUBSTITUTE(SUBSTITUTE(A392,"?","~?"),"*","~*"),Values!$I$3:$I$502,"Yes"))</f>
        <v/>
      </c>
      <c r="N392">
        <f>IF(I392&lt;&gt;"Yes","",IF(M392&lt;2,"",INDEX(Values!$B$3:$B$502,MATCH(A392&amp;"|"&amp;IF(K392=M392,1,K392+1),Values!$L$3:$L$502,0))))</f>
        <v/>
      </c>
      <c r="O392">
        <f>IF(N392="","",INDEX(Values!$J$3:$J$502,MATCH(A392&amp;"|"&amp;IF(K392=M392,1,K392+1),Values!$L$3:$L$502,0)))</f>
        <v/>
      </c>
    </row>
    <row r="393">
      <c r="H393">
        <f>IF(A393="","",IFERROR(INDEX(Attributes!$F$3:$F$52,MATCH(A393,Attributes!$A$3:$A$52,0))&amp;"","Unknown attribute"))</f>
        <v/>
      </c>
      <c r="I393">
        <f>IF(OR(A393="",B393=""),"",IF(AND(H393="Yes",D393&lt;&gt;"No"),"Yes","No"))</f>
        <v/>
      </c>
      <c r="J393">
        <f>IF(I393="Yes",COUNTIF($I$3:I393,"Yes"),"")</f>
        <v/>
      </c>
      <c r="K393">
        <f>IF(I393&lt;&gt;"Yes","",COUNTIFS($A$3:A393,SUBSTITUTE(SUBSTITUTE(A393,"?","~?"),"*","~*"),$I$3:I393,"Yes"))</f>
        <v/>
      </c>
      <c r="L393">
        <f>IF(K393="","",A393&amp;"|"&amp;K393)</f>
        <v/>
      </c>
      <c r="M393">
        <f>IF(I393&lt;&gt;"Yes","",COUNTIFS(Values!$A$3:$A$502,SUBSTITUTE(SUBSTITUTE(A393,"?","~?"),"*","~*"),Values!$I$3:$I$502,"Yes"))</f>
        <v/>
      </c>
      <c r="N393">
        <f>IF(I393&lt;&gt;"Yes","",IF(M393&lt;2,"",INDEX(Values!$B$3:$B$502,MATCH(A393&amp;"|"&amp;IF(K393=M393,1,K393+1),Values!$L$3:$L$502,0))))</f>
        <v/>
      </c>
      <c r="O393">
        <f>IF(N393="","",INDEX(Values!$J$3:$J$502,MATCH(A393&amp;"|"&amp;IF(K393=M393,1,K393+1),Values!$L$3:$L$502,0)))</f>
        <v/>
      </c>
    </row>
    <row r="394">
      <c r="H394">
        <f>IF(A394="","",IFERROR(INDEX(Attributes!$F$3:$F$52,MATCH(A394,Attributes!$A$3:$A$52,0))&amp;"","Unknown attribute"))</f>
        <v/>
      </c>
      <c r="I394">
        <f>IF(OR(A394="",B394=""),"",IF(AND(H394="Yes",D394&lt;&gt;"No"),"Yes","No"))</f>
        <v/>
      </c>
      <c r="J394">
        <f>IF(I394="Yes",COUNTIF($I$3:I394,"Yes"),"")</f>
        <v/>
      </c>
      <c r="K394">
        <f>IF(I394&lt;&gt;"Yes","",COUNTIFS($A$3:A394,SUBSTITUTE(SUBSTITUTE(A394,"?","~?"),"*","~*"),$I$3:I394,"Yes"))</f>
        <v/>
      </c>
      <c r="L394">
        <f>IF(K394="","",A394&amp;"|"&amp;K394)</f>
        <v/>
      </c>
      <c r="M394">
        <f>IF(I394&lt;&gt;"Yes","",COUNTIFS(Values!$A$3:$A$502,SUBSTITUTE(SUBSTITUTE(A394,"?","~?"),"*","~*"),Values!$I$3:$I$502,"Yes"))</f>
        <v/>
      </c>
      <c r="N394">
        <f>IF(I394&lt;&gt;"Yes","",IF(M394&lt;2,"",INDEX(Values!$B$3:$B$502,MATCH(A394&amp;"|"&amp;IF(K394=M394,1,K394+1),Values!$L$3:$L$502,0))))</f>
        <v/>
      </c>
      <c r="O394">
        <f>IF(N394="","",INDEX(Values!$J$3:$J$502,MATCH(A394&amp;"|"&amp;IF(K394=M394,1,K394+1),Values!$L$3:$L$502,0)))</f>
        <v/>
      </c>
    </row>
    <row r="395">
      <c r="H395">
        <f>IF(A395="","",IFERROR(INDEX(Attributes!$F$3:$F$52,MATCH(A395,Attributes!$A$3:$A$52,0))&amp;"","Unknown attribute"))</f>
        <v/>
      </c>
      <c r="I395">
        <f>IF(OR(A395="",B395=""),"",IF(AND(H395="Yes",D395&lt;&gt;"No"),"Yes","No"))</f>
        <v/>
      </c>
      <c r="J395">
        <f>IF(I395="Yes",COUNTIF($I$3:I395,"Yes"),"")</f>
        <v/>
      </c>
      <c r="K395">
        <f>IF(I395&lt;&gt;"Yes","",COUNTIFS($A$3:A395,SUBSTITUTE(SUBSTITUTE(A395,"?","~?"),"*","~*"),$I$3:I395,"Yes"))</f>
        <v/>
      </c>
      <c r="L395">
        <f>IF(K395="","",A395&amp;"|"&amp;K395)</f>
        <v/>
      </c>
      <c r="M395">
        <f>IF(I395&lt;&gt;"Yes","",COUNTIFS(Values!$A$3:$A$502,SUBSTITUTE(SUBSTITUTE(A395,"?","~?"),"*","~*"),Values!$I$3:$I$502,"Yes"))</f>
        <v/>
      </c>
      <c r="N395">
        <f>IF(I395&lt;&gt;"Yes","",IF(M395&lt;2,"",INDEX(Values!$B$3:$B$502,MATCH(A395&amp;"|"&amp;IF(K395=M395,1,K395+1),Values!$L$3:$L$502,0))))</f>
        <v/>
      </c>
      <c r="O395">
        <f>IF(N395="","",INDEX(Values!$J$3:$J$502,MATCH(A395&amp;"|"&amp;IF(K395=M395,1,K395+1),Values!$L$3:$L$502,0)))</f>
        <v/>
      </c>
    </row>
    <row r="396">
      <c r="H396">
        <f>IF(A396="","",IFERROR(INDEX(Attributes!$F$3:$F$52,MATCH(A396,Attributes!$A$3:$A$52,0))&amp;"","Unknown attribute"))</f>
        <v/>
      </c>
      <c r="I396">
        <f>IF(OR(A396="",B396=""),"",IF(AND(H396="Yes",D396&lt;&gt;"No"),"Yes","No"))</f>
        <v/>
      </c>
      <c r="J396">
        <f>IF(I396="Yes",COUNTIF($I$3:I396,"Yes"),"")</f>
        <v/>
      </c>
      <c r="K396">
        <f>IF(I396&lt;&gt;"Yes","",COUNTIFS($A$3:A396,SUBSTITUTE(SUBSTITUTE(A396,"?","~?"),"*","~*"),$I$3:I396,"Yes"))</f>
        <v/>
      </c>
      <c r="L396">
        <f>IF(K396="","",A396&amp;"|"&amp;K396)</f>
        <v/>
      </c>
      <c r="M396">
        <f>IF(I396&lt;&gt;"Yes","",COUNTIFS(Values!$A$3:$A$502,SUBSTITUTE(SUBSTITUTE(A396,"?","~?"),"*","~*"),Values!$I$3:$I$502,"Yes"))</f>
        <v/>
      </c>
      <c r="N396">
        <f>IF(I396&lt;&gt;"Yes","",IF(M396&lt;2,"",INDEX(Values!$B$3:$B$502,MATCH(A396&amp;"|"&amp;IF(K396=M396,1,K396+1),Values!$L$3:$L$502,0))))</f>
        <v/>
      </c>
      <c r="O396">
        <f>IF(N396="","",INDEX(Values!$J$3:$J$502,MATCH(A396&amp;"|"&amp;IF(K396=M396,1,K396+1),Values!$L$3:$L$502,0)))</f>
        <v/>
      </c>
    </row>
    <row r="397">
      <c r="H397">
        <f>IF(A397="","",IFERROR(INDEX(Attributes!$F$3:$F$52,MATCH(A397,Attributes!$A$3:$A$52,0))&amp;"","Unknown attribute"))</f>
        <v/>
      </c>
      <c r="I397">
        <f>IF(OR(A397="",B397=""),"",IF(AND(H397="Yes",D397&lt;&gt;"No"),"Yes","No"))</f>
        <v/>
      </c>
      <c r="J397">
        <f>IF(I397="Yes",COUNTIF($I$3:I397,"Yes"),"")</f>
        <v/>
      </c>
      <c r="K397">
        <f>IF(I397&lt;&gt;"Yes","",COUNTIFS($A$3:A397,SUBSTITUTE(SUBSTITUTE(A397,"?","~?"),"*","~*"),$I$3:I397,"Yes"))</f>
        <v/>
      </c>
      <c r="L397">
        <f>IF(K397="","",A397&amp;"|"&amp;K397)</f>
        <v/>
      </c>
      <c r="M397">
        <f>IF(I397&lt;&gt;"Yes","",COUNTIFS(Values!$A$3:$A$502,SUBSTITUTE(SUBSTITUTE(A397,"?","~?"),"*","~*"),Values!$I$3:$I$502,"Yes"))</f>
        <v/>
      </c>
      <c r="N397">
        <f>IF(I397&lt;&gt;"Yes","",IF(M397&lt;2,"",INDEX(Values!$B$3:$B$502,MATCH(A397&amp;"|"&amp;IF(K397=M397,1,K397+1),Values!$L$3:$L$502,0))))</f>
        <v/>
      </c>
      <c r="O397">
        <f>IF(N397="","",INDEX(Values!$J$3:$J$502,MATCH(A397&amp;"|"&amp;IF(K397=M397,1,K397+1),Values!$L$3:$L$502,0)))</f>
        <v/>
      </c>
    </row>
    <row r="398">
      <c r="H398">
        <f>IF(A398="","",IFERROR(INDEX(Attributes!$F$3:$F$52,MATCH(A398,Attributes!$A$3:$A$52,0))&amp;"","Unknown attribute"))</f>
        <v/>
      </c>
      <c r="I398">
        <f>IF(OR(A398="",B398=""),"",IF(AND(H398="Yes",D398&lt;&gt;"No"),"Yes","No"))</f>
        <v/>
      </c>
      <c r="J398">
        <f>IF(I398="Yes",COUNTIF($I$3:I398,"Yes"),"")</f>
        <v/>
      </c>
      <c r="K398">
        <f>IF(I398&lt;&gt;"Yes","",COUNTIFS($A$3:A398,SUBSTITUTE(SUBSTITUTE(A398,"?","~?"),"*","~*"),$I$3:I398,"Yes"))</f>
        <v/>
      </c>
      <c r="L398">
        <f>IF(K398="","",A398&amp;"|"&amp;K398)</f>
        <v/>
      </c>
      <c r="M398">
        <f>IF(I398&lt;&gt;"Yes","",COUNTIFS(Values!$A$3:$A$502,SUBSTITUTE(SUBSTITUTE(A398,"?","~?"),"*","~*"),Values!$I$3:$I$502,"Yes"))</f>
        <v/>
      </c>
      <c r="N398">
        <f>IF(I398&lt;&gt;"Yes","",IF(M398&lt;2,"",INDEX(Values!$B$3:$B$502,MATCH(A398&amp;"|"&amp;IF(K398=M398,1,K398+1),Values!$L$3:$L$502,0))))</f>
        <v/>
      </c>
      <c r="O398">
        <f>IF(N398="","",INDEX(Values!$J$3:$J$502,MATCH(A398&amp;"|"&amp;IF(K398=M398,1,K398+1),Values!$L$3:$L$502,0)))</f>
        <v/>
      </c>
    </row>
    <row r="399">
      <c r="H399">
        <f>IF(A399="","",IFERROR(INDEX(Attributes!$F$3:$F$52,MATCH(A399,Attributes!$A$3:$A$52,0))&amp;"","Unknown attribute"))</f>
        <v/>
      </c>
      <c r="I399">
        <f>IF(OR(A399="",B399=""),"",IF(AND(H399="Yes",D399&lt;&gt;"No"),"Yes","No"))</f>
        <v/>
      </c>
      <c r="J399">
        <f>IF(I399="Yes",COUNTIF($I$3:I399,"Yes"),"")</f>
        <v/>
      </c>
      <c r="K399">
        <f>IF(I399&lt;&gt;"Yes","",COUNTIFS($A$3:A399,SUBSTITUTE(SUBSTITUTE(A399,"?","~?"),"*","~*"),$I$3:I399,"Yes"))</f>
        <v/>
      </c>
      <c r="L399">
        <f>IF(K399="","",A399&amp;"|"&amp;K399)</f>
        <v/>
      </c>
      <c r="M399">
        <f>IF(I399&lt;&gt;"Yes","",COUNTIFS(Values!$A$3:$A$502,SUBSTITUTE(SUBSTITUTE(A399,"?","~?"),"*","~*"),Values!$I$3:$I$502,"Yes"))</f>
        <v/>
      </c>
      <c r="N399">
        <f>IF(I399&lt;&gt;"Yes","",IF(M399&lt;2,"",INDEX(Values!$B$3:$B$502,MATCH(A399&amp;"|"&amp;IF(K399=M399,1,K399+1),Values!$L$3:$L$502,0))))</f>
        <v/>
      </c>
      <c r="O399">
        <f>IF(N399="","",INDEX(Values!$J$3:$J$502,MATCH(A399&amp;"|"&amp;IF(K399=M399,1,K399+1),Values!$L$3:$L$502,0)))</f>
        <v/>
      </c>
    </row>
    <row r="400">
      <c r="H400">
        <f>IF(A400="","",IFERROR(INDEX(Attributes!$F$3:$F$52,MATCH(A400,Attributes!$A$3:$A$52,0))&amp;"","Unknown attribute"))</f>
        <v/>
      </c>
      <c r="I400">
        <f>IF(OR(A400="",B400=""),"",IF(AND(H400="Yes",D400&lt;&gt;"No"),"Yes","No"))</f>
        <v/>
      </c>
      <c r="J400">
        <f>IF(I400="Yes",COUNTIF($I$3:I400,"Yes"),"")</f>
        <v/>
      </c>
      <c r="K400">
        <f>IF(I400&lt;&gt;"Yes","",COUNTIFS($A$3:A400,SUBSTITUTE(SUBSTITUTE(A400,"?","~?"),"*","~*"),$I$3:I400,"Yes"))</f>
        <v/>
      </c>
      <c r="L400">
        <f>IF(K400="","",A400&amp;"|"&amp;K400)</f>
        <v/>
      </c>
      <c r="M400">
        <f>IF(I400&lt;&gt;"Yes","",COUNTIFS(Values!$A$3:$A$502,SUBSTITUTE(SUBSTITUTE(A400,"?","~?"),"*","~*"),Values!$I$3:$I$502,"Yes"))</f>
        <v/>
      </c>
      <c r="N400">
        <f>IF(I400&lt;&gt;"Yes","",IF(M400&lt;2,"",INDEX(Values!$B$3:$B$502,MATCH(A400&amp;"|"&amp;IF(K400=M400,1,K400+1),Values!$L$3:$L$502,0))))</f>
        <v/>
      </c>
      <c r="O400">
        <f>IF(N400="","",INDEX(Values!$J$3:$J$502,MATCH(A400&amp;"|"&amp;IF(K400=M400,1,K400+1),Values!$L$3:$L$502,0)))</f>
        <v/>
      </c>
    </row>
    <row r="401">
      <c r="H401">
        <f>IF(A401="","",IFERROR(INDEX(Attributes!$F$3:$F$52,MATCH(A401,Attributes!$A$3:$A$52,0))&amp;"","Unknown attribute"))</f>
        <v/>
      </c>
      <c r="I401">
        <f>IF(OR(A401="",B401=""),"",IF(AND(H401="Yes",D401&lt;&gt;"No"),"Yes","No"))</f>
        <v/>
      </c>
      <c r="J401">
        <f>IF(I401="Yes",COUNTIF($I$3:I401,"Yes"),"")</f>
        <v/>
      </c>
      <c r="K401">
        <f>IF(I401&lt;&gt;"Yes","",COUNTIFS($A$3:A401,SUBSTITUTE(SUBSTITUTE(A401,"?","~?"),"*","~*"),$I$3:I401,"Yes"))</f>
        <v/>
      </c>
      <c r="L401">
        <f>IF(K401="","",A401&amp;"|"&amp;K401)</f>
        <v/>
      </c>
      <c r="M401">
        <f>IF(I401&lt;&gt;"Yes","",COUNTIFS(Values!$A$3:$A$502,SUBSTITUTE(SUBSTITUTE(A401,"?","~?"),"*","~*"),Values!$I$3:$I$502,"Yes"))</f>
        <v/>
      </c>
      <c r="N401">
        <f>IF(I401&lt;&gt;"Yes","",IF(M401&lt;2,"",INDEX(Values!$B$3:$B$502,MATCH(A401&amp;"|"&amp;IF(K401=M401,1,K401+1),Values!$L$3:$L$502,0))))</f>
        <v/>
      </c>
      <c r="O401">
        <f>IF(N401="","",INDEX(Values!$J$3:$J$502,MATCH(A401&amp;"|"&amp;IF(K401=M401,1,K401+1),Values!$L$3:$L$502,0)))</f>
        <v/>
      </c>
    </row>
    <row r="402">
      <c r="H402">
        <f>IF(A402="","",IFERROR(INDEX(Attributes!$F$3:$F$52,MATCH(A402,Attributes!$A$3:$A$52,0))&amp;"","Unknown attribute"))</f>
        <v/>
      </c>
      <c r="I402">
        <f>IF(OR(A402="",B402=""),"",IF(AND(H402="Yes",D402&lt;&gt;"No"),"Yes","No"))</f>
        <v/>
      </c>
      <c r="J402">
        <f>IF(I402="Yes",COUNTIF($I$3:I402,"Yes"),"")</f>
        <v/>
      </c>
      <c r="K402">
        <f>IF(I402&lt;&gt;"Yes","",COUNTIFS($A$3:A402,SUBSTITUTE(SUBSTITUTE(A402,"?","~?"),"*","~*"),$I$3:I402,"Yes"))</f>
        <v/>
      </c>
      <c r="L402">
        <f>IF(K402="","",A402&amp;"|"&amp;K402)</f>
        <v/>
      </c>
      <c r="M402">
        <f>IF(I402&lt;&gt;"Yes","",COUNTIFS(Values!$A$3:$A$502,SUBSTITUTE(SUBSTITUTE(A402,"?","~?"),"*","~*"),Values!$I$3:$I$502,"Yes"))</f>
        <v/>
      </c>
      <c r="N402">
        <f>IF(I402&lt;&gt;"Yes","",IF(M402&lt;2,"",INDEX(Values!$B$3:$B$502,MATCH(A402&amp;"|"&amp;IF(K402=M402,1,K402+1),Values!$L$3:$L$502,0))))</f>
        <v/>
      </c>
      <c r="O402">
        <f>IF(N402="","",INDEX(Values!$J$3:$J$502,MATCH(A402&amp;"|"&amp;IF(K402=M402,1,K402+1),Values!$L$3:$L$502,0)))</f>
        <v/>
      </c>
    </row>
    <row r="403">
      <c r="H403">
        <f>IF(A403="","",IFERROR(INDEX(Attributes!$F$3:$F$52,MATCH(A403,Attributes!$A$3:$A$52,0))&amp;"","Unknown attribute"))</f>
        <v/>
      </c>
      <c r="I403">
        <f>IF(OR(A403="",B403=""),"",IF(AND(H403="Yes",D403&lt;&gt;"No"),"Yes","No"))</f>
        <v/>
      </c>
      <c r="J403">
        <f>IF(I403="Yes",COUNTIF($I$3:I403,"Yes"),"")</f>
        <v/>
      </c>
      <c r="K403">
        <f>IF(I403&lt;&gt;"Yes","",COUNTIFS($A$3:A403,SUBSTITUTE(SUBSTITUTE(A403,"?","~?"),"*","~*"),$I$3:I403,"Yes"))</f>
        <v/>
      </c>
      <c r="L403">
        <f>IF(K403="","",A403&amp;"|"&amp;K403)</f>
        <v/>
      </c>
      <c r="M403">
        <f>IF(I403&lt;&gt;"Yes","",COUNTIFS(Values!$A$3:$A$502,SUBSTITUTE(SUBSTITUTE(A403,"?","~?"),"*","~*"),Values!$I$3:$I$502,"Yes"))</f>
        <v/>
      </c>
      <c r="N403">
        <f>IF(I403&lt;&gt;"Yes","",IF(M403&lt;2,"",INDEX(Values!$B$3:$B$502,MATCH(A403&amp;"|"&amp;IF(K403=M403,1,K403+1),Values!$L$3:$L$502,0))))</f>
        <v/>
      </c>
      <c r="O403">
        <f>IF(N403="","",INDEX(Values!$J$3:$J$502,MATCH(A403&amp;"|"&amp;IF(K403=M403,1,K403+1),Values!$L$3:$L$502,0)))</f>
        <v/>
      </c>
    </row>
    <row r="404">
      <c r="H404">
        <f>IF(A404="","",IFERROR(INDEX(Attributes!$F$3:$F$52,MATCH(A404,Attributes!$A$3:$A$52,0))&amp;"","Unknown attribute"))</f>
        <v/>
      </c>
      <c r="I404">
        <f>IF(OR(A404="",B404=""),"",IF(AND(H404="Yes",D404&lt;&gt;"No"),"Yes","No"))</f>
        <v/>
      </c>
      <c r="J404">
        <f>IF(I404="Yes",COUNTIF($I$3:I404,"Yes"),"")</f>
        <v/>
      </c>
      <c r="K404">
        <f>IF(I404&lt;&gt;"Yes","",COUNTIFS($A$3:A404,SUBSTITUTE(SUBSTITUTE(A404,"?","~?"),"*","~*"),$I$3:I404,"Yes"))</f>
        <v/>
      </c>
      <c r="L404">
        <f>IF(K404="","",A404&amp;"|"&amp;K404)</f>
        <v/>
      </c>
      <c r="M404">
        <f>IF(I404&lt;&gt;"Yes","",COUNTIFS(Values!$A$3:$A$502,SUBSTITUTE(SUBSTITUTE(A404,"?","~?"),"*","~*"),Values!$I$3:$I$502,"Yes"))</f>
        <v/>
      </c>
      <c r="N404">
        <f>IF(I404&lt;&gt;"Yes","",IF(M404&lt;2,"",INDEX(Values!$B$3:$B$502,MATCH(A404&amp;"|"&amp;IF(K404=M404,1,K404+1),Values!$L$3:$L$502,0))))</f>
        <v/>
      </c>
      <c r="O404">
        <f>IF(N404="","",INDEX(Values!$J$3:$J$502,MATCH(A404&amp;"|"&amp;IF(K404=M404,1,K404+1),Values!$L$3:$L$502,0)))</f>
        <v/>
      </c>
    </row>
    <row r="405">
      <c r="H405">
        <f>IF(A405="","",IFERROR(INDEX(Attributes!$F$3:$F$52,MATCH(A405,Attributes!$A$3:$A$52,0))&amp;"","Unknown attribute"))</f>
        <v/>
      </c>
      <c r="I405">
        <f>IF(OR(A405="",B405=""),"",IF(AND(H405="Yes",D405&lt;&gt;"No"),"Yes","No"))</f>
        <v/>
      </c>
      <c r="J405">
        <f>IF(I405="Yes",COUNTIF($I$3:I405,"Yes"),"")</f>
        <v/>
      </c>
      <c r="K405">
        <f>IF(I405&lt;&gt;"Yes","",COUNTIFS($A$3:A405,SUBSTITUTE(SUBSTITUTE(A405,"?","~?"),"*","~*"),$I$3:I405,"Yes"))</f>
        <v/>
      </c>
      <c r="L405">
        <f>IF(K405="","",A405&amp;"|"&amp;K405)</f>
        <v/>
      </c>
      <c r="M405">
        <f>IF(I405&lt;&gt;"Yes","",COUNTIFS(Values!$A$3:$A$502,SUBSTITUTE(SUBSTITUTE(A405,"?","~?"),"*","~*"),Values!$I$3:$I$502,"Yes"))</f>
        <v/>
      </c>
      <c r="N405">
        <f>IF(I405&lt;&gt;"Yes","",IF(M405&lt;2,"",INDEX(Values!$B$3:$B$502,MATCH(A405&amp;"|"&amp;IF(K405=M405,1,K405+1),Values!$L$3:$L$502,0))))</f>
        <v/>
      </c>
      <c r="O405">
        <f>IF(N405="","",INDEX(Values!$J$3:$J$502,MATCH(A405&amp;"|"&amp;IF(K405=M405,1,K405+1),Values!$L$3:$L$502,0)))</f>
        <v/>
      </c>
    </row>
    <row r="406">
      <c r="H406">
        <f>IF(A406="","",IFERROR(INDEX(Attributes!$F$3:$F$52,MATCH(A406,Attributes!$A$3:$A$52,0))&amp;"","Unknown attribute"))</f>
        <v/>
      </c>
      <c r="I406">
        <f>IF(OR(A406="",B406=""),"",IF(AND(H406="Yes",D406&lt;&gt;"No"),"Yes","No"))</f>
        <v/>
      </c>
      <c r="J406">
        <f>IF(I406="Yes",COUNTIF($I$3:I406,"Yes"),"")</f>
        <v/>
      </c>
      <c r="K406">
        <f>IF(I406&lt;&gt;"Yes","",COUNTIFS($A$3:A406,SUBSTITUTE(SUBSTITUTE(A406,"?","~?"),"*","~*"),$I$3:I406,"Yes"))</f>
        <v/>
      </c>
      <c r="L406">
        <f>IF(K406="","",A406&amp;"|"&amp;K406)</f>
        <v/>
      </c>
      <c r="M406">
        <f>IF(I406&lt;&gt;"Yes","",COUNTIFS(Values!$A$3:$A$502,SUBSTITUTE(SUBSTITUTE(A406,"?","~?"),"*","~*"),Values!$I$3:$I$502,"Yes"))</f>
        <v/>
      </c>
      <c r="N406">
        <f>IF(I406&lt;&gt;"Yes","",IF(M406&lt;2,"",INDEX(Values!$B$3:$B$502,MATCH(A406&amp;"|"&amp;IF(K406=M406,1,K406+1),Values!$L$3:$L$502,0))))</f>
        <v/>
      </c>
      <c r="O406">
        <f>IF(N406="","",INDEX(Values!$J$3:$J$502,MATCH(A406&amp;"|"&amp;IF(K406=M406,1,K406+1),Values!$L$3:$L$502,0)))</f>
        <v/>
      </c>
    </row>
    <row r="407">
      <c r="H407">
        <f>IF(A407="","",IFERROR(INDEX(Attributes!$F$3:$F$52,MATCH(A407,Attributes!$A$3:$A$52,0))&amp;"","Unknown attribute"))</f>
        <v/>
      </c>
      <c r="I407">
        <f>IF(OR(A407="",B407=""),"",IF(AND(H407="Yes",D407&lt;&gt;"No"),"Yes","No"))</f>
        <v/>
      </c>
      <c r="J407">
        <f>IF(I407="Yes",COUNTIF($I$3:I407,"Yes"),"")</f>
        <v/>
      </c>
      <c r="K407">
        <f>IF(I407&lt;&gt;"Yes","",COUNTIFS($A$3:A407,SUBSTITUTE(SUBSTITUTE(A407,"?","~?"),"*","~*"),$I$3:I407,"Yes"))</f>
        <v/>
      </c>
      <c r="L407">
        <f>IF(K407="","",A407&amp;"|"&amp;K407)</f>
        <v/>
      </c>
      <c r="M407">
        <f>IF(I407&lt;&gt;"Yes","",COUNTIFS(Values!$A$3:$A$502,SUBSTITUTE(SUBSTITUTE(A407,"?","~?"),"*","~*"),Values!$I$3:$I$502,"Yes"))</f>
        <v/>
      </c>
      <c r="N407">
        <f>IF(I407&lt;&gt;"Yes","",IF(M407&lt;2,"",INDEX(Values!$B$3:$B$502,MATCH(A407&amp;"|"&amp;IF(K407=M407,1,K407+1),Values!$L$3:$L$502,0))))</f>
        <v/>
      </c>
      <c r="O407">
        <f>IF(N407="","",INDEX(Values!$J$3:$J$502,MATCH(A407&amp;"|"&amp;IF(K407=M407,1,K407+1),Values!$L$3:$L$502,0)))</f>
        <v/>
      </c>
    </row>
    <row r="408">
      <c r="H408">
        <f>IF(A408="","",IFERROR(INDEX(Attributes!$F$3:$F$52,MATCH(A408,Attributes!$A$3:$A$52,0))&amp;"","Unknown attribute"))</f>
        <v/>
      </c>
      <c r="I408">
        <f>IF(OR(A408="",B408=""),"",IF(AND(H408="Yes",D408&lt;&gt;"No"),"Yes","No"))</f>
        <v/>
      </c>
      <c r="J408">
        <f>IF(I408="Yes",COUNTIF($I$3:I408,"Yes"),"")</f>
        <v/>
      </c>
      <c r="K408">
        <f>IF(I408&lt;&gt;"Yes","",COUNTIFS($A$3:A408,SUBSTITUTE(SUBSTITUTE(A408,"?","~?"),"*","~*"),$I$3:I408,"Yes"))</f>
        <v/>
      </c>
      <c r="L408">
        <f>IF(K408="","",A408&amp;"|"&amp;K408)</f>
        <v/>
      </c>
      <c r="M408">
        <f>IF(I408&lt;&gt;"Yes","",COUNTIFS(Values!$A$3:$A$502,SUBSTITUTE(SUBSTITUTE(A408,"?","~?"),"*","~*"),Values!$I$3:$I$502,"Yes"))</f>
        <v/>
      </c>
      <c r="N408">
        <f>IF(I408&lt;&gt;"Yes","",IF(M408&lt;2,"",INDEX(Values!$B$3:$B$502,MATCH(A408&amp;"|"&amp;IF(K408=M408,1,K408+1),Values!$L$3:$L$502,0))))</f>
        <v/>
      </c>
      <c r="O408">
        <f>IF(N408="","",INDEX(Values!$J$3:$J$502,MATCH(A408&amp;"|"&amp;IF(K408=M408,1,K408+1),Values!$L$3:$L$502,0)))</f>
        <v/>
      </c>
    </row>
    <row r="409">
      <c r="H409">
        <f>IF(A409="","",IFERROR(INDEX(Attributes!$F$3:$F$52,MATCH(A409,Attributes!$A$3:$A$52,0))&amp;"","Unknown attribute"))</f>
        <v/>
      </c>
      <c r="I409">
        <f>IF(OR(A409="",B409=""),"",IF(AND(H409="Yes",D409&lt;&gt;"No"),"Yes","No"))</f>
        <v/>
      </c>
      <c r="J409">
        <f>IF(I409="Yes",COUNTIF($I$3:I409,"Yes"),"")</f>
        <v/>
      </c>
      <c r="K409">
        <f>IF(I409&lt;&gt;"Yes","",COUNTIFS($A$3:A409,SUBSTITUTE(SUBSTITUTE(A409,"?","~?"),"*","~*"),$I$3:I409,"Yes"))</f>
        <v/>
      </c>
      <c r="L409">
        <f>IF(K409="","",A409&amp;"|"&amp;K409)</f>
        <v/>
      </c>
      <c r="M409">
        <f>IF(I409&lt;&gt;"Yes","",COUNTIFS(Values!$A$3:$A$502,SUBSTITUTE(SUBSTITUTE(A409,"?","~?"),"*","~*"),Values!$I$3:$I$502,"Yes"))</f>
        <v/>
      </c>
      <c r="N409">
        <f>IF(I409&lt;&gt;"Yes","",IF(M409&lt;2,"",INDEX(Values!$B$3:$B$502,MATCH(A409&amp;"|"&amp;IF(K409=M409,1,K409+1),Values!$L$3:$L$502,0))))</f>
        <v/>
      </c>
      <c r="O409">
        <f>IF(N409="","",INDEX(Values!$J$3:$J$502,MATCH(A409&amp;"|"&amp;IF(K409=M409,1,K409+1),Values!$L$3:$L$502,0)))</f>
        <v/>
      </c>
    </row>
    <row r="410">
      <c r="H410">
        <f>IF(A410="","",IFERROR(INDEX(Attributes!$F$3:$F$52,MATCH(A410,Attributes!$A$3:$A$52,0))&amp;"","Unknown attribute"))</f>
        <v/>
      </c>
      <c r="I410">
        <f>IF(OR(A410="",B410=""),"",IF(AND(H410="Yes",D410&lt;&gt;"No"),"Yes","No"))</f>
        <v/>
      </c>
      <c r="J410">
        <f>IF(I410="Yes",COUNTIF($I$3:I410,"Yes"),"")</f>
        <v/>
      </c>
      <c r="K410">
        <f>IF(I410&lt;&gt;"Yes","",COUNTIFS($A$3:A410,SUBSTITUTE(SUBSTITUTE(A410,"?","~?"),"*","~*"),$I$3:I410,"Yes"))</f>
        <v/>
      </c>
      <c r="L410">
        <f>IF(K410="","",A410&amp;"|"&amp;K410)</f>
        <v/>
      </c>
      <c r="M410">
        <f>IF(I410&lt;&gt;"Yes","",COUNTIFS(Values!$A$3:$A$502,SUBSTITUTE(SUBSTITUTE(A410,"?","~?"),"*","~*"),Values!$I$3:$I$502,"Yes"))</f>
        <v/>
      </c>
      <c r="N410">
        <f>IF(I410&lt;&gt;"Yes","",IF(M410&lt;2,"",INDEX(Values!$B$3:$B$502,MATCH(A410&amp;"|"&amp;IF(K410=M410,1,K410+1),Values!$L$3:$L$502,0))))</f>
        <v/>
      </c>
      <c r="O410">
        <f>IF(N410="","",INDEX(Values!$J$3:$J$502,MATCH(A410&amp;"|"&amp;IF(K410=M410,1,K410+1),Values!$L$3:$L$502,0)))</f>
        <v/>
      </c>
    </row>
    <row r="411">
      <c r="H411">
        <f>IF(A411="","",IFERROR(INDEX(Attributes!$F$3:$F$52,MATCH(A411,Attributes!$A$3:$A$52,0))&amp;"","Unknown attribute"))</f>
        <v/>
      </c>
      <c r="I411">
        <f>IF(OR(A411="",B411=""),"",IF(AND(H411="Yes",D411&lt;&gt;"No"),"Yes","No"))</f>
        <v/>
      </c>
      <c r="J411">
        <f>IF(I411="Yes",COUNTIF($I$3:I411,"Yes"),"")</f>
        <v/>
      </c>
      <c r="K411">
        <f>IF(I411&lt;&gt;"Yes","",COUNTIFS($A$3:A411,SUBSTITUTE(SUBSTITUTE(A411,"?","~?"),"*","~*"),$I$3:I411,"Yes"))</f>
        <v/>
      </c>
      <c r="L411">
        <f>IF(K411="","",A411&amp;"|"&amp;K411)</f>
        <v/>
      </c>
      <c r="M411">
        <f>IF(I411&lt;&gt;"Yes","",COUNTIFS(Values!$A$3:$A$502,SUBSTITUTE(SUBSTITUTE(A411,"?","~?"),"*","~*"),Values!$I$3:$I$502,"Yes"))</f>
        <v/>
      </c>
      <c r="N411">
        <f>IF(I411&lt;&gt;"Yes","",IF(M411&lt;2,"",INDEX(Values!$B$3:$B$502,MATCH(A411&amp;"|"&amp;IF(K411=M411,1,K411+1),Values!$L$3:$L$502,0))))</f>
        <v/>
      </c>
      <c r="O411">
        <f>IF(N411="","",INDEX(Values!$J$3:$J$502,MATCH(A411&amp;"|"&amp;IF(K411=M411,1,K411+1),Values!$L$3:$L$502,0)))</f>
        <v/>
      </c>
    </row>
    <row r="412">
      <c r="H412">
        <f>IF(A412="","",IFERROR(INDEX(Attributes!$F$3:$F$52,MATCH(A412,Attributes!$A$3:$A$52,0))&amp;"","Unknown attribute"))</f>
        <v/>
      </c>
      <c r="I412">
        <f>IF(OR(A412="",B412=""),"",IF(AND(H412="Yes",D412&lt;&gt;"No"),"Yes","No"))</f>
        <v/>
      </c>
      <c r="J412">
        <f>IF(I412="Yes",COUNTIF($I$3:I412,"Yes"),"")</f>
        <v/>
      </c>
      <c r="K412">
        <f>IF(I412&lt;&gt;"Yes","",COUNTIFS($A$3:A412,SUBSTITUTE(SUBSTITUTE(A412,"?","~?"),"*","~*"),$I$3:I412,"Yes"))</f>
        <v/>
      </c>
      <c r="L412">
        <f>IF(K412="","",A412&amp;"|"&amp;K412)</f>
        <v/>
      </c>
      <c r="M412">
        <f>IF(I412&lt;&gt;"Yes","",COUNTIFS(Values!$A$3:$A$502,SUBSTITUTE(SUBSTITUTE(A412,"?","~?"),"*","~*"),Values!$I$3:$I$502,"Yes"))</f>
        <v/>
      </c>
      <c r="N412">
        <f>IF(I412&lt;&gt;"Yes","",IF(M412&lt;2,"",INDEX(Values!$B$3:$B$502,MATCH(A412&amp;"|"&amp;IF(K412=M412,1,K412+1),Values!$L$3:$L$502,0))))</f>
        <v/>
      </c>
      <c r="O412">
        <f>IF(N412="","",INDEX(Values!$J$3:$J$502,MATCH(A412&amp;"|"&amp;IF(K412=M412,1,K412+1),Values!$L$3:$L$502,0)))</f>
        <v/>
      </c>
    </row>
    <row r="413">
      <c r="H413">
        <f>IF(A413="","",IFERROR(INDEX(Attributes!$F$3:$F$52,MATCH(A413,Attributes!$A$3:$A$52,0))&amp;"","Unknown attribute"))</f>
        <v/>
      </c>
      <c r="I413">
        <f>IF(OR(A413="",B413=""),"",IF(AND(H413="Yes",D413&lt;&gt;"No"),"Yes","No"))</f>
        <v/>
      </c>
      <c r="J413">
        <f>IF(I413="Yes",COUNTIF($I$3:I413,"Yes"),"")</f>
        <v/>
      </c>
      <c r="K413">
        <f>IF(I413&lt;&gt;"Yes","",COUNTIFS($A$3:A413,SUBSTITUTE(SUBSTITUTE(A413,"?","~?"),"*","~*"),$I$3:I413,"Yes"))</f>
        <v/>
      </c>
      <c r="L413">
        <f>IF(K413="","",A413&amp;"|"&amp;K413)</f>
        <v/>
      </c>
      <c r="M413">
        <f>IF(I413&lt;&gt;"Yes","",COUNTIFS(Values!$A$3:$A$502,SUBSTITUTE(SUBSTITUTE(A413,"?","~?"),"*","~*"),Values!$I$3:$I$502,"Yes"))</f>
        <v/>
      </c>
      <c r="N413">
        <f>IF(I413&lt;&gt;"Yes","",IF(M413&lt;2,"",INDEX(Values!$B$3:$B$502,MATCH(A413&amp;"|"&amp;IF(K413=M413,1,K413+1),Values!$L$3:$L$502,0))))</f>
        <v/>
      </c>
      <c r="O413">
        <f>IF(N413="","",INDEX(Values!$J$3:$J$502,MATCH(A413&amp;"|"&amp;IF(K413=M413,1,K413+1),Values!$L$3:$L$502,0)))</f>
        <v/>
      </c>
    </row>
    <row r="414">
      <c r="H414">
        <f>IF(A414="","",IFERROR(INDEX(Attributes!$F$3:$F$52,MATCH(A414,Attributes!$A$3:$A$52,0))&amp;"","Unknown attribute"))</f>
        <v/>
      </c>
      <c r="I414">
        <f>IF(OR(A414="",B414=""),"",IF(AND(H414="Yes",D414&lt;&gt;"No"),"Yes","No"))</f>
        <v/>
      </c>
      <c r="J414">
        <f>IF(I414="Yes",COUNTIF($I$3:I414,"Yes"),"")</f>
        <v/>
      </c>
      <c r="K414">
        <f>IF(I414&lt;&gt;"Yes","",COUNTIFS($A$3:A414,SUBSTITUTE(SUBSTITUTE(A414,"?","~?"),"*","~*"),$I$3:I414,"Yes"))</f>
        <v/>
      </c>
      <c r="L414">
        <f>IF(K414="","",A414&amp;"|"&amp;K414)</f>
        <v/>
      </c>
      <c r="M414">
        <f>IF(I414&lt;&gt;"Yes","",COUNTIFS(Values!$A$3:$A$502,SUBSTITUTE(SUBSTITUTE(A414,"?","~?"),"*","~*"),Values!$I$3:$I$502,"Yes"))</f>
        <v/>
      </c>
      <c r="N414">
        <f>IF(I414&lt;&gt;"Yes","",IF(M414&lt;2,"",INDEX(Values!$B$3:$B$502,MATCH(A414&amp;"|"&amp;IF(K414=M414,1,K414+1),Values!$L$3:$L$502,0))))</f>
        <v/>
      </c>
      <c r="O414">
        <f>IF(N414="","",INDEX(Values!$J$3:$J$502,MATCH(A414&amp;"|"&amp;IF(K414=M414,1,K414+1),Values!$L$3:$L$502,0)))</f>
        <v/>
      </c>
    </row>
    <row r="415">
      <c r="H415">
        <f>IF(A415="","",IFERROR(INDEX(Attributes!$F$3:$F$52,MATCH(A415,Attributes!$A$3:$A$52,0))&amp;"","Unknown attribute"))</f>
        <v/>
      </c>
      <c r="I415">
        <f>IF(OR(A415="",B415=""),"",IF(AND(H415="Yes",D415&lt;&gt;"No"),"Yes","No"))</f>
        <v/>
      </c>
      <c r="J415">
        <f>IF(I415="Yes",COUNTIF($I$3:I415,"Yes"),"")</f>
        <v/>
      </c>
      <c r="K415">
        <f>IF(I415&lt;&gt;"Yes","",COUNTIFS($A$3:A415,SUBSTITUTE(SUBSTITUTE(A415,"?","~?"),"*","~*"),$I$3:I415,"Yes"))</f>
        <v/>
      </c>
      <c r="L415">
        <f>IF(K415="","",A415&amp;"|"&amp;K415)</f>
        <v/>
      </c>
      <c r="M415">
        <f>IF(I415&lt;&gt;"Yes","",COUNTIFS(Values!$A$3:$A$502,SUBSTITUTE(SUBSTITUTE(A415,"?","~?"),"*","~*"),Values!$I$3:$I$502,"Yes"))</f>
        <v/>
      </c>
      <c r="N415">
        <f>IF(I415&lt;&gt;"Yes","",IF(M415&lt;2,"",INDEX(Values!$B$3:$B$502,MATCH(A415&amp;"|"&amp;IF(K415=M415,1,K415+1),Values!$L$3:$L$502,0))))</f>
        <v/>
      </c>
      <c r="O415">
        <f>IF(N415="","",INDEX(Values!$J$3:$J$502,MATCH(A415&amp;"|"&amp;IF(K415=M415,1,K415+1),Values!$L$3:$L$502,0)))</f>
        <v/>
      </c>
    </row>
    <row r="416">
      <c r="H416">
        <f>IF(A416="","",IFERROR(INDEX(Attributes!$F$3:$F$52,MATCH(A416,Attributes!$A$3:$A$52,0))&amp;"","Unknown attribute"))</f>
        <v/>
      </c>
      <c r="I416">
        <f>IF(OR(A416="",B416=""),"",IF(AND(H416="Yes",D416&lt;&gt;"No"),"Yes","No"))</f>
        <v/>
      </c>
      <c r="J416">
        <f>IF(I416="Yes",COUNTIF($I$3:I416,"Yes"),"")</f>
        <v/>
      </c>
      <c r="K416">
        <f>IF(I416&lt;&gt;"Yes","",COUNTIFS($A$3:A416,SUBSTITUTE(SUBSTITUTE(A416,"?","~?"),"*","~*"),$I$3:I416,"Yes"))</f>
        <v/>
      </c>
      <c r="L416">
        <f>IF(K416="","",A416&amp;"|"&amp;K416)</f>
        <v/>
      </c>
      <c r="M416">
        <f>IF(I416&lt;&gt;"Yes","",COUNTIFS(Values!$A$3:$A$502,SUBSTITUTE(SUBSTITUTE(A416,"?","~?"),"*","~*"),Values!$I$3:$I$502,"Yes"))</f>
        <v/>
      </c>
      <c r="N416">
        <f>IF(I416&lt;&gt;"Yes","",IF(M416&lt;2,"",INDEX(Values!$B$3:$B$502,MATCH(A416&amp;"|"&amp;IF(K416=M416,1,K416+1),Values!$L$3:$L$502,0))))</f>
        <v/>
      </c>
      <c r="O416">
        <f>IF(N416="","",INDEX(Values!$J$3:$J$502,MATCH(A416&amp;"|"&amp;IF(K416=M416,1,K416+1),Values!$L$3:$L$502,0)))</f>
        <v/>
      </c>
    </row>
    <row r="417">
      <c r="H417">
        <f>IF(A417="","",IFERROR(INDEX(Attributes!$F$3:$F$52,MATCH(A417,Attributes!$A$3:$A$52,0))&amp;"","Unknown attribute"))</f>
        <v/>
      </c>
      <c r="I417">
        <f>IF(OR(A417="",B417=""),"",IF(AND(H417="Yes",D417&lt;&gt;"No"),"Yes","No"))</f>
        <v/>
      </c>
      <c r="J417">
        <f>IF(I417="Yes",COUNTIF($I$3:I417,"Yes"),"")</f>
        <v/>
      </c>
      <c r="K417">
        <f>IF(I417&lt;&gt;"Yes","",COUNTIFS($A$3:A417,SUBSTITUTE(SUBSTITUTE(A417,"?","~?"),"*","~*"),$I$3:I417,"Yes"))</f>
        <v/>
      </c>
      <c r="L417">
        <f>IF(K417="","",A417&amp;"|"&amp;K417)</f>
        <v/>
      </c>
      <c r="M417">
        <f>IF(I417&lt;&gt;"Yes","",COUNTIFS(Values!$A$3:$A$502,SUBSTITUTE(SUBSTITUTE(A417,"?","~?"),"*","~*"),Values!$I$3:$I$502,"Yes"))</f>
        <v/>
      </c>
      <c r="N417">
        <f>IF(I417&lt;&gt;"Yes","",IF(M417&lt;2,"",INDEX(Values!$B$3:$B$502,MATCH(A417&amp;"|"&amp;IF(K417=M417,1,K417+1),Values!$L$3:$L$502,0))))</f>
        <v/>
      </c>
      <c r="O417">
        <f>IF(N417="","",INDEX(Values!$J$3:$J$502,MATCH(A417&amp;"|"&amp;IF(K417=M417,1,K417+1),Values!$L$3:$L$502,0)))</f>
        <v/>
      </c>
    </row>
    <row r="418">
      <c r="H418">
        <f>IF(A418="","",IFERROR(INDEX(Attributes!$F$3:$F$52,MATCH(A418,Attributes!$A$3:$A$52,0))&amp;"","Unknown attribute"))</f>
        <v/>
      </c>
      <c r="I418">
        <f>IF(OR(A418="",B418=""),"",IF(AND(H418="Yes",D418&lt;&gt;"No"),"Yes","No"))</f>
        <v/>
      </c>
      <c r="J418">
        <f>IF(I418="Yes",COUNTIF($I$3:I418,"Yes"),"")</f>
        <v/>
      </c>
      <c r="K418">
        <f>IF(I418&lt;&gt;"Yes","",COUNTIFS($A$3:A418,SUBSTITUTE(SUBSTITUTE(A418,"?","~?"),"*","~*"),$I$3:I418,"Yes"))</f>
        <v/>
      </c>
      <c r="L418">
        <f>IF(K418="","",A418&amp;"|"&amp;K418)</f>
        <v/>
      </c>
      <c r="M418">
        <f>IF(I418&lt;&gt;"Yes","",COUNTIFS(Values!$A$3:$A$502,SUBSTITUTE(SUBSTITUTE(A418,"?","~?"),"*","~*"),Values!$I$3:$I$502,"Yes"))</f>
        <v/>
      </c>
      <c r="N418">
        <f>IF(I418&lt;&gt;"Yes","",IF(M418&lt;2,"",INDEX(Values!$B$3:$B$502,MATCH(A418&amp;"|"&amp;IF(K418=M418,1,K418+1),Values!$L$3:$L$502,0))))</f>
        <v/>
      </c>
      <c r="O418">
        <f>IF(N418="","",INDEX(Values!$J$3:$J$502,MATCH(A418&amp;"|"&amp;IF(K418=M418,1,K418+1),Values!$L$3:$L$502,0)))</f>
        <v/>
      </c>
    </row>
    <row r="419">
      <c r="H419">
        <f>IF(A419="","",IFERROR(INDEX(Attributes!$F$3:$F$52,MATCH(A419,Attributes!$A$3:$A$52,0))&amp;"","Unknown attribute"))</f>
        <v/>
      </c>
      <c r="I419">
        <f>IF(OR(A419="",B419=""),"",IF(AND(H419="Yes",D419&lt;&gt;"No"),"Yes","No"))</f>
        <v/>
      </c>
      <c r="J419">
        <f>IF(I419="Yes",COUNTIF($I$3:I419,"Yes"),"")</f>
        <v/>
      </c>
      <c r="K419">
        <f>IF(I419&lt;&gt;"Yes","",COUNTIFS($A$3:A419,SUBSTITUTE(SUBSTITUTE(A419,"?","~?"),"*","~*"),$I$3:I419,"Yes"))</f>
        <v/>
      </c>
      <c r="L419">
        <f>IF(K419="","",A419&amp;"|"&amp;K419)</f>
        <v/>
      </c>
      <c r="M419">
        <f>IF(I419&lt;&gt;"Yes","",COUNTIFS(Values!$A$3:$A$502,SUBSTITUTE(SUBSTITUTE(A419,"?","~?"),"*","~*"),Values!$I$3:$I$502,"Yes"))</f>
        <v/>
      </c>
      <c r="N419">
        <f>IF(I419&lt;&gt;"Yes","",IF(M419&lt;2,"",INDEX(Values!$B$3:$B$502,MATCH(A419&amp;"|"&amp;IF(K419=M419,1,K419+1),Values!$L$3:$L$502,0))))</f>
        <v/>
      </c>
      <c r="O419">
        <f>IF(N419="","",INDEX(Values!$J$3:$J$502,MATCH(A419&amp;"|"&amp;IF(K419=M419,1,K419+1),Values!$L$3:$L$502,0)))</f>
        <v/>
      </c>
    </row>
    <row r="420">
      <c r="H420">
        <f>IF(A420="","",IFERROR(INDEX(Attributes!$F$3:$F$52,MATCH(A420,Attributes!$A$3:$A$52,0))&amp;"","Unknown attribute"))</f>
        <v/>
      </c>
      <c r="I420">
        <f>IF(OR(A420="",B420=""),"",IF(AND(H420="Yes",D420&lt;&gt;"No"),"Yes","No"))</f>
        <v/>
      </c>
      <c r="J420">
        <f>IF(I420="Yes",COUNTIF($I$3:I420,"Yes"),"")</f>
        <v/>
      </c>
      <c r="K420">
        <f>IF(I420&lt;&gt;"Yes","",COUNTIFS($A$3:A420,SUBSTITUTE(SUBSTITUTE(A420,"?","~?"),"*","~*"),$I$3:I420,"Yes"))</f>
        <v/>
      </c>
      <c r="L420">
        <f>IF(K420="","",A420&amp;"|"&amp;K420)</f>
        <v/>
      </c>
      <c r="M420">
        <f>IF(I420&lt;&gt;"Yes","",COUNTIFS(Values!$A$3:$A$502,SUBSTITUTE(SUBSTITUTE(A420,"?","~?"),"*","~*"),Values!$I$3:$I$502,"Yes"))</f>
        <v/>
      </c>
      <c r="N420">
        <f>IF(I420&lt;&gt;"Yes","",IF(M420&lt;2,"",INDEX(Values!$B$3:$B$502,MATCH(A420&amp;"|"&amp;IF(K420=M420,1,K420+1),Values!$L$3:$L$502,0))))</f>
        <v/>
      </c>
      <c r="O420">
        <f>IF(N420="","",INDEX(Values!$J$3:$J$502,MATCH(A420&amp;"|"&amp;IF(K420=M420,1,K420+1),Values!$L$3:$L$502,0)))</f>
        <v/>
      </c>
    </row>
    <row r="421">
      <c r="H421">
        <f>IF(A421="","",IFERROR(INDEX(Attributes!$F$3:$F$52,MATCH(A421,Attributes!$A$3:$A$52,0))&amp;"","Unknown attribute"))</f>
        <v/>
      </c>
      <c r="I421">
        <f>IF(OR(A421="",B421=""),"",IF(AND(H421="Yes",D421&lt;&gt;"No"),"Yes","No"))</f>
        <v/>
      </c>
      <c r="J421">
        <f>IF(I421="Yes",COUNTIF($I$3:I421,"Yes"),"")</f>
        <v/>
      </c>
      <c r="K421">
        <f>IF(I421&lt;&gt;"Yes","",COUNTIFS($A$3:A421,SUBSTITUTE(SUBSTITUTE(A421,"?","~?"),"*","~*"),$I$3:I421,"Yes"))</f>
        <v/>
      </c>
      <c r="L421">
        <f>IF(K421="","",A421&amp;"|"&amp;K421)</f>
        <v/>
      </c>
      <c r="M421">
        <f>IF(I421&lt;&gt;"Yes","",COUNTIFS(Values!$A$3:$A$502,SUBSTITUTE(SUBSTITUTE(A421,"?","~?"),"*","~*"),Values!$I$3:$I$502,"Yes"))</f>
        <v/>
      </c>
      <c r="N421">
        <f>IF(I421&lt;&gt;"Yes","",IF(M421&lt;2,"",INDEX(Values!$B$3:$B$502,MATCH(A421&amp;"|"&amp;IF(K421=M421,1,K421+1),Values!$L$3:$L$502,0))))</f>
        <v/>
      </c>
      <c r="O421">
        <f>IF(N421="","",INDEX(Values!$J$3:$J$502,MATCH(A421&amp;"|"&amp;IF(K421=M421,1,K421+1),Values!$L$3:$L$502,0)))</f>
        <v/>
      </c>
    </row>
    <row r="422">
      <c r="H422">
        <f>IF(A422="","",IFERROR(INDEX(Attributes!$F$3:$F$52,MATCH(A422,Attributes!$A$3:$A$52,0))&amp;"","Unknown attribute"))</f>
        <v/>
      </c>
      <c r="I422">
        <f>IF(OR(A422="",B422=""),"",IF(AND(H422="Yes",D422&lt;&gt;"No"),"Yes","No"))</f>
        <v/>
      </c>
      <c r="J422">
        <f>IF(I422="Yes",COUNTIF($I$3:I422,"Yes"),"")</f>
        <v/>
      </c>
      <c r="K422">
        <f>IF(I422&lt;&gt;"Yes","",COUNTIFS($A$3:A422,SUBSTITUTE(SUBSTITUTE(A422,"?","~?"),"*","~*"),$I$3:I422,"Yes"))</f>
        <v/>
      </c>
      <c r="L422">
        <f>IF(K422="","",A422&amp;"|"&amp;K422)</f>
        <v/>
      </c>
      <c r="M422">
        <f>IF(I422&lt;&gt;"Yes","",COUNTIFS(Values!$A$3:$A$502,SUBSTITUTE(SUBSTITUTE(A422,"?","~?"),"*","~*"),Values!$I$3:$I$502,"Yes"))</f>
        <v/>
      </c>
      <c r="N422">
        <f>IF(I422&lt;&gt;"Yes","",IF(M422&lt;2,"",INDEX(Values!$B$3:$B$502,MATCH(A422&amp;"|"&amp;IF(K422=M422,1,K422+1),Values!$L$3:$L$502,0))))</f>
        <v/>
      </c>
      <c r="O422">
        <f>IF(N422="","",INDEX(Values!$J$3:$J$502,MATCH(A422&amp;"|"&amp;IF(K422=M422,1,K422+1),Values!$L$3:$L$502,0)))</f>
        <v/>
      </c>
    </row>
    <row r="423">
      <c r="H423">
        <f>IF(A423="","",IFERROR(INDEX(Attributes!$F$3:$F$52,MATCH(A423,Attributes!$A$3:$A$52,0))&amp;"","Unknown attribute"))</f>
        <v/>
      </c>
      <c r="I423">
        <f>IF(OR(A423="",B423=""),"",IF(AND(H423="Yes",D423&lt;&gt;"No"),"Yes","No"))</f>
        <v/>
      </c>
      <c r="J423">
        <f>IF(I423="Yes",COUNTIF($I$3:I423,"Yes"),"")</f>
        <v/>
      </c>
      <c r="K423">
        <f>IF(I423&lt;&gt;"Yes","",COUNTIFS($A$3:A423,SUBSTITUTE(SUBSTITUTE(A423,"?","~?"),"*","~*"),$I$3:I423,"Yes"))</f>
        <v/>
      </c>
      <c r="L423">
        <f>IF(K423="","",A423&amp;"|"&amp;K423)</f>
        <v/>
      </c>
      <c r="M423">
        <f>IF(I423&lt;&gt;"Yes","",COUNTIFS(Values!$A$3:$A$502,SUBSTITUTE(SUBSTITUTE(A423,"?","~?"),"*","~*"),Values!$I$3:$I$502,"Yes"))</f>
        <v/>
      </c>
      <c r="N423">
        <f>IF(I423&lt;&gt;"Yes","",IF(M423&lt;2,"",INDEX(Values!$B$3:$B$502,MATCH(A423&amp;"|"&amp;IF(K423=M423,1,K423+1),Values!$L$3:$L$502,0))))</f>
        <v/>
      </c>
      <c r="O423">
        <f>IF(N423="","",INDEX(Values!$J$3:$J$502,MATCH(A423&amp;"|"&amp;IF(K423=M423,1,K423+1),Values!$L$3:$L$502,0)))</f>
        <v/>
      </c>
    </row>
    <row r="424">
      <c r="H424">
        <f>IF(A424="","",IFERROR(INDEX(Attributes!$F$3:$F$52,MATCH(A424,Attributes!$A$3:$A$52,0))&amp;"","Unknown attribute"))</f>
        <v/>
      </c>
      <c r="I424">
        <f>IF(OR(A424="",B424=""),"",IF(AND(H424="Yes",D424&lt;&gt;"No"),"Yes","No"))</f>
        <v/>
      </c>
      <c r="J424">
        <f>IF(I424="Yes",COUNTIF($I$3:I424,"Yes"),"")</f>
        <v/>
      </c>
      <c r="K424">
        <f>IF(I424&lt;&gt;"Yes","",COUNTIFS($A$3:A424,SUBSTITUTE(SUBSTITUTE(A424,"?","~?"),"*","~*"),$I$3:I424,"Yes"))</f>
        <v/>
      </c>
      <c r="L424">
        <f>IF(K424="","",A424&amp;"|"&amp;K424)</f>
        <v/>
      </c>
      <c r="M424">
        <f>IF(I424&lt;&gt;"Yes","",COUNTIFS(Values!$A$3:$A$502,SUBSTITUTE(SUBSTITUTE(A424,"?","~?"),"*","~*"),Values!$I$3:$I$502,"Yes"))</f>
        <v/>
      </c>
      <c r="N424">
        <f>IF(I424&lt;&gt;"Yes","",IF(M424&lt;2,"",INDEX(Values!$B$3:$B$502,MATCH(A424&amp;"|"&amp;IF(K424=M424,1,K424+1),Values!$L$3:$L$502,0))))</f>
        <v/>
      </c>
      <c r="O424">
        <f>IF(N424="","",INDEX(Values!$J$3:$J$502,MATCH(A424&amp;"|"&amp;IF(K424=M424,1,K424+1),Values!$L$3:$L$502,0)))</f>
        <v/>
      </c>
    </row>
    <row r="425">
      <c r="H425">
        <f>IF(A425="","",IFERROR(INDEX(Attributes!$F$3:$F$52,MATCH(A425,Attributes!$A$3:$A$52,0))&amp;"","Unknown attribute"))</f>
        <v/>
      </c>
      <c r="I425">
        <f>IF(OR(A425="",B425=""),"",IF(AND(H425="Yes",D425&lt;&gt;"No"),"Yes","No"))</f>
        <v/>
      </c>
      <c r="J425">
        <f>IF(I425="Yes",COUNTIF($I$3:I425,"Yes"),"")</f>
        <v/>
      </c>
      <c r="K425">
        <f>IF(I425&lt;&gt;"Yes","",COUNTIFS($A$3:A425,SUBSTITUTE(SUBSTITUTE(A425,"?","~?"),"*","~*"),$I$3:I425,"Yes"))</f>
        <v/>
      </c>
      <c r="L425">
        <f>IF(K425="","",A425&amp;"|"&amp;K425)</f>
        <v/>
      </c>
      <c r="M425">
        <f>IF(I425&lt;&gt;"Yes","",COUNTIFS(Values!$A$3:$A$502,SUBSTITUTE(SUBSTITUTE(A425,"?","~?"),"*","~*"),Values!$I$3:$I$502,"Yes"))</f>
        <v/>
      </c>
      <c r="N425">
        <f>IF(I425&lt;&gt;"Yes","",IF(M425&lt;2,"",INDEX(Values!$B$3:$B$502,MATCH(A425&amp;"|"&amp;IF(K425=M425,1,K425+1),Values!$L$3:$L$502,0))))</f>
        <v/>
      </c>
      <c r="O425">
        <f>IF(N425="","",INDEX(Values!$J$3:$J$502,MATCH(A425&amp;"|"&amp;IF(K425=M425,1,K425+1),Values!$L$3:$L$502,0)))</f>
        <v/>
      </c>
    </row>
    <row r="426">
      <c r="H426">
        <f>IF(A426="","",IFERROR(INDEX(Attributes!$F$3:$F$52,MATCH(A426,Attributes!$A$3:$A$52,0))&amp;"","Unknown attribute"))</f>
        <v/>
      </c>
      <c r="I426">
        <f>IF(OR(A426="",B426=""),"",IF(AND(H426="Yes",D426&lt;&gt;"No"),"Yes","No"))</f>
        <v/>
      </c>
      <c r="J426">
        <f>IF(I426="Yes",COUNTIF($I$3:I426,"Yes"),"")</f>
        <v/>
      </c>
      <c r="K426">
        <f>IF(I426&lt;&gt;"Yes","",COUNTIFS($A$3:A426,SUBSTITUTE(SUBSTITUTE(A426,"?","~?"),"*","~*"),$I$3:I426,"Yes"))</f>
        <v/>
      </c>
      <c r="L426">
        <f>IF(K426="","",A426&amp;"|"&amp;K426)</f>
        <v/>
      </c>
      <c r="M426">
        <f>IF(I426&lt;&gt;"Yes","",COUNTIFS(Values!$A$3:$A$502,SUBSTITUTE(SUBSTITUTE(A426,"?","~?"),"*","~*"),Values!$I$3:$I$502,"Yes"))</f>
        <v/>
      </c>
      <c r="N426">
        <f>IF(I426&lt;&gt;"Yes","",IF(M426&lt;2,"",INDEX(Values!$B$3:$B$502,MATCH(A426&amp;"|"&amp;IF(K426=M426,1,K426+1),Values!$L$3:$L$502,0))))</f>
        <v/>
      </c>
      <c r="O426">
        <f>IF(N426="","",INDEX(Values!$J$3:$J$502,MATCH(A426&amp;"|"&amp;IF(K426=M426,1,K426+1),Values!$L$3:$L$502,0)))</f>
        <v/>
      </c>
    </row>
    <row r="427">
      <c r="H427">
        <f>IF(A427="","",IFERROR(INDEX(Attributes!$F$3:$F$52,MATCH(A427,Attributes!$A$3:$A$52,0))&amp;"","Unknown attribute"))</f>
        <v/>
      </c>
      <c r="I427">
        <f>IF(OR(A427="",B427=""),"",IF(AND(H427="Yes",D427&lt;&gt;"No"),"Yes","No"))</f>
        <v/>
      </c>
      <c r="J427">
        <f>IF(I427="Yes",COUNTIF($I$3:I427,"Yes"),"")</f>
        <v/>
      </c>
      <c r="K427">
        <f>IF(I427&lt;&gt;"Yes","",COUNTIFS($A$3:A427,SUBSTITUTE(SUBSTITUTE(A427,"?","~?"),"*","~*"),$I$3:I427,"Yes"))</f>
        <v/>
      </c>
      <c r="L427">
        <f>IF(K427="","",A427&amp;"|"&amp;K427)</f>
        <v/>
      </c>
      <c r="M427">
        <f>IF(I427&lt;&gt;"Yes","",COUNTIFS(Values!$A$3:$A$502,SUBSTITUTE(SUBSTITUTE(A427,"?","~?"),"*","~*"),Values!$I$3:$I$502,"Yes"))</f>
        <v/>
      </c>
      <c r="N427">
        <f>IF(I427&lt;&gt;"Yes","",IF(M427&lt;2,"",INDEX(Values!$B$3:$B$502,MATCH(A427&amp;"|"&amp;IF(K427=M427,1,K427+1),Values!$L$3:$L$502,0))))</f>
        <v/>
      </c>
      <c r="O427">
        <f>IF(N427="","",INDEX(Values!$J$3:$J$502,MATCH(A427&amp;"|"&amp;IF(K427=M427,1,K427+1),Values!$L$3:$L$502,0)))</f>
        <v/>
      </c>
    </row>
    <row r="428">
      <c r="H428">
        <f>IF(A428="","",IFERROR(INDEX(Attributes!$F$3:$F$52,MATCH(A428,Attributes!$A$3:$A$52,0))&amp;"","Unknown attribute"))</f>
        <v/>
      </c>
      <c r="I428">
        <f>IF(OR(A428="",B428=""),"",IF(AND(H428="Yes",D428&lt;&gt;"No"),"Yes","No"))</f>
        <v/>
      </c>
      <c r="J428">
        <f>IF(I428="Yes",COUNTIF($I$3:I428,"Yes"),"")</f>
        <v/>
      </c>
      <c r="K428">
        <f>IF(I428&lt;&gt;"Yes","",COUNTIFS($A$3:A428,SUBSTITUTE(SUBSTITUTE(A428,"?","~?"),"*","~*"),$I$3:I428,"Yes"))</f>
        <v/>
      </c>
      <c r="L428">
        <f>IF(K428="","",A428&amp;"|"&amp;K428)</f>
        <v/>
      </c>
      <c r="M428">
        <f>IF(I428&lt;&gt;"Yes","",COUNTIFS(Values!$A$3:$A$502,SUBSTITUTE(SUBSTITUTE(A428,"?","~?"),"*","~*"),Values!$I$3:$I$502,"Yes"))</f>
        <v/>
      </c>
      <c r="N428">
        <f>IF(I428&lt;&gt;"Yes","",IF(M428&lt;2,"",INDEX(Values!$B$3:$B$502,MATCH(A428&amp;"|"&amp;IF(K428=M428,1,K428+1),Values!$L$3:$L$502,0))))</f>
        <v/>
      </c>
      <c r="O428">
        <f>IF(N428="","",INDEX(Values!$J$3:$J$502,MATCH(A428&amp;"|"&amp;IF(K428=M428,1,K428+1),Values!$L$3:$L$502,0)))</f>
        <v/>
      </c>
    </row>
    <row r="429">
      <c r="H429">
        <f>IF(A429="","",IFERROR(INDEX(Attributes!$F$3:$F$52,MATCH(A429,Attributes!$A$3:$A$52,0))&amp;"","Unknown attribute"))</f>
        <v/>
      </c>
      <c r="I429">
        <f>IF(OR(A429="",B429=""),"",IF(AND(H429="Yes",D429&lt;&gt;"No"),"Yes","No"))</f>
        <v/>
      </c>
      <c r="J429">
        <f>IF(I429="Yes",COUNTIF($I$3:I429,"Yes"),"")</f>
        <v/>
      </c>
      <c r="K429">
        <f>IF(I429&lt;&gt;"Yes","",COUNTIFS($A$3:A429,SUBSTITUTE(SUBSTITUTE(A429,"?","~?"),"*","~*"),$I$3:I429,"Yes"))</f>
        <v/>
      </c>
      <c r="L429">
        <f>IF(K429="","",A429&amp;"|"&amp;K429)</f>
        <v/>
      </c>
      <c r="M429">
        <f>IF(I429&lt;&gt;"Yes","",COUNTIFS(Values!$A$3:$A$502,SUBSTITUTE(SUBSTITUTE(A429,"?","~?"),"*","~*"),Values!$I$3:$I$502,"Yes"))</f>
        <v/>
      </c>
      <c r="N429">
        <f>IF(I429&lt;&gt;"Yes","",IF(M429&lt;2,"",INDEX(Values!$B$3:$B$502,MATCH(A429&amp;"|"&amp;IF(K429=M429,1,K429+1),Values!$L$3:$L$502,0))))</f>
        <v/>
      </c>
      <c r="O429">
        <f>IF(N429="","",INDEX(Values!$J$3:$J$502,MATCH(A429&amp;"|"&amp;IF(K429=M429,1,K429+1),Values!$L$3:$L$502,0)))</f>
        <v/>
      </c>
    </row>
    <row r="430">
      <c r="H430">
        <f>IF(A430="","",IFERROR(INDEX(Attributes!$F$3:$F$52,MATCH(A430,Attributes!$A$3:$A$52,0))&amp;"","Unknown attribute"))</f>
        <v/>
      </c>
      <c r="I430">
        <f>IF(OR(A430="",B430=""),"",IF(AND(H430="Yes",D430&lt;&gt;"No"),"Yes","No"))</f>
        <v/>
      </c>
      <c r="J430">
        <f>IF(I430="Yes",COUNTIF($I$3:I430,"Yes"),"")</f>
        <v/>
      </c>
      <c r="K430">
        <f>IF(I430&lt;&gt;"Yes","",COUNTIFS($A$3:A430,SUBSTITUTE(SUBSTITUTE(A430,"?","~?"),"*","~*"),$I$3:I430,"Yes"))</f>
        <v/>
      </c>
      <c r="L430">
        <f>IF(K430="","",A430&amp;"|"&amp;K430)</f>
        <v/>
      </c>
      <c r="M430">
        <f>IF(I430&lt;&gt;"Yes","",COUNTIFS(Values!$A$3:$A$502,SUBSTITUTE(SUBSTITUTE(A430,"?","~?"),"*","~*"),Values!$I$3:$I$502,"Yes"))</f>
        <v/>
      </c>
      <c r="N430">
        <f>IF(I430&lt;&gt;"Yes","",IF(M430&lt;2,"",INDEX(Values!$B$3:$B$502,MATCH(A430&amp;"|"&amp;IF(K430=M430,1,K430+1),Values!$L$3:$L$502,0))))</f>
        <v/>
      </c>
      <c r="O430">
        <f>IF(N430="","",INDEX(Values!$J$3:$J$502,MATCH(A430&amp;"|"&amp;IF(K430=M430,1,K430+1),Values!$L$3:$L$502,0)))</f>
        <v/>
      </c>
    </row>
    <row r="431">
      <c r="H431">
        <f>IF(A431="","",IFERROR(INDEX(Attributes!$F$3:$F$52,MATCH(A431,Attributes!$A$3:$A$52,0))&amp;"","Unknown attribute"))</f>
        <v/>
      </c>
      <c r="I431">
        <f>IF(OR(A431="",B431=""),"",IF(AND(H431="Yes",D431&lt;&gt;"No"),"Yes","No"))</f>
        <v/>
      </c>
      <c r="J431">
        <f>IF(I431="Yes",COUNTIF($I$3:I431,"Yes"),"")</f>
        <v/>
      </c>
      <c r="K431">
        <f>IF(I431&lt;&gt;"Yes","",COUNTIFS($A$3:A431,SUBSTITUTE(SUBSTITUTE(A431,"?","~?"),"*","~*"),$I$3:I431,"Yes"))</f>
        <v/>
      </c>
      <c r="L431">
        <f>IF(K431="","",A431&amp;"|"&amp;K431)</f>
        <v/>
      </c>
      <c r="M431">
        <f>IF(I431&lt;&gt;"Yes","",COUNTIFS(Values!$A$3:$A$502,SUBSTITUTE(SUBSTITUTE(A431,"?","~?"),"*","~*"),Values!$I$3:$I$502,"Yes"))</f>
        <v/>
      </c>
      <c r="N431">
        <f>IF(I431&lt;&gt;"Yes","",IF(M431&lt;2,"",INDEX(Values!$B$3:$B$502,MATCH(A431&amp;"|"&amp;IF(K431=M431,1,K431+1),Values!$L$3:$L$502,0))))</f>
        <v/>
      </c>
      <c r="O431">
        <f>IF(N431="","",INDEX(Values!$J$3:$J$502,MATCH(A431&amp;"|"&amp;IF(K431=M431,1,K431+1),Values!$L$3:$L$502,0)))</f>
        <v/>
      </c>
    </row>
    <row r="432">
      <c r="H432">
        <f>IF(A432="","",IFERROR(INDEX(Attributes!$F$3:$F$52,MATCH(A432,Attributes!$A$3:$A$52,0))&amp;"","Unknown attribute"))</f>
        <v/>
      </c>
      <c r="I432">
        <f>IF(OR(A432="",B432=""),"",IF(AND(H432="Yes",D432&lt;&gt;"No"),"Yes","No"))</f>
        <v/>
      </c>
      <c r="J432">
        <f>IF(I432="Yes",COUNTIF($I$3:I432,"Yes"),"")</f>
        <v/>
      </c>
      <c r="K432">
        <f>IF(I432&lt;&gt;"Yes","",COUNTIFS($A$3:A432,SUBSTITUTE(SUBSTITUTE(A432,"?","~?"),"*","~*"),$I$3:I432,"Yes"))</f>
        <v/>
      </c>
      <c r="L432">
        <f>IF(K432="","",A432&amp;"|"&amp;K432)</f>
        <v/>
      </c>
      <c r="M432">
        <f>IF(I432&lt;&gt;"Yes","",COUNTIFS(Values!$A$3:$A$502,SUBSTITUTE(SUBSTITUTE(A432,"?","~?"),"*","~*"),Values!$I$3:$I$502,"Yes"))</f>
        <v/>
      </c>
      <c r="N432">
        <f>IF(I432&lt;&gt;"Yes","",IF(M432&lt;2,"",INDEX(Values!$B$3:$B$502,MATCH(A432&amp;"|"&amp;IF(K432=M432,1,K432+1),Values!$L$3:$L$502,0))))</f>
        <v/>
      </c>
      <c r="O432">
        <f>IF(N432="","",INDEX(Values!$J$3:$J$502,MATCH(A432&amp;"|"&amp;IF(K432=M432,1,K432+1),Values!$L$3:$L$502,0)))</f>
        <v/>
      </c>
    </row>
    <row r="433">
      <c r="H433">
        <f>IF(A433="","",IFERROR(INDEX(Attributes!$F$3:$F$52,MATCH(A433,Attributes!$A$3:$A$52,0))&amp;"","Unknown attribute"))</f>
        <v/>
      </c>
      <c r="I433">
        <f>IF(OR(A433="",B433=""),"",IF(AND(H433="Yes",D433&lt;&gt;"No"),"Yes","No"))</f>
        <v/>
      </c>
      <c r="J433">
        <f>IF(I433="Yes",COUNTIF($I$3:I433,"Yes"),"")</f>
        <v/>
      </c>
      <c r="K433">
        <f>IF(I433&lt;&gt;"Yes","",COUNTIFS($A$3:A433,SUBSTITUTE(SUBSTITUTE(A433,"?","~?"),"*","~*"),$I$3:I433,"Yes"))</f>
        <v/>
      </c>
      <c r="L433">
        <f>IF(K433="","",A433&amp;"|"&amp;K433)</f>
        <v/>
      </c>
      <c r="M433">
        <f>IF(I433&lt;&gt;"Yes","",COUNTIFS(Values!$A$3:$A$502,SUBSTITUTE(SUBSTITUTE(A433,"?","~?"),"*","~*"),Values!$I$3:$I$502,"Yes"))</f>
        <v/>
      </c>
      <c r="N433">
        <f>IF(I433&lt;&gt;"Yes","",IF(M433&lt;2,"",INDEX(Values!$B$3:$B$502,MATCH(A433&amp;"|"&amp;IF(K433=M433,1,K433+1),Values!$L$3:$L$502,0))))</f>
        <v/>
      </c>
      <c r="O433">
        <f>IF(N433="","",INDEX(Values!$J$3:$J$502,MATCH(A433&amp;"|"&amp;IF(K433=M433,1,K433+1),Values!$L$3:$L$502,0)))</f>
        <v/>
      </c>
    </row>
    <row r="434">
      <c r="H434">
        <f>IF(A434="","",IFERROR(INDEX(Attributes!$F$3:$F$52,MATCH(A434,Attributes!$A$3:$A$52,0))&amp;"","Unknown attribute"))</f>
        <v/>
      </c>
      <c r="I434">
        <f>IF(OR(A434="",B434=""),"",IF(AND(H434="Yes",D434&lt;&gt;"No"),"Yes","No"))</f>
        <v/>
      </c>
      <c r="J434">
        <f>IF(I434="Yes",COUNTIF($I$3:I434,"Yes"),"")</f>
        <v/>
      </c>
      <c r="K434">
        <f>IF(I434&lt;&gt;"Yes","",COUNTIFS($A$3:A434,SUBSTITUTE(SUBSTITUTE(A434,"?","~?"),"*","~*"),$I$3:I434,"Yes"))</f>
        <v/>
      </c>
      <c r="L434">
        <f>IF(K434="","",A434&amp;"|"&amp;K434)</f>
        <v/>
      </c>
      <c r="M434">
        <f>IF(I434&lt;&gt;"Yes","",COUNTIFS(Values!$A$3:$A$502,SUBSTITUTE(SUBSTITUTE(A434,"?","~?"),"*","~*"),Values!$I$3:$I$502,"Yes"))</f>
        <v/>
      </c>
      <c r="N434">
        <f>IF(I434&lt;&gt;"Yes","",IF(M434&lt;2,"",INDEX(Values!$B$3:$B$502,MATCH(A434&amp;"|"&amp;IF(K434=M434,1,K434+1),Values!$L$3:$L$502,0))))</f>
        <v/>
      </c>
      <c r="O434">
        <f>IF(N434="","",INDEX(Values!$J$3:$J$502,MATCH(A434&amp;"|"&amp;IF(K434=M434,1,K434+1),Values!$L$3:$L$502,0)))</f>
        <v/>
      </c>
    </row>
    <row r="435">
      <c r="H435">
        <f>IF(A435="","",IFERROR(INDEX(Attributes!$F$3:$F$52,MATCH(A435,Attributes!$A$3:$A$52,0))&amp;"","Unknown attribute"))</f>
        <v/>
      </c>
      <c r="I435">
        <f>IF(OR(A435="",B435=""),"",IF(AND(H435="Yes",D435&lt;&gt;"No"),"Yes","No"))</f>
        <v/>
      </c>
      <c r="J435">
        <f>IF(I435="Yes",COUNTIF($I$3:I435,"Yes"),"")</f>
        <v/>
      </c>
      <c r="K435">
        <f>IF(I435&lt;&gt;"Yes","",COUNTIFS($A$3:A435,SUBSTITUTE(SUBSTITUTE(A435,"?","~?"),"*","~*"),$I$3:I435,"Yes"))</f>
        <v/>
      </c>
      <c r="L435">
        <f>IF(K435="","",A435&amp;"|"&amp;K435)</f>
        <v/>
      </c>
      <c r="M435">
        <f>IF(I435&lt;&gt;"Yes","",COUNTIFS(Values!$A$3:$A$502,SUBSTITUTE(SUBSTITUTE(A435,"?","~?"),"*","~*"),Values!$I$3:$I$502,"Yes"))</f>
        <v/>
      </c>
      <c r="N435">
        <f>IF(I435&lt;&gt;"Yes","",IF(M435&lt;2,"",INDEX(Values!$B$3:$B$502,MATCH(A435&amp;"|"&amp;IF(K435=M435,1,K435+1),Values!$L$3:$L$502,0))))</f>
        <v/>
      </c>
      <c r="O435">
        <f>IF(N435="","",INDEX(Values!$J$3:$J$502,MATCH(A435&amp;"|"&amp;IF(K435=M435,1,K435+1),Values!$L$3:$L$502,0)))</f>
        <v/>
      </c>
    </row>
    <row r="436">
      <c r="H436">
        <f>IF(A436="","",IFERROR(INDEX(Attributes!$F$3:$F$52,MATCH(A436,Attributes!$A$3:$A$52,0))&amp;"","Unknown attribute"))</f>
        <v/>
      </c>
      <c r="I436">
        <f>IF(OR(A436="",B436=""),"",IF(AND(H436="Yes",D436&lt;&gt;"No"),"Yes","No"))</f>
        <v/>
      </c>
      <c r="J436">
        <f>IF(I436="Yes",COUNTIF($I$3:I436,"Yes"),"")</f>
        <v/>
      </c>
      <c r="K436">
        <f>IF(I436&lt;&gt;"Yes","",COUNTIFS($A$3:A436,SUBSTITUTE(SUBSTITUTE(A436,"?","~?"),"*","~*"),$I$3:I436,"Yes"))</f>
        <v/>
      </c>
      <c r="L436">
        <f>IF(K436="","",A436&amp;"|"&amp;K436)</f>
        <v/>
      </c>
      <c r="M436">
        <f>IF(I436&lt;&gt;"Yes","",COUNTIFS(Values!$A$3:$A$502,SUBSTITUTE(SUBSTITUTE(A436,"?","~?"),"*","~*"),Values!$I$3:$I$502,"Yes"))</f>
        <v/>
      </c>
      <c r="N436">
        <f>IF(I436&lt;&gt;"Yes","",IF(M436&lt;2,"",INDEX(Values!$B$3:$B$502,MATCH(A436&amp;"|"&amp;IF(K436=M436,1,K436+1),Values!$L$3:$L$502,0))))</f>
        <v/>
      </c>
      <c r="O436">
        <f>IF(N436="","",INDEX(Values!$J$3:$J$502,MATCH(A436&amp;"|"&amp;IF(K436=M436,1,K436+1),Values!$L$3:$L$502,0)))</f>
        <v/>
      </c>
    </row>
    <row r="437">
      <c r="H437">
        <f>IF(A437="","",IFERROR(INDEX(Attributes!$F$3:$F$52,MATCH(A437,Attributes!$A$3:$A$52,0))&amp;"","Unknown attribute"))</f>
        <v/>
      </c>
      <c r="I437">
        <f>IF(OR(A437="",B437=""),"",IF(AND(H437="Yes",D437&lt;&gt;"No"),"Yes","No"))</f>
        <v/>
      </c>
      <c r="J437">
        <f>IF(I437="Yes",COUNTIF($I$3:I437,"Yes"),"")</f>
        <v/>
      </c>
      <c r="K437">
        <f>IF(I437&lt;&gt;"Yes","",COUNTIFS($A$3:A437,SUBSTITUTE(SUBSTITUTE(A437,"?","~?"),"*","~*"),$I$3:I437,"Yes"))</f>
        <v/>
      </c>
      <c r="L437">
        <f>IF(K437="","",A437&amp;"|"&amp;K437)</f>
        <v/>
      </c>
      <c r="M437">
        <f>IF(I437&lt;&gt;"Yes","",COUNTIFS(Values!$A$3:$A$502,SUBSTITUTE(SUBSTITUTE(A437,"?","~?"),"*","~*"),Values!$I$3:$I$502,"Yes"))</f>
        <v/>
      </c>
      <c r="N437">
        <f>IF(I437&lt;&gt;"Yes","",IF(M437&lt;2,"",INDEX(Values!$B$3:$B$502,MATCH(A437&amp;"|"&amp;IF(K437=M437,1,K437+1),Values!$L$3:$L$502,0))))</f>
        <v/>
      </c>
      <c r="O437">
        <f>IF(N437="","",INDEX(Values!$J$3:$J$502,MATCH(A437&amp;"|"&amp;IF(K437=M437,1,K437+1),Values!$L$3:$L$502,0)))</f>
        <v/>
      </c>
    </row>
    <row r="438">
      <c r="H438">
        <f>IF(A438="","",IFERROR(INDEX(Attributes!$F$3:$F$52,MATCH(A438,Attributes!$A$3:$A$52,0))&amp;"","Unknown attribute"))</f>
        <v/>
      </c>
      <c r="I438">
        <f>IF(OR(A438="",B438=""),"",IF(AND(H438="Yes",D438&lt;&gt;"No"),"Yes","No"))</f>
        <v/>
      </c>
      <c r="J438">
        <f>IF(I438="Yes",COUNTIF($I$3:I438,"Yes"),"")</f>
        <v/>
      </c>
      <c r="K438">
        <f>IF(I438&lt;&gt;"Yes","",COUNTIFS($A$3:A438,SUBSTITUTE(SUBSTITUTE(A438,"?","~?"),"*","~*"),$I$3:I438,"Yes"))</f>
        <v/>
      </c>
      <c r="L438">
        <f>IF(K438="","",A438&amp;"|"&amp;K438)</f>
        <v/>
      </c>
      <c r="M438">
        <f>IF(I438&lt;&gt;"Yes","",COUNTIFS(Values!$A$3:$A$502,SUBSTITUTE(SUBSTITUTE(A438,"?","~?"),"*","~*"),Values!$I$3:$I$502,"Yes"))</f>
        <v/>
      </c>
      <c r="N438">
        <f>IF(I438&lt;&gt;"Yes","",IF(M438&lt;2,"",INDEX(Values!$B$3:$B$502,MATCH(A438&amp;"|"&amp;IF(K438=M438,1,K438+1),Values!$L$3:$L$502,0))))</f>
        <v/>
      </c>
      <c r="O438">
        <f>IF(N438="","",INDEX(Values!$J$3:$J$502,MATCH(A438&amp;"|"&amp;IF(K438=M438,1,K438+1),Values!$L$3:$L$502,0)))</f>
        <v/>
      </c>
    </row>
    <row r="439">
      <c r="H439">
        <f>IF(A439="","",IFERROR(INDEX(Attributes!$F$3:$F$52,MATCH(A439,Attributes!$A$3:$A$52,0))&amp;"","Unknown attribute"))</f>
        <v/>
      </c>
      <c r="I439">
        <f>IF(OR(A439="",B439=""),"",IF(AND(H439="Yes",D439&lt;&gt;"No"),"Yes","No"))</f>
        <v/>
      </c>
      <c r="J439">
        <f>IF(I439="Yes",COUNTIF($I$3:I439,"Yes"),"")</f>
        <v/>
      </c>
      <c r="K439">
        <f>IF(I439&lt;&gt;"Yes","",COUNTIFS($A$3:A439,SUBSTITUTE(SUBSTITUTE(A439,"?","~?"),"*","~*"),$I$3:I439,"Yes"))</f>
        <v/>
      </c>
      <c r="L439">
        <f>IF(K439="","",A439&amp;"|"&amp;K439)</f>
        <v/>
      </c>
      <c r="M439">
        <f>IF(I439&lt;&gt;"Yes","",COUNTIFS(Values!$A$3:$A$502,SUBSTITUTE(SUBSTITUTE(A439,"?","~?"),"*","~*"),Values!$I$3:$I$502,"Yes"))</f>
        <v/>
      </c>
      <c r="N439">
        <f>IF(I439&lt;&gt;"Yes","",IF(M439&lt;2,"",INDEX(Values!$B$3:$B$502,MATCH(A439&amp;"|"&amp;IF(K439=M439,1,K439+1),Values!$L$3:$L$502,0))))</f>
        <v/>
      </c>
      <c r="O439">
        <f>IF(N439="","",INDEX(Values!$J$3:$J$502,MATCH(A439&amp;"|"&amp;IF(K439=M439,1,K439+1),Values!$L$3:$L$502,0)))</f>
        <v/>
      </c>
    </row>
    <row r="440">
      <c r="H440">
        <f>IF(A440="","",IFERROR(INDEX(Attributes!$F$3:$F$52,MATCH(A440,Attributes!$A$3:$A$52,0))&amp;"","Unknown attribute"))</f>
        <v/>
      </c>
      <c r="I440">
        <f>IF(OR(A440="",B440=""),"",IF(AND(H440="Yes",D440&lt;&gt;"No"),"Yes","No"))</f>
        <v/>
      </c>
      <c r="J440">
        <f>IF(I440="Yes",COUNTIF($I$3:I440,"Yes"),"")</f>
        <v/>
      </c>
      <c r="K440">
        <f>IF(I440&lt;&gt;"Yes","",COUNTIFS($A$3:A440,SUBSTITUTE(SUBSTITUTE(A440,"?","~?"),"*","~*"),$I$3:I440,"Yes"))</f>
        <v/>
      </c>
      <c r="L440">
        <f>IF(K440="","",A440&amp;"|"&amp;K440)</f>
        <v/>
      </c>
      <c r="M440">
        <f>IF(I440&lt;&gt;"Yes","",COUNTIFS(Values!$A$3:$A$502,SUBSTITUTE(SUBSTITUTE(A440,"?","~?"),"*","~*"),Values!$I$3:$I$502,"Yes"))</f>
        <v/>
      </c>
      <c r="N440">
        <f>IF(I440&lt;&gt;"Yes","",IF(M440&lt;2,"",INDEX(Values!$B$3:$B$502,MATCH(A440&amp;"|"&amp;IF(K440=M440,1,K440+1),Values!$L$3:$L$502,0))))</f>
        <v/>
      </c>
      <c r="O440">
        <f>IF(N440="","",INDEX(Values!$J$3:$J$502,MATCH(A440&amp;"|"&amp;IF(K440=M440,1,K440+1),Values!$L$3:$L$502,0)))</f>
        <v/>
      </c>
    </row>
    <row r="441">
      <c r="H441">
        <f>IF(A441="","",IFERROR(INDEX(Attributes!$F$3:$F$52,MATCH(A441,Attributes!$A$3:$A$52,0))&amp;"","Unknown attribute"))</f>
        <v/>
      </c>
      <c r="I441">
        <f>IF(OR(A441="",B441=""),"",IF(AND(H441="Yes",D441&lt;&gt;"No"),"Yes","No"))</f>
        <v/>
      </c>
      <c r="J441">
        <f>IF(I441="Yes",COUNTIF($I$3:I441,"Yes"),"")</f>
        <v/>
      </c>
      <c r="K441">
        <f>IF(I441&lt;&gt;"Yes","",COUNTIFS($A$3:A441,SUBSTITUTE(SUBSTITUTE(A441,"?","~?"),"*","~*"),$I$3:I441,"Yes"))</f>
        <v/>
      </c>
      <c r="L441">
        <f>IF(K441="","",A441&amp;"|"&amp;K441)</f>
        <v/>
      </c>
      <c r="M441">
        <f>IF(I441&lt;&gt;"Yes","",COUNTIFS(Values!$A$3:$A$502,SUBSTITUTE(SUBSTITUTE(A441,"?","~?"),"*","~*"),Values!$I$3:$I$502,"Yes"))</f>
        <v/>
      </c>
      <c r="N441">
        <f>IF(I441&lt;&gt;"Yes","",IF(M441&lt;2,"",INDEX(Values!$B$3:$B$502,MATCH(A441&amp;"|"&amp;IF(K441=M441,1,K441+1),Values!$L$3:$L$502,0))))</f>
        <v/>
      </c>
      <c r="O441">
        <f>IF(N441="","",INDEX(Values!$J$3:$J$502,MATCH(A441&amp;"|"&amp;IF(K441=M441,1,K441+1),Values!$L$3:$L$502,0)))</f>
        <v/>
      </c>
    </row>
    <row r="442">
      <c r="H442">
        <f>IF(A442="","",IFERROR(INDEX(Attributes!$F$3:$F$52,MATCH(A442,Attributes!$A$3:$A$52,0))&amp;"","Unknown attribute"))</f>
        <v/>
      </c>
      <c r="I442">
        <f>IF(OR(A442="",B442=""),"",IF(AND(H442="Yes",D442&lt;&gt;"No"),"Yes","No"))</f>
        <v/>
      </c>
      <c r="J442">
        <f>IF(I442="Yes",COUNTIF($I$3:I442,"Yes"),"")</f>
        <v/>
      </c>
      <c r="K442">
        <f>IF(I442&lt;&gt;"Yes","",COUNTIFS($A$3:A442,SUBSTITUTE(SUBSTITUTE(A442,"?","~?"),"*","~*"),$I$3:I442,"Yes"))</f>
        <v/>
      </c>
      <c r="L442">
        <f>IF(K442="","",A442&amp;"|"&amp;K442)</f>
        <v/>
      </c>
      <c r="M442">
        <f>IF(I442&lt;&gt;"Yes","",COUNTIFS(Values!$A$3:$A$502,SUBSTITUTE(SUBSTITUTE(A442,"?","~?"),"*","~*"),Values!$I$3:$I$502,"Yes"))</f>
        <v/>
      </c>
      <c r="N442">
        <f>IF(I442&lt;&gt;"Yes","",IF(M442&lt;2,"",INDEX(Values!$B$3:$B$502,MATCH(A442&amp;"|"&amp;IF(K442=M442,1,K442+1),Values!$L$3:$L$502,0))))</f>
        <v/>
      </c>
      <c r="O442">
        <f>IF(N442="","",INDEX(Values!$J$3:$J$502,MATCH(A442&amp;"|"&amp;IF(K442=M442,1,K442+1),Values!$L$3:$L$502,0)))</f>
        <v/>
      </c>
    </row>
    <row r="443">
      <c r="H443">
        <f>IF(A443="","",IFERROR(INDEX(Attributes!$F$3:$F$52,MATCH(A443,Attributes!$A$3:$A$52,0))&amp;"","Unknown attribute"))</f>
        <v/>
      </c>
      <c r="I443">
        <f>IF(OR(A443="",B443=""),"",IF(AND(H443="Yes",D443&lt;&gt;"No"),"Yes","No"))</f>
        <v/>
      </c>
      <c r="J443">
        <f>IF(I443="Yes",COUNTIF($I$3:I443,"Yes"),"")</f>
        <v/>
      </c>
      <c r="K443">
        <f>IF(I443&lt;&gt;"Yes","",COUNTIFS($A$3:A443,SUBSTITUTE(SUBSTITUTE(A443,"?","~?"),"*","~*"),$I$3:I443,"Yes"))</f>
        <v/>
      </c>
      <c r="L443">
        <f>IF(K443="","",A443&amp;"|"&amp;K443)</f>
        <v/>
      </c>
      <c r="M443">
        <f>IF(I443&lt;&gt;"Yes","",COUNTIFS(Values!$A$3:$A$502,SUBSTITUTE(SUBSTITUTE(A443,"?","~?"),"*","~*"),Values!$I$3:$I$502,"Yes"))</f>
        <v/>
      </c>
      <c r="N443">
        <f>IF(I443&lt;&gt;"Yes","",IF(M443&lt;2,"",INDEX(Values!$B$3:$B$502,MATCH(A443&amp;"|"&amp;IF(K443=M443,1,K443+1),Values!$L$3:$L$502,0))))</f>
        <v/>
      </c>
      <c r="O443">
        <f>IF(N443="","",INDEX(Values!$J$3:$J$502,MATCH(A443&amp;"|"&amp;IF(K443=M443,1,K443+1),Values!$L$3:$L$502,0)))</f>
        <v/>
      </c>
    </row>
    <row r="444">
      <c r="H444">
        <f>IF(A444="","",IFERROR(INDEX(Attributes!$F$3:$F$52,MATCH(A444,Attributes!$A$3:$A$52,0))&amp;"","Unknown attribute"))</f>
        <v/>
      </c>
      <c r="I444">
        <f>IF(OR(A444="",B444=""),"",IF(AND(H444="Yes",D444&lt;&gt;"No"),"Yes","No"))</f>
        <v/>
      </c>
      <c r="J444">
        <f>IF(I444="Yes",COUNTIF($I$3:I444,"Yes"),"")</f>
        <v/>
      </c>
      <c r="K444">
        <f>IF(I444&lt;&gt;"Yes","",COUNTIFS($A$3:A444,SUBSTITUTE(SUBSTITUTE(A444,"?","~?"),"*","~*"),$I$3:I444,"Yes"))</f>
        <v/>
      </c>
      <c r="L444">
        <f>IF(K444="","",A444&amp;"|"&amp;K444)</f>
        <v/>
      </c>
      <c r="M444">
        <f>IF(I444&lt;&gt;"Yes","",COUNTIFS(Values!$A$3:$A$502,SUBSTITUTE(SUBSTITUTE(A444,"?","~?"),"*","~*"),Values!$I$3:$I$502,"Yes"))</f>
        <v/>
      </c>
      <c r="N444">
        <f>IF(I444&lt;&gt;"Yes","",IF(M444&lt;2,"",INDEX(Values!$B$3:$B$502,MATCH(A444&amp;"|"&amp;IF(K444=M444,1,K444+1),Values!$L$3:$L$502,0))))</f>
        <v/>
      </c>
      <c r="O444">
        <f>IF(N444="","",INDEX(Values!$J$3:$J$502,MATCH(A444&amp;"|"&amp;IF(K444=M444,1,K444+1),Values!$L$3:$L$502,0)))</f>
        <v/>
      </c>
    </row>
    <row r="445">
      <c r="H445">
        <f>IF(A445="","",IFERROR(INDEX(Attributes!$F$3:$F$52,MATCH(A445,Attributes!$A$3:$A$52,0))&amp;"","Unknown attribute"))</f>
        <v/>
      </c>
      <c r="I445">
        <f>IF(OR(A445="",B445=""),"",IF(AND(H445="Yes",D445&lt;&gt;"No"),"Yes","No"))</f>
        <v/>
      </c>
      <c r="J445">
        <f>IF(I445="Yes",COUNTIF($I$3:I445,"Yes"),"")</f>
        <v/>
      </c>
      <c r="K445">
        <f>IF(I445&lt;&gt;"Yes","",COUNTIFS($A$3:A445,SUBSTITUTE(SUBSTITUTE(A445,"?","~?"),"*","~*"),$I$3:I445,"Yes"))</f>
        <v/>
      </c>
      <c r="L445">
        <f>IF(K445="","",A445&amp;"|"&amp;K445)</f>
        <v/>
      </c>
      <c r="M445">
        <f>IF(I445&lt;&gt;"Yes","",COUNTIFS(Values!$A$3:$A$502,SUBSTITUTE(SUBSTITUTE(A445,"?","~?"),"*","~*"),Values!$I$3:$I$502,"Yes"))</f>
        <v/>
      </c>
      <c r="N445">
        <f>IF(I445&lt;&gt;"Yes","",IF(M445&lt;2,"",INDEX(Values!$B$3:$B$502,MATCH(A445&amp;"|"&amp;IF(K445=M445,1,K445+1),Values!$L$3:$L$502,0))))</f>
        <v/>
      </c>
      <c r="O445">
        <f>IF(N445="","",INDEX(Values!$J$3:$J$502,MATCH(A445&amp;"|"&amp;IF(K445=M445,1,K445+1),Values!$L$3:$L$502,0)))</f>
        <v/>
      </c>
    </row>
    <row r="446">
      <c r="H446">
        <f>IF(A446="","",IFERROR(INDEX(Attributes!$F$3:$F$52,MATCH(A446,Attributes!$A$3:$A$52,0))&amp;"","Unknown attribute"))</f>
        <v/>
      </c>
      <c r="I446">
        <f>IF(OR(A446="",B446=""),"",IF(AND(H446="Yes",D446&lt;&gt;"No"),"Yes","No"))</f>
        <v/>
      </c>
      <c r="J446">
        <f>IF(I446="Yes",COUNTIF($I$3:I446,"Yes"),"")</f>
        <v/>
      </c>
      <c r="K446">
        <f>IF(I446&lt;&gt;"Yes","",COUNTIFS($A$3:A446,SUBSTITUTE(SUBSTITUTE(A446,"?","~?"),"*","~*"),$I$3:I446,"Yes"))</f>
        <v/>
      </c>
      <c r="L446">
        <f>IF(K446="","",A446&amp;"|"&amp;K446)</f>
        <v/>
      </c>
      <c r="M446">
        <f>IF(I446&lt;&gt;"Yes","",COUNTIFS(Values!$A$3:$A$502,SUBSTITUTE(SUBSTITUTE(A446,"?","~?"),"*","~*"),Values!$I$3:$I$502,"Yes"))</f>
        <v/>
      </c>
      <c r="N446">
        <f>IF(I446&lt;&gt;"Yes","",IF(M446&lt;2,"",INDEX(Values!$B$3:$B$502,MATCH(A446&amp;"|"&amp;IF(K446=M446,1,K446+1),Values!$L$3:$L$502,0))))</f>
        <v/>
      </c>
      <c r="O446">
        <f>IF(N446="","",INDEX(Values!$J$3:$J$502,MATCH(A446&amp;"|"&amp;IF(K446=M446,1,K446+1),Values!$L$3:$L$502,0)))</f>
        <v/>
      </c>
    </row>
    <row r="447">
      <c r="H447">
        <f>IF(A447="","",IFERROR(INDEX(Attributes!$F$3:$F$52,MATCH(A447,Attributes!$A$3:$A$52,0))&amp;"","Unknown attribute"))</f>
        <v/>
      </c>
      <c r="I447">
        <f>IF(OR(A447="",B447=""),"",IF(AND(H447="Yes",D447&lt;&gt;"No"),"Yes","No"))</f>
        <v/>
      </c>
      <c r="J447">
        <f>IF(I447="Yes",COUNTIF($I$3:I447,"Yes"),"")</f>
        <v/>
      </c>
      <c r="K447">
        <f>IF(I447&lt;&gt;"Yes","",COUNTIFS($A$3:A447,SUBSTITUTE(SUBSTITUTE(A447,"?","~?"),"*","~*"),$I$3:I447,"Yes"))</f>
        <v/>
      </c>
      <c r="L447">
        <f>IF(K447="","",A447&amp;"|"&amp;K447)</f>
        <v/>
      </c>
      <c r="M447">
        <f>IF(I447&lt;&gt;"Yes","",COUNTIFS(Values!$A$3:$A$502,SUBSTITUTE(SUBSTITUTE(A447,"?","~?"),"*","~*"),Values!$I$3:$I$502,"Yes"))</f>
        <v/>
      </c>
      <c r="N447">
        <f>IF(I447&lt;&gt;"Yes","",IF(M447&lt;2,"",INDEX(Values!$B$3:$B$502,MATCH(A447&amp;"|"&amp;IF(K447=M447,1,K447+1),Values!$L$3:$L$502,0))))</f>
        <v/>
      </c>
      <c r="O447">
        <f>IF(N447="","",INDEX(Values!$J$3:$J$502,MATCH(A447&amp;"|"&amp;IF(K447=M447,1,K447+1),Values!$L$3:$L$502,0)))</f>
        <v/>
      </c>
    </row>
    <row r="448">
      <c r="H448">
        <f>IF(A448="","",IFERROR(INDEX(Attributes!$F$3:$F$52,MATCH(A448,Attributes!$A$3:$A$52,0))&amp;"","Unknown attribute"))</f>
        <v/>
      </c>
      <c r="I448">
        <f>IF(OR(A448="",B448=""),"",IF(AND(H448="Yes",D448&lt;&gt;"No"),"Yes","No"))</f>
        <v/>
      </c>
      <c r="J448">
        <f>IF(I448="Yes",COUNTIF($I$3:I448,"Yes"),"")</f>
        <v/>
      </c>
      <c r="K448">
        <f>IF(I448&lt;&gt;"Yes","",COUNTIFS($A$3:A448,SUBSTITUTE(SUBSTITUTE(A448,"?","~?"),"*","~*"),$I$3:I448,"Yes"))</f>
        <v/>
      </c>
      <c r="L448">
        <f>IF(K448="","",A448&amp;"|"&amp;K448)</f>
        <v/>
      </c>
      <c r="M448">
        <f>IF(I448&lt;&gt;"Yes","",COUNTIFS(Values!$A$3:$A$502,SUBSTITUTE(SUBSTITUTE(A448,"?","~?"),"*","~*"),Values!$I$3:$I$502,"Yes"))</f>
        <v/>
      </c>
      <c r="N448">
        <f>IF(I448&lt;&gt;"Yes","",IF(M448&lt;2,"",INDEX(Values!$B$3:$B$502,MATCH(A448&amp;"|"&amp;IF(K448=M448,1,K448+1),Values!$L$3:$L$502,0))))</f>
        <v/>
      </c>
      <c r="O448">
        <f>IF(N448="","",INDEX(Values!$J$3:$J$502,MATCH(A448&amp;"|"&amp;IF(K448=M448,1,K448+1),Values!$L$3:$L$502,0)))</f>
        <v/>
      </c>
    </row>
    <row r="449">
      <c r="H449">
        <f>IF(A449="","",IFERROR(INDEX(Attributes!$F$3:$F$52,MATCH(A449,Attributes!$A$3:$A$52,0))&amp;"","Unknown attribute"))</f>
        <v/>
      </c>
      <c r="I449">
        <f>IF(OR(A449="",B449=""),"",IF(AND(H449="Yes",D449&lt;&gt;"No"),"Yes","No"))</f>
        <v/>
      </c>
      <c r="J449">
        <f>IF(I449="Yes",COUNTIF($I$3:I449,"Yes"),"")</f>
        <v/>
      </c>
      <c r="K449">
        <f>IF(I449&lt;&gt;"Yes","",COUNTIFS($A$3:A449,SUBSTITUTE(SUBSTITUTE(A449,"?","~?"),"*","~*"),$I$3:I449,"Yes"))</f>
        <v/>
      </c>
      <c r="L449">
        <f>IF(K449="","",A449&amp;"|"&amp;K449)</f>
        <v/>
      </c>
      <c r="M449">
        <f>IF(I449&lt;&gt;"Yes","",COUNTIFS(Values!$A$3:$A$502,SUBSTITUTE(SUBSTITUTE(A449,"?","~?"),"*","~*"),Values!$I$3:$I$502,"Yes"))</f>
        <v/>
      </c>
      <c r="N449">
        <f>IF(I449&lt;&gt;"Yes","",IF(M449&lt;2,"",INDEX(Values!$B$3:$B$502,MATCH(A449&amp;"|"&amp;IF(K449=M449,1,K449+1),Values!$L$3:$L$502,0))))</f>
        <v/>
      </c>
      <c r="O449">
        <f>IF(N449="","",INDEX(Values!$J$3:$J$502,MATCH(A449&amp;"|"&amp;IF(K449=M449,1,K449+1),Values!$L$3:$L$502,0)))</f>
        <v/>
      </c>
    </row>
    <row r="450">
      <c r="H450">
        <f>IF(A450="","",IFERROR(INDEX(Attributes!$F$3:$F$52,MATCH(A450,Attributes!$A$3:$A$52,0))&amp;"","Unknown attribute"))</f>
        <v/>
      </c>
      <c r="I450">
        <f>IF(OR(A450="",B450=""),"",IF(AND(H450="Yes",D450&lt;&gt;"No"),"Yes","No"))</f>
        <v/>
      </c>
      <c r="J450">
        <f>IF(I450="Yes",COUNTIF($I$3:I450,"Yes"),"")</f>
        <v/>
      </c>
      <c r="K450">
        <f>IF(I450&lt;&gt;"Yes","",COUNTIFS($A$3:A450,SUBSTITUTE(SUBSTITUTE(A450,"?","~?"),"*","~*"),$I$3:I450,"Yes"))</f>
        <v/>
      </c>
      <c r="L450">
        <f>IF(K450="","",A450&amp;"|"&amp;K450)</f>
        <v/>
      </c>
      <c r="M450">
        <f>IF(I450&lt;&gt;"Yes","",COUNTIFS(Values!$A$3:$A$502,SUBSTITUTE(SUBSTITUTE(A450,"?","~?"),"*","~*"),Values!$I$3:$I$502,"Yes"))</f>
        <v/>
      </c>
      <c r="N450">
        <f>IF(I450&lt;&gt;"Yes","",IF(M450&lt;2,"",INDEX(Values!$B$3:$B$502,MATCH(A450&amp;"|"&amp;IF(K450=M450,1,K450+1),Values!$L$3:$L$502,0))))</f>
        <v/>
      </c>
      <c r="O450">
        <f>IF(N450="","",INDEX(Values!$J$3:$J$502,MATCH(A450&amp;"|"&amp;IF(K450=M450,1,K450+1),Values!$L$3:$L$502,0)))</f>
        <v/>
      </c>
    </row>
    <row r="451">
      <c r="H451">
        <f>IF(A451="","",IFERROR(INDEX(Attributes!$F$3:$F$52,MATCH(A451,Attributes!$A$3:$A$52,0))&amp;"","Unknown attribute"))</f>
        <v/>
      </c>
      <c r="I451">
        <f>IF(OR(A451="",B451=""),"",IF(AND(H451="Yes",D451&lt;&gt;"No"),"Yes","No"))</f>
        <v/>
      </c>
      <c r="J451">
        <f>IF(I451="Yes",COUNTIF($I$3:I451,"Yes"),"")</f>
        <v/>
      </c>
      <c r="K451">
        <f>IF(I451&lt;&gt;"Yes","",COUNTIFS($A$3:A451,SUBSTITUTE(SUBSTITUTE(A451,"?","~?"),"*","~*"),$I$3:I451,"Yes"))</f>
        <v/>
      </c>
      <c r="L451">
        <f>IF(K451="","",A451&amp;"|"&amp;K451)</f>
        <v/>
      </c>
      <c r="M451">
        <f>IF(I451&lt;&gt;"Yes","",COUNTIFS(Values!$A$3:$A$502,SUBSTITUTE(SUBSTITUTE(A451,"?","~?"),"*","~*"),Values!$I$3:$I$502,"Yes"))</f>
        <v/>
      </c>
      <c r="N451">
        <f>IF(I451&lt;&gt;"Yes","",IF(M451&lt;2,"",INDEX(Values!$B$3:$B$502,MATCH(A451&amp;"|"&amp;IF(K451=M451,1,K451+1),Values!$L$3:$L$502,0))))</f>
        <v/>
      </c>
      <c r="O451">
        <f>IF(N451="","",INDEX(Values!$J$3:$J$502,MATCH(A451&amp;"|"&amp;IF(K451=M451,1,K451+1),Values!$L$3:$L$502,0)))</f>
        <v/>
      </c>
    </row>
    <row r="452">
      <c r="H452">
        <f>IF(A452="","",IFERROR(INDEX(Attributes!$F$3:$F$52,MATCH(A452,Attributes!$A$3:$A$52,0))&amp;"","Unknown attribute"))</f>
        <v/>
      </c>
      <c r="I452">
        <f>IF(OR(A452="",B452=""),"",IF(AND(H452="Yes",D452&lt;&gt;"No"),"Yes","No"))</f>
        <v/>
      </c>
      <c r="J452">
        <f>IF(I452="Yes",COUNTIF($I$3:I452,"Yes"),"")</f>
        <v/>
      </c>
      <c r="K452">
        <f>IF(I452&lt;&gt;"Yes","",COUNTIFS($A$3:A452,SUBSTITUTE(SUBSTITUTE(A452,"?","~?"),"*","~*"),$I$3:I452,"Yes"))</f>
        <v/>
      </c>
      <c r="L452">
        <f>IF(K452="","",A452&amp;"|"&amp;K452)</f>
        <v/>
      </c>
      <c r="M452">
        <f>IF(I452&lt;&gt;"Yes","",COUNTIFS(Values!$A$3:$A$502,SUBSTITUTE(SUBSTITUTE(A452,"?","~?"),"*","~*"),Values!$I$3:$I$502,"Yes"))</f>
        <v/>
      </c>
      <c r="N452">
        <f>IF(I452&lt;&gt;"Yes","",IF(M452&lt;2,"",INDEX(Values!$B$3:$B$502,MATCH(A452&amp;"|"&amp;IF(K452=M452,1,K452+1),Values!$L$3:$L$502,0))))</f>
        <v/>
      </c>
      <c r="O452">
        <f>IF(N452="","",INDEX(Values!$J$3:$J$502,MATCH(A452&amp;"|"&amp;IF(K452=M452,1,K452+1),Values!$L$3:$L$502,0)))</f>
        <v/>
      </c>
    </row>
    <row r="453">
      <c r="H453">
        <f>IF(A453="","",IFERROR(INDEX(Attributes!$F$3:$F$52,MATCH(A453,Attributes!$A$3:$A$52,0))&amp;"","Unknown attribute"))</f>
        <v/>
      </c>
      <c r="I453">
        <f>IF(OR(A453="",B453=""),"",IF(AND(H453="Yes",D453&lt;&gt;"No"),"Yes","No"))</f>
        <v/>
      </c>
      <c r="J453">
        <f>IF(I453="Yes",COUNTIF($I$3:I453,"Yes"),"")</f>
        <v/>
      </c>
      <c r="K453">
        <f>IF(I453&lt;&gt;"Yes","",COUNTIFS($A$3:A453,SUBSTITUTE(SUBSTITUTE(A453,"?","~?"),"*","~*"),$I$3:I453,"Yes"))</f>
        <v/>
      </c>
      <c r="L453">
        <f>IF(K453="","",A453&amp;"|"&amp;K453)</f>
        <v/>
      </c>
      <c r="M453">
        <f>IF(I453&lt;&gt;"Yes","",COUNTIFS(Values!$A$3:$A$502,SUBSTITUTE(SUBSTITUTE(A453,"?","~?"),"*","~*"),Values!$I$3:$I$502,"Yes"))</f>
        <v/>
      </c>
      <c r="N453">
        <f>IF(I453&lt;&gt;"Yes","",IF(M453&lt;2,"",INDEX(Values!$B$3:$B$502,MATCH(A453&amp;"|"&amp;IF(K453=M453,1,K453+1),Values!$L$3:$L$502,0))))</f>
        <v/>
      </c>
      <c r="O453">
        <f>IF(N453="","",INDEX(Values!$J$3:$J$502,MATCH(A453&amp;"|"&amp;IF(K453=M453,1,K453+1),Values!$L$3:$L$502,0)))</f>
        <v/>
      </c>
    </row>
    <row r="454">
      <c r="H454">
        <f>IF(A454="","",IFERROR(INDEX(Attributes!$F$3:$F$52,MATCH(A454,Attributes!$A$3:$A$52,0))&amp;"","Unknown attribute"))</f>
        <v/>
      </c>
      <c r="I454">
        <f>IF(OR(A454="",B454=""),"",IF(AND(H454="Yes",D454&lt;&gt;"No"),"Yes","No"))</f>
        <v/>
      </c>
      <c r="J454">
        <f>IF(I454="Yes",COUNTIF($I$3:I454,"Yes"),"")</f>
        <v/>
      </c>
      <c r="K454">
        <f>IF(I454&lt;&gt;"Yes","",COUNTIFS($A$3:A454,SUBSTITUTE(SUBSTITUTE(A454,"?","~?"),"*","~*"),$I$3:I454,"Yes"))</f>
        <v/>
      </c>
      <c r="L454">
        <f>IF(K454="","",A454&amp;"|"&amp;K454)</f>
        <v/>
      </c>
      <c r="M454">
        <f>IF(I454&lt;&gt;"Yes","",COUNTIFS(Values!$A$3:$A$502,SUBSTITUTE(SUBSTITUTE(A454,"?","~?"),"*","~*"),Values!$I$3:$I$502,"Yes"))</f>
        <v/>
      </c>
      <c r="N454">
        <f>IF(I454&lt;&gt;"Yes","",IF(M454&lt;2,"",INDEX(Values!$B$3:$B$502,MATCH(A454&amp;"|"&amp;IF(K454=M454,1,K454+1),Values!$L$3:$L$502,0))))</f>
        <v/>
      </c>
      <c r="O454">
        <f>IF(N454="","",INDEX(Values!$J$3:$J$502,MATCH(A454&amp;"|"&amp;IF(K454=M454,1,K454+1),Values!$L$3:$L$502,0)))</f>
        <v/>
      </c>
    </row>
    <row r="455">
      <c r="H455">
        <f>IF(A455="","",IFERROR(INDEX(Attributes!$F$3:$F$52,MATCH(A455,Attributes!$A$3:$A$52,0))&amp;"","Unknown attribute"))</f>
        <v/>
      </c>
      <c r="I455">
        <f>IF(OR(A455="",B455=""),"",IF(AND(H455="Yes",D455&lt;&gt;"No"),"Yes","No"))</f>
        <v/>
      </c>
      <c r="J455">
        <f>IF(I455="Yes",COUNTIF($I$3:I455,"Yes"),"")</f>
        <v/>
      </c>
      <c r="K455">
        <f>IF(I455&lt;&gt;"Yes","",COUNTIFS($A$3:A455,SUBSTITUTE(SUBSTITUTE(A455,"?","~?"),"*","~*"),$I$3:I455,"Yes"))</f>
        <v/>
      </c>
      <c r="L455">
        <f>IF(K455="","",A455&amp;"|"&amp;K455)</f>
        <v/>
      </c>
      <c r="M455">
        <f>IF(I455&lt;&gt;"Yes","",COUNTIFS(Values!$A$3:$A$502,SUBSTITUTE(SUBSTITUTE(A455,"?","~?"),"*","~*"),Values!$I$3:$I$502,"Yes"))</f>
        <v/>
      </c>
      <c r="N455">
        <f>IF(I455&lt;&gt;"Yes","",IF(M455&lt;2,"",INDEX(Values!$B$3:$B$502,MATCH(A455&amp;"|"&amp;IF(K455=M455,1,K455+1),Values!$L$3:$L$502,0))))</f>
        <v/>
      </c>
      <c r="O455">
        <f>IF(N455="","",INDEX(Values!$J$3:$J$502,MATCH(A455&amp;"|"&amp;IF(K455=M455,1,K455+1),Values!$L$3:$L$502,0)))</f>
        <v/>
      </c>
    </row>
    <row r="456">
      <c r="H456">
        <f>IF(A456="","",IFERROR(INDEX(Attributes!$F$3:$F$52,MATCH(A456,Attributes!$A$3:$A$52,0))&amp;"","Unknown attribute"))</f>
        <v/>
      </c>
      <c r="I456">
        <f>IF(OR(A456="",B456=""),"",IF(AND(H456="Yes",D456&lt;&gt;"No"),"Yes","No"))</f>
        <v/>
      </c>
      <c r="J456">
        <f>IF(I456="Yes",COUNTIF($I$3:I456,"Yes"),"")</f>
        <v/>
      </c>
      <c r="K456">
        <f>IF(I456&lt;&gt;"Yes","",COUNTIFS($A$3:A456,SUBSTITUTE(SUBSTITUTE(A456,"?","~?"),"*","~*"),$I$3:I456,"Yes"))</f>
        <v/>
      </c>
      <c r="L456">
        <f>IF(K456="","",A456&amp;"|"&amp;K456)</f>
        <v/>
      </c>
      <c r="M456">
        <f>IF(I456&lt;&gt;"Yes","",COUNTIFS(Values!$A$3:$A$502,SUBSTITUTE(SUBSTITUTE(A456,"?","~?"),"*","~*"),Values!$I$3:$I$502,"Yes"))</f>
        <v/>
      </c>
      <c r="N456">
        <f>IF(I456&lt;&gt;"Yes","",IF(M456&lt;2,"",INDEX(Values!$B$3:$B$502,MATCH(A456&amp;"|"&amp;IF(K456=M456,1,K456+1),Values!$L$3:$L$502,0))))</f>
        <v/>
      </c>
      <c r="O456">
        <f>IF(N456="","",INDEX(Values!$J$3:$J$502,MATCH(A456&amp;"|"&amp;IF(K456=M456,1,K456+1),Values!$L$3:$L$502,0)))</f>
        <v/>
      </c>
    </row>
    <row r="457">
      <c r="H457">
        <f>IF(A457="","",IFERROR(INDEX(Attributes!$F$3:$F$52,MATCH(A457,Attributes!$A$3:$A$52,0))&amp;"","Unknown attribute"))</f>
        <v/>
      </c>
      <c r="I457">
        <f>IF(OR(A457="",B457=""),"",IF(AND(H457="Yes",D457&lt;&gt;"No"),"Yes","No"))</f>
        <v/>
      </c>
      <c r="J457">
        <f>IF(I457="Yes",COUNTIF($I$3:I457,"Yes"),"")</f>
        <v/>
      </c>
      <c r="K457">
        <f>IF(I457&lt;&gt;"Yes","",COUNTIFS($A$3:A457,SUBSTITUTE(SUBSTITUTE(A457,"?","~?"),"*","~*"),$I$3:I457,"Yes"))</f>
        <v/>
      </c>
      <c r="L457">
        <f>IF(K457="","",A457&amp;"|"&amp;K457)</f>
        <v/>
      </c>
      <c r="M457">
        <f>IF(I457&lt;&gt;"Yes","",COUNTIFS(Values!$A$3:$A$502,SUBSTITUTE(SUBSTITUTE(A457,"?","~?"),"*","~*"),Values!$I$3:$I$502,"Yes"))</f>
        <v/>
      </c>
      <c r="N457">
        <f>IF(I457&lt;&gt;"Yes","",IF(M457&lt;2,"",INDEX(Values!$B$3:$B$502,MATCH(A457&amp;"|"&amp;IF(K457=M457,1,K457+1),Values!$L$3:$L$502,0))))</f>
        <v/>
      </c>
      <c r="O457">
        <f>IF(N457="","",INDEX(Values!$J$3:$J$502,MATCH(A457&amp;"|"&amp;IF(K457=M457,1,K457+1),Values!$L$3:$L$502,0)))</f>
        <v/>
      </c>
    </row>
    <row r="458">
      <c r="H458">
        <f>IF(A458="","",IFERROR(INDEX(Attributes!$F$3:$F$52,MATCH(A458,Attributes!$A$3:$A$52,0))&amp;"","Unknown attribute"))</f>
        <v/>
      </c>
      <c r="I458">
        <f>IF(OR(A458="",B458=""),"",IF(AND(H458="Yes",D458&lt;&gt;"No"),"Yes","No"))</f>
        <v/>
      </c>
      <c r="J458">
        <f>IF(I458="Yes",COUNTIF($I$3:I458,"Yes"),"")</f>
        <v/>
      </c>
      <c r="K458">
        <f>IF(I458&lt;&gt;"Yes","",COUNTIFS($A$3:A458,SUBSTITUTE(SUBSTITUTE(A458,"?","~?"),"*","~*"),$I$3:I458,"Yes"))</f>
        <v/>
      </c>
      <c r="L458">
        <f>IF(K458="","",A458&amp;"|"&amp;K458)</f>
        <v/>
      </c>
      <c r="M458">
        <f>IF(I458&lt;&gt;"Yes","",COUNTIFS(Values!$A$3:$A$502,SUBSTITUTE(SUBSTITUTE(A458,"?","~?"),"*","~*"),Values!$I$3:$I$502,"Yes"))</f>
        <v/>
      </c>
      <c r="N458">
        <f>IF(I458&lt;&gt;"Yes","",IF(M458&lt;2,"",INDEX(Values!$B$3:$B$502,MATCH(A458&amp;"|"&amp;IF(K458=M458,1,K458+1),Values!$L$3:$L$502,0))))</f>
        <v/>
      </c>
      <c r="O458">
        <f>IF(N458="","",INDEX(Values!$J$3:$J$502,MATCH(A458&amp;"|"&amp;IF(K458=M458,1,K458+1),Values!$L$3:$L$502,0)))</f>
        <v/>
      </c>
    </row>
    <row r="459">
      <c r="H459">
        <f>IF(A459="","",IFERROR(INDEX(Attributes!$F$3:$F$52,MATCH(A459,Attributes!$A$3:$A$52,0))&amp;"","Unknown attribute"))</f>
        <v/>
      </c>
      <c r="I459">
        <f>IF(OR(A459="",B459=""),"",IF(AND(H459="Yes",D459&lt;&gt;"No"),"Yes","No"))</f>
        <v/>
      </c>
      <c r="J459">
        <f>IF(I459="Yes",COUNTIF($I$3:I459,"Yes"),"")</f>
        <v/>
      </c>
      <c r="K459">
        <f>IF(I459&lt;&gt;"Yes","",COUNTIFS($A$3:A459,SUBSTITUTE(SUBSTITUTE(A459,"?","~?"),"*","~*"),$I$3:I459,"Yes"))</f>
        <v/>
      </c>
      <c r="L459">
        <f>IF(K459="","",A459&amp;"|"&amp;K459)</f>
        <v/>
      </c>
      <c r="M459">
        <f>IF(I459&lt;&gt;"Yes","",COUNTIFS(Values!$A$3:$A$502,SUBSTITUTE(SUBSTITUTE(A459,"?","~?"),"*","~*"),Values!$I$3:$I$502,"Yes"))</f>
        <v/>
      </c>
      <c r="N459">
        <f>IF(I459&lt;&gt;"Yes","",IF(M459&lt;2,"",INDEX(Values!$B$3:$B$502,MATCH(A459&amp;"|"&amp;IF(K459=M459,1,K459+1),Values!$L$3:$L$502,0))))</f>
        <v/>
      </c>
      <c r="O459">
        <f>IF(N459="","",INDEX(Values!$J$3:$J$502,MATCH(A459&amp;"|"&amp;IF(K459=M459,1,K459+1),Values!$L$3:$L$502,0)))</f>
        <v/>
      </c>
    </row>
    <row r="460">
      <c r="H460">
        <f>IF(A460="","",IFERROR(INDEX(Attributes!$F$3:$F$52,MATCH(A460,Attributes!$A$3:$A$52,0))&amp;"","Unknown attribute"))</f>
        <v/>
      </c>
      <c r="I460">
        <f>IF(OR(A460="",B460=""),"",IF(AND(H460="Yes",D460&lt;&gt;"No"),"Yes","No"))</f>
        <v/>
      </c>
      <c r="J460">
        <f>IF(I460="Yes",COUNTIF($I$3:I460,"Yes"),"")</f>
        <v/>
      </c>
      <c r="K460">
        <f>IF(I460&lt;&gt;"Yes","",COUNTIFS($A$3:A460,SUBSTITUTE(SUBSTITUTE(A460,"?","~?"),"*","~*"),$I$3:I460,"Yes"))</f>
        <v/>
      </c>
      <c r="L460">
        <f>IF(K460="","",A460&amp;"|"&amp;K460)</f>
        <v/>
      </c>
      <c r="M460">
        <f>IF(I460&lt;&gt;"Yes","",COUNTIFS(Values!$A$3:$A$502,SUBSTITUTE(SUBSTITUTE(A460,"?","~?"),"*","~*"),Values!$I$3:$I$502,"Yes"))</f>
        <v/>
      </c>
      <c r="N460">
        <f>IF(I460&lt;&gt;"Yes","",IF(M460&lt;2,"",INDEX(Values!$B$3:$B$502,MATCH(A460&amp;"|"&amp;IF(K460=M460,1,K460+1),Values!$L$3:$L$502,0))))</f>
        <v/>
      </c>
      <c r="O460">
        <f>IF(N460="","",INDEX(Values!$J$3:$J$502,MATCH(A460&amp;"|"&amp;IF(K460=M460,1,K460+1),Values!$L$3:$L$502,0)))</f>
        <v/>
      </c>
    </row>
    <row r="461">
      <c r="H461">
        <f>IF(A461="","",IFERROR(INDEX(Attributes!$F$3:$F$52,MATCH(A461,Attributes!$A$3:$A$52,0))&amp;"","Unknown attribute"))</f>
        <v/>
      </c>
      <c r="I461">
        <f>IF(OR(A461="",B461=""),"",IF(AND(H461="Yes",D461&lt;&gt;"No"),"Yes","No"))</f>
        <v/>
      </c>
      <c r="J461">
        <f>IF(I461="Yes",COUNTIF($I$3:I461,"Yes"),"")</f>
        <v/>
      </c>
      <c r="K461">
        <f>IF(I461&lt;&gt;"Yes","",COUNTIFS($A$3:A461,SUBSTITUTE(SUBSTITUTE(A461,"?","~?"),"*","~*"),$I$3:I461,"Yes"))</f>
        <v/>
      </c>
      <c r="L461">
        <f>IF(K461="","",A461&amp;"|"&amp;K461)</f>
        <v/>
      </c>
      <c r="M461">
        <f>IF(I461&lt;&gt;"Yes","",COUNTIFS(Values!$A$3:$A$502,SUBSTITUTE(SUBSTITUTE(A461,"?","~?"),"*","~*"),Values!$I$3:$I$502,"Yes"))</f>
        <v/>
      </c>
      <c r="N461">
        <f>IF(I461&lt;&gt;"Yes","",IF(M461&lt;2,"",INDEX(Values!$B$3:$B$502,MATCH(A461&amp;"|"&amp;IF(K461=M461,1,K461+1),Values!$L$3:$L$502,0))))</f>
        <v/>
      </c>
      <c r="O461">
        <f>IF(N461="","",INDEX(Values!$J$3:$J$502,MATCH(A461&amp;"|"&amp;IF(K461=M461,1,K461+1),Values!$L$3:$L$502,0)))</f>
        <v/>
      </c>
    </row>
    <row r="462">
      <c r="H462">
        <f>IF(A462="","",IFERROR(INDEX(Attributes!$F$3:$F$52,MATCH(A462,Attributes!$A$3:$A$52,0))&amp;"","Unknown attribute"))</f>
        <v/>
      </c>
      <c r="I462">
        <f>IF(OR(A462="",B462=""),"",IF(AND(H462="Yes",D462&lt;&gt;"No"),"Yes","No"))</f>
        <v/>
      </c>
      <c r="J462">
        <f>IF(I462="Yes",COUNTIF($I$3:I462,"Yes"),"")</f>
        <v/>
      </c>
      <c r="K462">
        <f>IF(I462&lt;&gt;"Yes","",COUNTIFS($A$3:A462,SUBSTITUTE(SUBSTITUTE(A462,"?","~?"),"*","~*"),$I$3:I462,"Yes"))</f>
        <v/>
      </c>
      <c r="L462">
        <f>IF(K462="","",A462&amp;"|"&amp;K462)</f>
        <v/>
      </c>
      <c r="M462">
        <f>IF(I462&lt;&gt;"Yes","",COUNTIFS(Values!$A$3:$A$502,SUBSTITUTE(SUBSTITUTE(A462,"?","~?"),"*","~*"),Values!$I$3:$I$502,"Yes"))</f>
        <v/>
      </c>
      <c r="N462">
        <f>IF(I462&lt;&gt;"Yes","",IF(M462&lt;2,"",INDEX(Values!$B$3:$B$502,MATCH(A462&amp;"|"&amp;IF(K462=M462,1,K462+1),Values!$L$3:$L$502,0))))</f>
        <v/>
      </c>
      <c r="O462">
        <f>IF(N462="","",INDEX(Values!$J$3:$J$502,MATCH(A462&amp;"|"&amp;IF(K462=M462,1,K462+1),Values!$L$3:$L$502,0)))</f>
        <v/>
      </c>
    </row>
    <row r="463">
      <c r="H463">
        <f>IF(A463="","",IFERROR(INDEX(Attributes!$F$3:$F$52,MATCH(A463,Attributes!$A$3:$A$52,0))&amp;"","Unknown attribute"))</f>
        <v/>
      </c>
      <c r="I463">
        <f>IF(OR(A463="",B463=""),"",IF(AND(H463="Yes",D463&lt;&gt;"No"),"Yes","No"))</f>
        <v/>
      </c>
      <c r="J463">
        <f>IF(I463="Yes",COUNTIF($I$3:I463,"Yes"),"")</f>
        <v/>
      </c>
      <c r="K463">
        <f>IF(I463&lt;&gt;"Yes","",COUNTIFS($A$3:A463,SUBSTITUTE(SUBSTITUTE(A463,"?","~?"),"*","~*"),$I$3:I463,"Yes"))</f>
        <v/>
      </c>
      <c r="L463">
        <f>IF(K463="","",A463&amp;"|"&amp;K463)</f>
        <v/>
      </c>
      <c r="M463">
        <f>IF(I463&lt;&gt;"Yes","",COUNTIFS(Values!$A$3:$A$502,SUBSTITUTE(SUBSTITUTE(A463,"?","~?"),"*","~*"),Values!$I$3:$I$502,"Yes"))</f>
        <v/>
      </c>
      <c r="N463">
        <f>IF(I463&lt;&gt;"Yes","",IF(M463&lt;2,"",INDEX(Values!$B$3:$B$502,MATCH(A463&amp;"|"&amp;IF(K463=M463,1,K463+1),Values!$L$3:$L$502,0))))</f>
        <v/>
      </c>
      <c r="O463">
        <f>IF(N463="","",INDEX(Values!$J$3:$J$502,MATCH(A463&amp;"|"&amp;IF(K463=M463,1,K463+1),Values!$L$3:$L$502,0)))</f>
        <v/>
      </c>
    </row>
    <row r="464">
      <c r="H464">
        <f>IF(A464="","",IFERROR(INDEX(Attributes!$F$3:$F$52,MATCH(A464,Attributes!$A$3:$A$52,0))&amp;"","Unknown attribute"))</f>
        <v/>
      </c>
      <c r="I464">
        <f>IF(OR(A464="",B464=""),"",IF(AND(H464="Yes",D464&lt;&gt;"No"),"Yes","No"))</f>
        <v/>
      </c>
      <c r="J464">
        <f>IF(I464="Yes",COUNTIF($I$3:I464,"Yes"),"")</f>
        <v/>
      </c>
      <c r="K464">
        <f>IF(I464&lt;&gt;"Yes","",COUNTIFS($A$3:A464,SUBSTITUTE(SUBSTITUTE(A464,"?","~?"),"*","~*"),$I$3:I464,"Yes"))</f>
        <v/>
      </c>
      <c r="L464">
        <f>IF(K464="","",A464&amp;"|"&amp;K464)</f>
        <v/>
      </c>
      <c r="M464">
        <f>IF(I464&lt;&gt;"Yes","",COUNTIFS(Values!$A$3:$A$502,SUBSTITUTE(SUBSTITUTE(A464,"?","~?"),"*","~*"),Values!$I$3:$I$502,"Yes"))</f>
        <v/>
      </c>
      <c r="N464">
        <f>IF(I464&lt;&gt;"Yes","",IF(M464&lt;2,"",INDEX(Values!$B$3:$B$502,MATCH(A464&amp;"|"&amp;IF(K464=M464,1,K464+1),Values!$L$3:$L$502,0))))</f>
        <v/>
      </c>
      <c r="O464">
        <f>IF(N464="","",INDEX(Values!$J$3:$J$502,MATCH(A464&amp;"|"&amp;IF(K464=M464,1,K464+1),Values!$L$3:$L$502,0)))</f>
        <v/>
      </c>
    </row>
    <row r="465">
      <c r="H465">
        <f>IF(A465="","",IFERROR(INDEX(Attributes!$F$3:$F$52,MATCH(A465,Attributes!$A$3:$A$52,0))&amp;"","Unknown attribute"))</f>
        <v/>
      </c>
      <c r="I465">
        <f>IF(OR(A465="",B465=""),"",IF(AND(H465="Yes",D465&lt;&gt;"No"),"Yes","No"))</f>
        <v/>
      </c>
      <c r="J465">
        <f>IF(I465="Yes",COUNTIF($I$3:I465,"Yes"),"")</f>
        <v/>
      </c>
      <c r="K465">
        <f>IF(I465&lt;&gt;"Yes","",COUNTIFS($A$3:A465,SUBSTITUTE(SUBSTITUTE(A465,"?","~?"),"*","~*"),$I$3:I465,"Yes"))</f>
        <v/>
      </c>
      <c r="L465">
        <f>IF(K465="","",A465&amp;"|"&amp;K465)</f>
        <v/>
      </c>
      <c r="M465">
        <f>IF(I465&lt;&gt;"Yes","",COUNTIFS(Values!$A$3:$A$502,SUBSTITUTE(SUBSTITUTE(A465,"?","~?"),"*","~*"),Values!$I$3:$I$502,"Yes"))</f>
        <v/>
      </c>
      <c r="N465">
        <f>IF(I465&lt;&gt;"Yes","",IF(M465&lt;2,"",INDEX(Values!$B$3:$B$502,MATCH(A465&amp;"|"&amp;IF(K465=M465,1,K465+1),Values!$L$3:$L$502,0))))</f>
        <v/>
      </c>
      <c r="O465">
        <f>IF(N465="","",INDEX(Values!$J$3:$J$502,MATCH(A465&amp;"|"&amp;IF(K465=M465,1,K465+1),Values!$L$3:$L$502,0)))</f>
        <v/>
      </c>
    </row>
    <row r="466">
      <c r="H466">
        <f>IF(A466="","",IFERROR(INDEX(Attributes!$F$3:$F$52,MATCH(A466,Attributes!$A$3:$A$52,0))&amp;"","Unknown attribute"))</f>
        <v/>
      </c>
      <c r="I466">
        <f>IF(OR(A466="",B466=""),"",IF(AND(H466="Yes",D466&lt;&gt;"No"),"Yes","No"))</f>
        <v/>
      </c>
      <c r="J466">
        <f>IF(I466="Yes",COUNTIF($I$3:I466,"Yes"),"")</f>
        <v/>
      </c>
      <c r="K466">
        <f>IF(I466&lt;&gt;"Yes","",COUNTIFS($A$3:A466,SUBSTITUTE(SUBSTITUTE(A466,"?","~?"),"*","~*"),$I$3:I466,"Yes"))</f>
        <v/>
      </c>
      <c r="L466">
        <f>IF(K466="","",A466&amp;"|"&amp;K466)</f>
        <v/>
      </c>
      <c r="M466">
        <f>IF(I466&lt;&gt;"Yes","",COUNTIFS(Values!$A$3:$A$502,SUBSTITUTE(SUBSTITUTE(A466,"?","~?"),"*","~*"),Values!$I$3:$I$502,"Yes"))</f>
        <v/>
      </c>
      <c r="N466">
        <f>IF(I466&lt;&gt;"Yes","",IF(M466&lt;2,"",INDEX(Values!$B$3:$B$502,MATCH(A466&amp;"|"&amp;IF(K466=M466,1,K466+1),Values!$L$3:$L$502,0))))</f>
        <v/>
      </c>
      <c r="O466">
        <f>IF(N466="","",INDEX(Values!$J$3:$J$502,MATCH(A466&amp;"|"&amp;IF(K466=M466,1,K466+1),Values!$L$3:$L$502,0)))</f>
        <v/>
      </c>
    </row>
    <row r="467">
      <c r="H467">
        <f>IF(A467="","",IFERROR(INDEX(Attributes!$F$3:$F$52,MATCH(A467,Attributes!$A$3:$A$52,0))&amp;"","Unknown attribute"))</f>
        <v/>
      </c>
      <c r="I467">
        <f>IF(OR(A467="",B467=""),"",IF(AND(H467="Yes",D467&lt;&gt;"No"),"Yes","No"))</f>
        <v/>
      </c>
      <c r="J467">
        <f>IF(I467="Yes",COUNTIF($I$3:I467,"Yes"),"")</f>
        <v/>
      </c>
      <c r="K467">
        <f>IF(I467&lt;&gt;"Yes","",COUNTIFS($A$3:A467,SUBSTITUTE(SUBSTITUTE(A467,"?","~?"),"*","~*"),$I$3:I467,"Yes"))</f>
        <v/>
      </c>
      <c r="L467">
        <f>IF(K467="","",A467&amp;"|"&amp;K467)</f>
        <v/>
      </c>
      <c r="M467">
        <f>IF(I467&lt;&gt;"Yes","",COUNTIFS(Values!$A$3:$A$502,SUBSTITUTE(SUBSTITUTE(A467,"?","~?"),"*","~*"),Values!$I$3:$I$502,"Yes"))</f>
        <v/>
      </c>
      <c r="N467">
        <f>IF(I467&lt;&gt;"Yes","",IF(M467&lt;2,"",INDEX(Values!$B$3:$B$502,MATCH(A467&amp;"|"&amp;IF(K467=M467,1,K467+1),Values!$L$3:$L$502,0))))</f>
        <v/>
      </c>
      <c r="O467">
        <f>IF(N467="","",INDEX(Values!$J$3:$J$502,MATCH(A467&amp;"|"&amp;IF(K467=M467,1,K467+1),Values!$L$3:$L$502,0)))</f>
        <v/>
      </c>
    </row>
    <row r="468">
      <c r="H468">
        <f>IF(A468="","",IFERROR(INDEX(Attributes!$F$3:$F$52,MATCH(A468,Attributes!$A$3:$A$52,0))&amp;"","Unknown attribute"))</f>
        <v/>
      </c>
      <c r="I468">
        <f>IF(OR(A468="",B468=""),"",IF(AND(H468="Yes",D468&lt;&gt;"No"),"Yes","No"))</f>
        <v/>
      </c>
      <c r="J468">
        <f>IF(I468="Yes",COUNTIF($I$3:I468,"Yes"),"")</f>
        <v/>
      </c>
      <c r="K468">
        <f>IF(I468&lt;&gt;"Yes","",COUNTIFS($A$3:A468,SUBSTITUTE(SUBSTITUTE(A468,"?","~?"),"*","~*"),$I$3:I468,"Yes"))</f>
        <v/>
      </c>
      <c r="L468">
        <f>IF(K468="","",A468&amp;"|"&amp;K468)</f>
        <v/>
      </c>
      <c r="M468">
        <f>IF(I468&lt;&gt;"Yes","",COUNTIFS(Values!$A$3:$A$502,SUBSTITUTE(SUBSTITUTE(A468,"?","~?"),"*","~*"),Values!$I$3:$I$502,"Yes"))</f>
        <v/>
      </c>
      <c r="N468">
        <f>IF(I468&lt;&gt;"Yes","",IF(M468&lt;2,"",INDEX(Values!$B$3:$B$502,MATCH(A468&amp;"|"&amp;IF(K468=M468,1,K468+1),Values!$L$3:$L$502,0))))</f>
        <v/>
      </c>
      <c r="O468">
        <f>IF(N468="","",INDEX(Values!$J$3:$J$502,MATCH(A468&amp;"|"&amp;IF(K468=M468,1,K468+1),Values!$L$3:$L$502,0)))</f>
        <v/>
      </c>
    </row>
    <row r="469">
      <c r="H469">
        <f>IF(A469="","",IFERROR(INDEX(Attributes!$F$3:$F$52,MATCH(A469,Attributes!$A$3:$A$52,0))&amp;"","Unknown attribute"))</f>
        <v/>
      </c>
      <c r="I469">
        <f>IF(OR(A469="",B469=""),"",IF(AND(H469="Yes",D469&lt;&gt;"No"),"Yes","No"))</f>
        <v/>
      </c>
      <c r="J469">
        <f>IF(I469="Yes",COUNTIF($I$3:I469,"Yes"),"")</f>
        <v/>
      </c>
      <c r="K469">
        <f>IF(I469&lt;&gt;"Yes","",COUNTIFS($A$3:A469,SUBSTITUTE(SUBSTITUTE(A469,"?","~?"),"*","~*"),$I$3:I469,"Yes"))</f>
        <v/>
      </c>
      <c r="L469">
        <f>IF(K469="","",A469&amp;"|"&amp;K469)</f>
        <v/>
      </c>
      <c r="M469">
        <f>IF(I469&lt;&gt;"Yes","",COUNTIFS(Values!$A$3:$A$502,SUBSTITUTE(SUBSTITUTE(A469,"?","~?"),"*","~*"),Values!$I$3:$I$502,"Yes"))</f>
        <v/>
      </c>
      <c r="N469">
        <f>IF(I469&lt;&gt;"Yes","",IF(M469&lt;2,"",INDEX(Values!$B$3:$B$502,MATCH(A469&amp;"|"&amp;IF(K469=M469,1,K469+1),Values!$L$3:$L$502,0))))</f>
        <v/>
      </c>
      <c r="O469">
        <f>IF(N469="","",INDEX(Values!$J$3:$J$502,MATCH(A469&amp;"|"&amp;IF(K469=M469,1,K469+1),Values!$L$3:$L$502,0)))</f>
        <v/>
      </c>
    </row>
    <row r="470">
      <c r="H470">
        <f>IF(A470="","",IFERROR(INDEX(Attributes!$F$3:$F$52,MATCH(A470,Attributes!$A$3:$A$52,0))&amp;"","Unknown attribute"))</f>
        <v/>
      </c>
      <c r="I470">
        <f>IF(OR(A470="",B470=""),"",IF(AND(H470="Yes",D470&lt;&gt;"No"),"Yes","No"))</f>
        <v/>
      </c>
      <c r="J470">
        <f>IF(I470="Yes",COUNTIF($I$3:I470,"Yes"),"")</f>
        <v/>
      </c>
      <c r="K470">
        <f>IF(I470&lt;&gt;"Yes","",COUNTIFS($A$3:A470,SUBSTITUTE(SUBSTITUTE(A470,"?","~?"),"*","~*"),$I$3:I470,"Yes"))</f>
        <v/>
      </c>
      <c r="L470">
        <f>IF(K470="","",A470&amp;"|"&amp;K470)</f>
        <v/>
      </c>
      <c r="M470">
        <f>IF(I470&lt;&gt;"Yes","",COUNTIFS(Values!$A$3:$A$502,SUBSTITUTE(SUBSTITUTE(A470,"?","~?"),"*","~*"),Values!$I$3:$I$502,"Yes"))</f>
        <v/>
      </c>
      <c r="N470">
        <f>IF(I470&lt;&gt;"Yes","",IF(M470&lt;2,"",INDEX(Values!$B$3:$B$502,MATCH(A470&amp;"|"&amp;IF(K470=M470,1,K470+1),Values!$L$3:$L$502,0))))</f>
        <v/>
      </c>
      <c r="O470">
        <f>IF(N470="","",INDEX(Values!$J$3:$J$502,MATCH(A470&amp;"|"&amp;IF(K470=M470,1,K470+1),Values!$L$3:$L$502,0)))</f>
        <v/>
      </c>
    </row>
    <row r="471">
      <c r="H471">
        <f>IF(A471="","",IFERROR(INDEX(Attributes!$F$3:$F$52,MATCH(A471,Attributes!$A$3:$A$52,0))&amp;"","Unknown attribute"))</f>
        <v/>
      </c>
      <c r="I471">
        <f>IF(OR(A471="",B471=""),"",IF(AND(H471="Yes",D471&lt;&gt;"No"),"Yes","No"))</f>
        <v/>
      </c>
      <c r="J471">
        <f>IF(I471="Yes",COUNTIF($I$3:I471,"Yes"),"")</f>
        <v/>
      </c>
      <c r="K471">
        <f>IF(I471&lt;&gt;"Yes","",COUNTIFS($A$3:A471,SUBSTITUTE(SUBSTITUTE(A471,"?","~?"),"*","~*"),$I$3:I471,"Yes"))</f>
        <v/>
      </c>
      <c r="L471">
        <f>IF(K471="","",A471&amp;"|"&amp;K471)</f>
        <v/>
      </c>
      <c r="M471">
        <f>IF(I471&lt;&gt;"Yes","",COUNTIFS(Values!$A$3:$A$502,SUBSTITUTE(SUBSTITUTE(A471,"?","~?"),"*","~*"),Values!$I$3:$I$502,"Yes"))</f>
        <v/>
      </c>
      <c r="N471">
        <f>IF(I471&lt;&gt;"Yes","",IF(M471&lt;2,"",INDEX(Values!$B$3:$B$502,MATCH(A471&amp;"|"&amp;IF(K471=M471,1,K471+1),Values!$L$3:$L$502,0))))</f>
        <v/>
      </c>
      <c r="O471">
        <f>IF(N471="","",INDEX(Values!$J$3:$J$502,MATCH(A471&amp;"|"&amp;IF(K471=M471,1,K471+1),Values!$L$3:$L$502,0)))</f>
        <v/>
      </c>
    </row>
    <row r="472">
      <c r="H472">
        <f>IF(A472="","",IFERROR(INDEX(Attributes!$F$3:$F$52,MATCH(A472,Attributes!$A$3:$A$52,0))&amp;"","Unknown attribute"))</f>
        <v/>
      </c>
      <c r="I472">
        <f>IF(OR(A472="",B472=""),"",IF(AND(H472="Yes",D472&lt;&gt;"No"),"Yes","No"))</f>
        <v/>
      </c>
      <c r="J472">
        <f>IF(I472="Yes",COUNTIF($I$3:I472,"Yes"),"")</f>
        <v/>
      </c>
      <c r="K472">
        <f>IF(I472&lt;&gt;"Yes","",COUNTIFS($A$3:A472,SUBSTITUTE(SUBSTITUTE(A472,"?","~?"),"*","~*"),$I$3:I472,"Yes"))</f>
        <v/>
      </c>
      <c r="L472">
        <f>IF(K472="","",A472&amp;"|"&amp;K472)</f>
        <v/>
      </c>
      <c r="M472">
        <f>IF(I472&lt;&gt;"Yes","",COUNTIFS(Values!$A$3:$A$502,SUBSTITUTE(SUBSTITUTE(A472,"?","~?"),"*","~*"),Values!$I$3:$I$502,"Yes"))</f>
        <v/>
      </c>
      <c r="N472">
        <f>IF(I472&lt;&gt;"Yes","",IF(M472&lt;2,"",INDEX(Values!$B$3:$B$502,MATCH(A472&amp;"|"&amp;IF(K472=M472,1,K472+1),Values!$L$3:$L$502,0))))</f>
        <v/>
      </c>
      <c r="O472">
        <f>IF(N472="","",INDEX(Values!$J$3:$J$502,MATCH(A472&amp;"|"&amp;IF(K472=M472,1,K472+1),Values!$L$3:$L$502,0)))</f>
        <v/>
      </c>
    </row>
    <row r="473">
      <c r="H473">
        <f>IF(A473="","",IFERROR(INDEX(Attributes!$F$3:$F$52,MATCH(A473,Attributes!$A$3:$A$52,0))&amp;"","Unknown attribute"))</f>
        <v/>
      </c>
      <c r="I473">
        <f>IF(OR(A473="",B473=""),"",IF(AND(H473="Yes",D473&lt;&gt;"No"),"Yes","No"))</f>
        <v/>
      </c>
      <c r="J473">
        <f>IF(I473="Yes",COUNTIF($I$3:I473,"Yes"),"")</f>
        <v/>
      </c>
      <c r="K473">
        <f>IF(I473&lt;&gt;"Yes","",COUNTIFS($A$3:A473,SUBSTITUTE(SUBSTITUTE(A473,"?","~?"),"*","~*"),$I$3:I473,"Yes"))</f>
        <v/>
      </c>
      <c r="L473">
        <f>IF(K473="","",A473&amp;"|"&amp;K473)</f>
        <v/>
      </c>
      <c r="M473">
        <f>IF(I473&lt;&gt;"Yes","",COUNTIFS(Values!$A$3:$A$502,SUBSTITUTE(SUBSTITUTE(A473,"?","~?"),"*","~*"),Values!$I$3:$I$502,"Yes"))</f>
        <v/>
      </c>
      <c r="N473">
        <f>IF(I473&lt;&gt;"Yes","",IF(M473&lt;2,"",INDEX(Values!$B$3:$B$502,MATCH(A473&amp;"|"&amp;IF(K473=M473,1,K473+1),Values!$L$3:$L$502,0))))</f>
        <v/>
      </c>
      <c r="O473">
        <f>IF(N473="","",INDEX(Values!$J$3:$J$502,MATCH(A473&amp;"|"&amp;IF(K473=M473,1,K473+1),Values!$L$3:$L$502,0)))</f>
        <v/>
      </c>
    </row>
    <row r="474">
      <c r="H474">
        <f>IF(A474="","",IFERROR(INDEX(Attributes!$F$3:$F$52,MATCH(A474,Attributes!$A$3:$A$52,0))&amp;"","Unknown attribute"))</f>
        <v/>
      </c>
      <c r="I474">
        <f>IF(OR(A474="",B474=""),"",IF(AND(H474="Yes",D474&lt;&gt;"No"),"Yes","No"))</f>
        <v/>
      </c>
      <c r="J474">
        <f>IF(I474="Yes",COUNTIF($I$3:I474,"Yes"),"")</f>
        <v/>
      </c>
      <c r="K474">
        <f>IF(I474&lt;&gt;"Yes","",COUNTIFS($A$3:A474,SUBSTITUTE(SUBSTITUTE(A474,"?","~?"),"*","~*"),$I$3:I474,"Yes"))</f>
        <v/>
      </c>
      <c r="L474">
        <f>IF(K474="","",A474&amp;"|"&amp;K474)</f>
        <v/>
      </c>
      <c r="M474">
        <f>IF(I474&lt;&gt;"Yes","",COUNTIFS(Values!$A$3:$A$502,SUBSTITUTE(SUBSTITUTE(A474,"?","~?"),"*","~*"),Values!$I$3:$I$502,"Yes"))</f>
        <v/>
      </c>
      <c r="N474">
        <f>IF(I474&lt;&gt;"Yes","",IF(M474&lt;2,"",INDEX(Values!$B$3:$B$502,MATCH(A474&amp;"|"&amp;IF(K474=M474,1,K474+1),Values!$L$3:$L$502,0))))</f>
        <v/>
      </c>
      <c r="O474">
        <f>IF(N474="","",INDEX(Values!$J$3:$J$502,MATCH(A474&amp;"|"&amp;IF(K474=M474,1,K474+1),Values!$L$3:$L$502,0)))</f>
        <v/>
      </c>
    </row>
    <row r="475">
      <c r="H475">
        <f>IF(A475="","",IFERROR(INDEX(Attributes!$F$3:$F$52,MATCH(A475,Attributes!$A$3:$A$52,0))&amp;"","Unknown attribute"))</f>
        <v/>
      </c>
      <c r="I475">
        <f>IF(OR(A475="",B475=""),"",IF(AND(H475="Yes",D475&lt;&gt;"No"),"Yes","No"))</f>
        <v/>
      </c>
      <c r="J475">
        <f>IF(I475="Yes",COUNTIF($I$3:I475,"Yes"),"")</f>
        <v/>
      </c>
      <c r="K475">
        <f>IF(I475&lt;&gt;"Yes","",COUNTIFS($A$3:A475,SUBSTITUTE(SUBSTITUTE(A475,"?","~?"),"*","~*"),$I$3:I475,"Yes"))</f>
        <v/>
      </c>
      <c r="L475">
        <f>IF(K475="","",A475&amp;"|"&amp;K475)</f>
        <v/>
      </c>
      <c r="M475">
        <f>IF(I475&lt;&gt;"Yes","",COUNTIFS(Values!$A$3:$A$502,SUBSTITUTE(SUBSTITUTE(A475,"?","~?"),"*","~*"),Values!$I$3:$I$502,"Yes"))</f>
        <v/>
      </c>
      <c r="N475">
        <f>IF(I475&lt;&gt;"Yes","",IF(M475&lt;2,"",INDEX(Values!$B$3:$B$502,MATCH(A475&amp;"|"&amp;IF(K475=M475,1,K475+1),Values!$L$3:$L$502,0))))</f>
        <v/>
      </c>
      <c r="O475">
        <f>IF(N475="","",INDEX(Values!$J$3:$J$502,MATCH(A475&amp;"|"&amp;IF(K475=M475,1,K475+1),Values!$L$3:$L$502,0)))</f>
        <v/>
      </c>
    </row>
    <row r="476">
      <c r="H476">
        <f>IF(A476="","",IFERROR(INDEX(Attributes!$F$3:$F$52,MATCH(A476,Attributes!$A$3:$A$52,0))&amp;"","Unknown attribute"))</f>
        <v/>
      </c>
      <c r="I476">
        <f>IF(OR(A476="",B476=""),"",IF(AND(H476="Yes",D476&lt;&gt;"No"),"Yes","No"))</f>
        <v/>
      </c>
      <c r="J476">
        <f>IF(I476="Yes",COUNTIF($I$3:I476,"Yes"),"")</f>
        <v/>
      </c>
      <c r="K476">
        <f>IF(I476&lt;&gt;"Yes","",COUNTIFS($A$3:A476,SUBSTITUTE(SUBSTITUTE(A476,"?","~?"),"*","~*"),$I$3:I476,"Yes"))</f>
        <v/>
      </c>
      <c r="L476">
        <f>IF(K476="","",A476&amp;"|"&amp;K476)</f>
        <v/>
      </c>
      <c r="M476">
        <f>IF(I476&lt;&gt;"Yes","",COUNTIFS(Values!$A$3:$A$502,SUBSTITUTE(SUBSTITUTE(A476,"?","~?"),"*","~*"),Values!$I$3:$I$502,"Yes"))</f>
        <v/>
      </c>
      <c r="N476">
        <f>IF(I476&lt;&gt;"Yes","",IF(M476&lt;2,"",INDEX(Values!$B$3:$B$502,MATCH(A476&amp;"|"&amp;IF(K476=M476,1,K476+1),Values!$L$3:$L$502,0))))</f>
        <v/>
      </c>
      <c r="O476">
        <f>IF(N476="","",INDEX(Values!$J$3:$J$502,MATCH(A476&amp;"|"&amp;IF(K476=M476,1,K476+1),Values!$L$3:$L$502,0)))</f>
        <v/>
      </c>
    </row>
    <row r="477">
      <c r="H477">
        <f>IF(A477="","",IFERROR(INDEX(Attributes!$F$3:$F$52,MATCH(A477,Attributes!$A$3:$A$52,0))&amp;"","Unknown attribute"))</f>
        <v/>
      </c>
      <c r="I477">
        <f>IF(OR(A477="",B477=""),"",IF(AND(H477="Yes",D477&lt;&gt;"No"),"Yes","No"))</f>
        <v/>
      </c>
      <c r="J477">
        <f>IF(I477="Yes",COUNTIF($I$3:I477,"Yes"),"")</f>
        <v/>
      </c>
      <c r="K477">
        <f>IF(I477&lt;&gt;"Yes","",COUNTIFS($A$3:A477,SUBSTITUTE(SUBSTITUTE(A477,"?","~?"),"*","~*"),$I$3:I477,"Yes"))</f>
        <v/>
      </c>
      <c r="L477">
        <f>IF(K477="","",A477&amp;"|"&amp;K477)</f>
        <v/>
      </c>
      <c r="M477">
        <f>IF(I477&lt;&gt;"Yes","",COUNTIFS(Values!$A$3:$A$502,SUBSTITUTE(SUBSTITUTE(A477,"?","~?"),"*","~*"),Values!$I$3:$I$502,"Yes"))</f>
        <v/>
      </c>
      <c r="N477">
        <f>IF(I477&lt;&gt;"Yes","",IF(M477&lt;2,"",INDEX(Values!$B$3:$B$502,MATCH(A477&amp;"|"&amp;IF(K477=M477,1,K477+1),Values!$L$3:$L$502,0))))</f>
        <v/>
      </c>
      <c r="O477">
        <f>IF(N477="","",INDEX(Values!$J$3:$J$502,MATCH(A477&amp;"|"&amp;IF(K477=M477,1,K477+1),Values!$L$3:$L$502,0)))</f>
        <v/>
      </c>
    </row>
    <row r="478">
      <c r="H478">
        <f>IF(A478="","",IFERROR(INDEX(Attributes!$F$3:$F$52,MATCH(A478,Attributes!$A$3:$A$52,0))&amp;"","Unknown attribute"))</f>
        <v/>
      </c>
      <c r="I478">
        <f>IF(OR(A478="",B478=""),"",IF(AND(H478="Yes",D478&lt;&gt;"No"),"Yes","No"))</f>
        <v/>
      </c>
      <c r="J478">
        <f>IF(I478="Yes",COUNTIF($I$3:I478,"Yes"),"")</f>
        <v/>
      </c>
      <c r="K478">
        <f>IF(I478&lt;&gt;"Yes","",COUNTIFS($A$3:A478,SUBSTITUTE(SUBSTITUTE(A478,"?","~?"),"*","~*"),$I$3:I478,"Yes"))</f>
        <v/>
      </c>
      <c r="L478">
        <f>IF(K478="","",A478&amp;"|"&amp;K478)</f>
        <v/>
      </c>
      <c r="M478">
        <f>IF(I478&lt;&gt;"Yes","",COUNTIFS(Values!$A$3:$A$502,SUBSTITUTE(SUBSTITUTE(A478,"?","~?"),"*","~*"),Values!$I$3:$I$502,"Yes"))</f>
        <v/>
      </c>
      <c r="N478">
        <f>IF(I478&lt;&gt;"Yes","",IF(M478&lt;2,"",INDEX(Values!$B$3:$B$502,MATCH(A478&amp;"|"&amp;IF(K478=M478,1,K478+1),Values!$L$3:$L$502,0))))</f>
        <v/>
      </c>
      <c r="O478">
        <f>IF(N478="","",INDEX(Values!$J$3:$J$502,MATCH(A478&amp;"|"&amp;IF(K478=M478,1,K478+1),Values!$L$3:$L$502,0)))</f>
        <v/>
      </c>
    </row>
    <row r="479">
      <c r="H479">
        <f>IF(A479="","",IFERROR(INDEX(Attributes!$F$3:$F$52,MATCH(A479,Attributes!$A$3:$A$52,0))&amp;"","Unknown attribute"))</f>
        <v/>
      </c>
      <c r="I479">
        <f>IF(OR(A479="",B479=""),"",IF(AND(H479="Yes",D479&lt;&gt;"No"),"Yes","No"))</f>
        <v/>
      </c>
      <c r="J479">
        <f>IF(I479="Yes",COUNTIF($I$3:I479,"Yes"),"")</f>
        <v/>
      </c>
      <c r="K479">
        <f>IF(I479&lt;&gt;"Yes","",COUNTIFS($A$3:A479,SUBSTITUTE(SUBSTITUTE(A479,"?","~?"),"*","~*"),$I$3:I479,"Yes"))</f>
        <v/>
      </c>
      <c r="L479">
        <f>IF(K479="","",A479&amp;"|"&amp;K479)</f>
        <v/>
      </c>
      <c r="M479">
        <f>IF(I479&lt;&gt;"Yes","",COUNTIFS(Values!$A$3:$A$502,SUBSTITUTE(SUBSTITUTE(A479,"?","~?"),"*","~*"),Values!$I$3:$I$502,"Yes"))</f>
        <v/>
      </c>
      <c r="N479">
        <f>IF(I479&lt;&gt;"Yes","",IF(M479&lt;2,"",INDEX(Values!$B$3:$B$502,MATCH(A479&amp;"|"&amp;IF(K479=M479,1,K479+1),Values!$L$3:$L$502,0))))</f>
        <v/>
      </c>
      <c r="O479">
        <f>IF(N479="","",INDEX(Values!$J$3:$J$502,MATCH(A479&amp;"|"&amp;IF(K479=M479,1,K479+1),Values!$L$3:$L$502,0)))</f>
        <v/>
      </c>
    </row>
    <row r="480">
      <c r="H480">
        <f>IF(A480="","",IFERROR(INDEX(Attributes!$F$3:$F$52,MATCH(A480,Attributes!$A$3:$A$52,0))&amp;"","Unknown attribute"))</f>
        <v/>
      </c>
      <c r="I480">
        <f>IF(OR(A480="",B480=""),"",IF(AND(H480="Yes",D480&lt;&gt;"No"),"Yes","No"))</f>
        <v/>
      </c>
      <c r="J480">
        <f>IF(I480="Yes",COUNTIF($I$3:I480,"Yes"),"")</f>
        <v/>
      </c>
      <c r="K480">
        <f>IF(I480&lt;&gt;"Yes","",COUNTIFS($A$3:A480,SUBSTITUTE(SUBSTITUTE(A480,"?","~?"),"*","~*"),$I$3:I480,"Yes"))</f>
        <v/>
      </c>
      <c r="L480">
        <f>IF(K480="","",A480&amp;"|"&amp;K480)</f>
        <v/>
      </c>
      <c r="M480">
        <f>IF(I480&lt;&gt;"Yes","",COUNTIFS(Values!$A$3:$A$502,SUBSTITUTE(SUBSTITUTE(A480,"?","~?"),"*","~*"),Values!$I$3:$I$502,"Yes"))</f>
        <v/>
      </c>
      <c r="N480">
        <f>IF(I480&lt;&gt;"Yes","",IF(M480&lt;2,"",INDEX(Values!$B$3:$B$502,MATCH(A480&amp;"|"&amp;IF(K480=M480,1,K480+1),Values!$L$3:$L$502,0))))</f>
        <v/>
      </c>
      <c r="O480">
        <f>IF(N480="","",INDEX(Values!$J$3:$J$502,MATCH(A480&amp;"|"&amp;IF(K480=M480,1,K480+1),Values!$L$3:$L$502,0)))</f>
        <v/>
      </c>
    </row>
    <row r="481">
      <c r="H481">
        <f>IF(A481="","",IFERROR(INDEX(Attributes!$F$3:$F$52,MATCH(A481,Attributes!$A$3:$A$52,0))&amp;"","Unknown attribute"))</f>
        <v/>
      </c>
      <c r="I481">
        <f>IF(OR(A481="",B481=""),"",IF(AND(H481="Yes",D481&lt;&gt;"No"),"Yes","No"))</f>
        <v/>
      </c>
      <c r="J481">
        <f>IF(I481="Yes",COUNTIF($I$3:I481,"Yes"),"")</f>
        <v/>
      </c>
      <c r="K481">
        <f>IF(I481&lt;&gt;"Yes","",COUNTIFS($A$3:A481,SUBSTITUTE(SUBSTITUTE(A481,"?","~?"),"*","~*"),$I$3:I481,"Yes"))</f>
        <v/>
      </c>
      <c r="L481">
        <f>IF(K481="","",A481&amp;"|"&amp;K481)</f>
        <v/>
      </c>
      <c r="M481">
        <f>IF(I481&lt;&gt;"Yes","",COUNTIFS(Values!$A$3:$A$502,SUBSTITUTE(SUBSTITUTE(A481,"?","~?"),"*","~*"),Values!$I$3:$I$502,"Yes"))</f>
        <v/>
      </c>
      <c r="N481">
        <f>IF(I481&lt;&gt;"Yes","",IF(M481&lt;2,"",INDEX(Values!$B$3:$B$502,MATCH(A481&amp;"|"&amp;IF(K481=M481,1,K481+1),Values!$L$3:$L$502,0))))</f>
        <v/>
      </c>
      <c r="O481">
        <f>IF(N481="","",INDEX(Values!$J$3:$J$502,MATCH(A481&amp;"|"&amp;IF(K481=M481,1,K481+1),Values!$L$3:$L$502,0)))</f>
        <v/>
      </c>
    </row>
    <row r="482">
      <c r="H482">
        <f>IF(A482="","",IFERROR(INDEX(Attributes!$F$3:$F$52,MATCH(A482,Attributes!$A$3:$A$52,0))&amp;"","Unknown attribute"))</f>
        <v/>
      </c>
      <c r="I482">
        <f>IF(OR(A482="",B482=""),"",IF(AND(H482="Yes",D482&lt;&gt;"No"),"Yes","No"))</f>
        <v/>
      </c>
      <c r="J482">
        <f>IF(I482="Yes",COUNTIF($I$3:I482,"Yes"),"")</f>
        <v/>
      </c>
      <c r="K482">
        <f>IF(I482&lt;&gt;"Yes","",COUNTIFS($A$3:A482,SUBSTITUTE(SUBSTITUTE(A482,"?","~?"),"*","~*"),$I$3:I482,"Yes"))</f>
        <v/>
      </c>
      <c r="L482">
        <f>IF(K482="","",A482&amp;"|"&amp;K482)</f>
        <v/>
      </c>
      <c r="M482">
        <f>IF(I482&lt;&gt;"Yes","",COUNTIFS(Values!$A$3:$A$502,SUBSTITUTE(SUBSTITUTE(A482,"?","~?"),"*","~*"),Values!$I$3:$I$502,"Yes"))</f>
        <v/>
      </c>
      <c r="N482">
        <f>IF(I482&lt;&gt;"Yes","",IF(M482&lt;2,"",INDEX(Values!$B$3:$B$502,MATCH(A482&amp;"|"&amp;IF(K482=M482,1,K482+1),Values!$L$3:$L$502,0))))</f>
        <v/>
      </c>
      <c r="O482">
        <f>IF(N482="","",INDEX(Values!$J$3:$J$502,MATCH(A482&amp;"|"&amp;IF(K482=M482,1,K482+1),Values!$L$3:$L$502,0)))</f>
        <v/>
      </c>
    </row>
    <row r="483">
      <c r="H483">
        <f>IF(A483="","",IFERROR(INDEX(Attributes!$F$3:$F$52,MATCH(A483,Attributes!$A$3:$A$52,0))&amp;"","Unknown attribute"))</f>
        <v/>
      </c>
      <c r="I483">
        <f>IF(OR(A483="",B483=""),"",IF(AND(H483="Yes",D483&lt;&gt;"No"),"Yes","No"))</f>
        <v/>
      </c>
      <c r="J483">
        <f>IF(I483="Yes",COUNTIF($I$3:I483,"Yes"),"")</f>
        <v/>
      </c>
      <c r="K483">
        <f>IF(I483&lt;&gt;"Yes","",COUNTIFS($A$3:A483,SUBSTITUTE(SUBSTITUTE(A483,"?","~?"),"*","~*"),$I$3:I483,"Yes"))</f>
        <v/>
      </c>
      <c r="L483">
        <f>IF(K483="","",A483&amp;"|"&amp;K483)</f>
        <v/>
      </c>
      <c r="M483">
        <f>IF(I483&lt;&gt;"Yes","",COUNTIFS(Values!$A$3:$A$502,SUBSTITUTE(SUBSTITUTE(A483,"?","~?"),"*","~*"),Values!$I$3:$I$502,"Yes"))</f>
        <v/>
      </c>
      <c r="N483">
        <f>IF(I483&lt;&gt;"Yes","",IF(M483&lt;2,"",INDEX(Values!$B$3:$B$502,MATCH(A483&amp;"|"&amp;IF(K483=M483,1,K483+1),Values!$L$3:$L$502,0))))</f>
        <v/>
      </c>
      <c r="O483">
        <f>IF(N483="","",INDEX(Values!$J$3:$J$502,MATCH(A483&amp;"|"&amp;IF(K483=M483,1,K483+1),Values!$L$3:$L$502,0)))</f>
        <v/>
      </c>
    </row>
    <row r="484">
      <c r="H484">
        <f>IF(A484="","",IFERROR(INDEX(Attributes!$F$3:$F$52,MATCH(A484,Attributes!$A$3:$A$52,0))&amp;"","Unknown attribute"))</f>
        <v/>
      </c>
      <c r="I484">
        <f>IF(OR(A484="",B484=""),"",IF(AND(H484="Yes",D484&lt;&gt;"No"),"Yes","No"))</f>
        <v/>
      </c>
      <c r="J484">
        <f>IF(I484="Yes",COUNTIF($I$3:I484,"Yes"),"")</f>
        <v/>
      </c>
      <c r="K484">
        <f>IF(I484&lt;&gt;"Yes","",COUNTIFS($A$3:A484,SUBSTITUTE(SUBSTITUTE(A484,"?","~?"),"*","~*"),$I$3:I484,"Yes"))</f>
        <v/>
      </c>
      <c r="L484">
        <f>IF(K484="","",A484&amp;"|"&amp;K484)</f>
        <v/>
      </c>
      <c r="M484">
        <f>IF(I484&lt;&gt;"Yes","",COUNTIFS(Values!$A$3:$A$502,SUBSTITUTE(SUBSTITUTE(A484,"?","~?"),"*","~*"),Values!$I$3:$I$502,"Yes"))</f>
        <v/>
      </c>
      <c r="N484">
        <f>IF(I484&lt;&gt;"Yes","",IF(M484&lt;2,"",INDEX(Values!$B$3:$B$502,MATCH(A484&amp;"|"&amp;IF(K484=M484,1,K484+1),Values!$L$3:$L$502,0))))</f>
        <v/>
      </c>
      <c r="O484">
        <f>IF(N484="","",INDEX(Values!$J$3:$J$502,MATCH(A484&amp;"|"&amp;IF(K484=M484,1,K484+1),Values!$L$3:$L$502,0)))</f>
        <v/>
      </c>
    </row>
    <row r="485">
      <c r="H485">
        <f>IF(A485="","",IFERROR(INDEX(Attributes!$F$3:$F$52,MATCH(A485,Attributes!$A$3:$A$52,0))&amp;"","Unknown attribute"))</f>
        <v/>
      </c>
      <c r="I485">
        <f>IF(OR(A485="",B485=""),"",IF(AND(H485="Yes",D485&lt;&gt;"No"),"Yes","No"))</f>
        <v/>
      </c>
      <c r="J485">
        <f>IF(I485="Yes",COUNTIF($I$3:I485,"Yes"),"")</f>
        <v/>
      </c>
      <c r="K485">
        <f>IF(I485&lt;&gt;"Yes","",COUNTIFS($A$3:A485,SUBSTITUTE(SUBSTITUTE(A485,"?","~?"),"*","~*"),$I$3:I485,"Yes"))</f>
        <v/>
      </c>
      <c r="L485">
        <f>IF(K485="","",A485&amp;"|"&amp;K485)</f>
        <v/>
      </c>
      <c r="M485">
        <f>IF(I485&lt;&gt;"Yes","",COUNTIFS(Values!$A$3:$A$502,SUBSTITUTE(SUBSTITUTE(A485,"?","~?"),"*","~*"),Values!$I$3:$I$502,"Yes"))</f>
        <v/>
      </c>
      <c r="N485">
        <f>IF(I485&lt;&gt;"Yes","",IF(M485&lt;2,"",INDEX(Values!$B$3:$B$502,MATCH(A485&amp;"|"&amp;IF(K485=M485,1,K485+1),Values!$L$3:$L$502,0))))</f>
        <v/>
      </c>
      <c r="O485">
        <f>IF(N485="","",INDEX(Values!$J$3:$J$502,MATCH(A485&amp;"|"&amp;IF(K485=M485,1,K485+1),Values!$L$3:$L$502,0)))</f>
        <v/>
      </c>
    </row>
    <row r="486">
      <c r="H486">
        <f>IF(A486="","",IFERROR(INDEX(Attributes!$F$3:$F$52,MATCH(A486,Attributes!$A$3:$A$52,0))&amp;"","Unknown attribute"))</f>
        <v/>
      </c>
      <c r="I486">
        <f>IF(OR(A486="",B486=""),"",IF(AND(H486="Yes",D486&lt;&gt;"No"),"Yes","No"))</f>
        <v/>
      </c>
      <c r="J486">
        <f>IF(I486="Yes",COUNTIF($I$3:I486,"Yes"),"")</f>
        <v/>
      </c>
      <c r="K486">
        <f>IF(I486&lt;&gt;"Yes","",COUNTIFS($A$3:A486,SUBSTITUTE(SUBSTITUTE(A486,"?","~?"),"*","~*"),$I$3:I486,"Yes"))</f>
        <v/>
      </c>
      <c r="L486">
        <f>IF(K486="","",A486&amp;"|"&amp;K486)</f>
        <v/>
      </c>
      <c r="M486">
        <f>IF(I486&lt;&gt;"Yes","",COUNTIFS(Values!$A$3:$A$502,SUBSTITUTE(SUBSTITUTE(A486,"?","~?"),"*","~*"),Values!$I$3:$I$502,"Yes"))</f>
        <v/>
      </c>
      <c r="N486">
        <f>IF(I486&lt;&gt;"Yes","",IF(M486&lt;2,"",INDEX(Values!$B$3:$B$502,MATCH(A486&amp;"|"&amp;IF(K486=M486,1,K486+1),Values!$L$3:$L$502,0))))</f>
        <v/>
      </c>
      <c r="O486">
        <f>IF(N486="","",INDEX(Values!$J$3:$J$502,MATCH(A486&amp;"|"&amp;IF(K486=M486,1,K486+1),Values!$L$3:$L$502,0)))</f>
        <v/>
      </c>
    </row>
    <row r="487">
      <c r="H487">
        <f>IF(A487="","",IFERROR(INDEX(Attributes!$F$3:$F$52,MATCH(A487,Attributes!$A$3:$A$52,0))&amp;"","Unknown attribute"))</f>
        <v/>
      </c>
      <c r="I487">
        <f>IF(OR(A487="",B487=""),"",IF(AND(H487="Yes",D487&lt;&gt;"No"),"Yes","No"))</f>
        <v/>
      </c>
      <c r="J487">
        <f>IF(I487="Yes",COUNTIF($I$3:I487,"Yes"),"")</f>
        <v/>
      </c>
      <c r="K487">
        <f>IF(I487&lt;&gt;"Yes","",COUNTIFS($A$3:A487,SUBSTITUTE(SUBSTITUTE(A487,"?","~?"),"*","~*"),$I$3:I487,"Yes"))</f>
        <v/>
      </c>
      <c r="L487">
        <f>IF(K487="","",A487&amp;"|"&amp;K487)</f>
        <v/>
      </c>
      <c r="M487">
        <f>IF(I487&lt;&gt;"Yes","",COUNTIFS(Values!$A$3:$A$502,SUBSTITUTE(SUBSTITUTE(A487,"?","~?"),"*","~*"),Values!$I$3:$I$502,"Yes"))</f>
        <v/>
      </c>
      <c r="N487">
        <f>IF(I487&lt;&gt;"Yes","",IF(M487&lt;2,"",INDEX(Values!$B$3:$B$502,MATCH(A487&amp;"|"&amp;IF(K487=M487,1,K487+1),Values!$L$3:$L$502,0))))</f>
        <v/>
      </c>
      <c r="O487">
        <f>IF(N487="","",INDEX(Values!$J$3:$J$502,MATCH(A487&amp;"|"&amp;IF(K487=M487,1,K487+1),Values!$L$3:$L$502,0)))</f>
        <v/>
      </c>
    </row>
    <row r="488">
      <c r="H488">
        <f>IF(A488="","",IFERROR(INDEX(Attributes!$F$3:$F$52,MATCH(A488,Attributes!$A$3:$A$52,0))&amp;"","Unknown attribute"))</f>
        <v/>
      </c>
      <c r="I488">
        <f>IF(OR(A488="",B488=""),"",IF(AND(H488="Yes",D488&lt;&gt;"No"),"Yes","No"))</f>
        <v/>
      </c>
      <c r="J488">
        <f>IF(I488="Yes",COUNTIF($I$3:I488,"Yes"),"")</f>
        <v/>
      </c>
      <c r="K488">
        <f>IF(I488&lt;&gt;"Yes","",COUNTIFS($A$3:A488,SUBSTITUTE(SUBSTITUTE(A488,"?","~?"),"*","~*"),$I$3:I488,"Yes"))</f>
        <v/>
      </c>
      <c r="L488">
        <f>IF(K488="","",A488&amp;"|"&amp;K488)</f>
        <v/>
      </c>
      <c r="M488">
        <f>IF(I488&lt;&gt;"Yes","",COUNTIFS(Values!$A$3:$A$502,SUBSTITUTE(SUBSTITUTE(A488,"?","~?"),"*","~*"),Values!$I$3:$I$502,"Yes"))</f>
        <v/>
      </c>
      <c r="N488">
        <f>IF(I488&lt;&gt;"Yes","",IF(M488&lt;2,"",INDEX(Values!$B$3:$B$502,MATCH(A488&amp;"|"&amp;IF(K488=M488,1,K488+1),Values!$L$3:$L$502,0))))</f>
        <v/>
      </c>
      <c r="O488">
        <f>IF(N488="","",INDEX(Values!$J$3:$J$502,MATCH(A488&amp;"|"&amp;IF(K488=M488,1,K488+1),Values!$L$3:$L$502,0)))</f>
        <v/>
      </c>
    </row>
    <row r="489">
      <c r="H489">
        <f>IF(A489="","",IFERROR(INDEX(Attributes!$F$3:$F$52,MATCH(A489,Attributes!$A$3:$A$52,0))&amp;"","Unknown attribute"))</f>
        <v/>
      </c>
      <c r="I489">
        <f>IF(OR(A489="",B489=""),"",IF(AND(H489="Yes",D489&lt;&gt;"No"),"Yes","No"))</f>
        <v/>
      </c>
      <c r="J489">
        <f>IF(I489="Yes",COUNTIF($I$3:I489,"Yes"),"")</f>
        <v/>
      </c>
      <c r="K489">
        <f>IF(I489&lt;&gt;"Yes","",COUNTIFS($A$3:A489,SUBSTITUTE(SUBSTITUTE(A489,"?","~?"),"*","~*"),$I$3:I489,"Yes"))</f>
        <v/>
      </c>
      <c r="L489">
        <f>IF(K489="","",A489&amp;"|"&amp;K489)</f>
        <v/>
      </c>
      <c r="M489">
        <f>IF(I489&lt;&gt;"Yes","",COUNTIFS(Values!$A$3:$A$502,SUBSTITUTE(SUBSTITUTE(A489,"?","~?"),"*","~*"),Values!$I$3:$I$502,"Yes"))</f>
        <v/>
      </c>
      <c r="N489">
        <f>IF(I489&lt;&gt;"Yes","",IF(M489&lt;2,"",INDEX(Values!$B$3:$B$502,MATCH(A489&amp;"|"&amp;IF(K489=M489,1,K489+1),Values!$L$3:$L$502,0))))</f>
        <v/>
      </c>
      <c r="O489">
        <f>IF(N489="","",INDEX(Values!$J$3:$J$502,MATCH(A489&amp;"|"&amp;IF(K489=M489,1,K489+1),Values!$L$3:$L$502,0)))</f>
        <v/>
      </c>
    </row>
    <row r="490">
      <c r="H490">
        <f>IF(A490="","",IFERROR(INDEX(Attributes!$F$3:$F$52,MATCH(A490,Attributes!$A$3:$A$52,0))&amp;"","Unknown attribute"))</f>
        <v/>
      </c>
      <c r="I490">
        <f>IF(OR(A490="",B490=""),"",IF(AND(H490="Yes",D490&lt;&gt;"No"),"Yes","No"))</f>
        <v/>
      </c>
      <c r="J490">
        <f>IF(I490="Yes",COUNTIF($I$3:I490,"Yes"),"")</f>
        <v/>
      </c>
      <c r="K490">
        <f>IF(I490&lt;&gt;"Yes","",COUNTIFS($A$3:A490,SUBSTITUTE(SUBSTITUTE(A490,"?","~?"),"*","~*"),$I$3:I490,"Yes"))</f>
        <v/>
      </c>
      <c r="L490">
        <f>IF(K490="","",A490&amp;"|"&amp;K490)</f>
        <v/>
      </c>
      <c r="M490">
        <f>IF(I490&lt;&gt;"Yes","",COUNTIFS(Values!$A$3:$A$502,SUBSTITUTE(SUBSTITUTE(A490,"?","~?"),"*","~*"),Values!$I$3:$I$502,"Yes"))</f>
        <v/>
      </c>
      <c r="N490">
        <f>IF(I490&lt;&gt;"Yes","",IF(M490&lt;2,"",INDEX(Values!$B$3:$B$502,MATCH(A490&amp;"|"&amp;IF(K490=M490,1,K490+1),Values!$L$3:$L$502,0))))</f>
        <v/>
      </c>
      <c r="O490">
        <f>IF(N490="","",INDEX(Values!$J$3:$J$502,MATCH(A490&amp;"|"&amp;IF(K490=M490,1,K490+1),Values!$L$3:$L$502,0)))</f>
        <v/>
      </c>
    </row>
    <row r="491">
      <c r="H491">
        <f>IF(A491="","",IFERROR(INDEX(Attributes!$F$3:$F$52,MATCH(A491,Attributes!$A$3:$A$52,0))&amp;"","Unknown attribute"))</f>
        <v/>
      </c>
      <c r="I491">
        <f>IF(OR(A491="",B491=""),"",IF(AND(H491="Yes",D491&lt;&gt;"No"),"Yes","No"))</f>
        <v/>
      </c>
      <c r="J491">
        <f>IF(I491="Yes",COUNTIF($I$3:I491,"Yes"),"")</f>
        <v/>
      </c>
      <c r="K491">
        <f>IF(I491&lt;&gt;"Yes","",COUNTIFS($A$3:A491,SUBSTITUTE(SUBSTITUTE(A491,"?","~?"),"*","~*"),$I$3:I491,"Yes"))</f>
        <v/>
      </c>
      <c r="L491">
        <f>IF(K491="","",A491&amp;"|"&amp;K491)</f>
        <v/>
      </c>
      <c r="M491">
        <f>IF(I491&lt;&gt;"Yes","",COUNTIFS(Values!$A$3:$A$502,SUBSTITUTE(SUBSTITUTE(A491,"?","~?"),"*","~*"),Values!$I$3:$I$502,"Yes"))</f>
        <v/>
      </c>
      <c r="N491">
        <f>IF(I491&lt;&gt;"Yes","",IF(M491&lt;2,"",INDEX(Values!$B$3:$B$502,MATCH(A491&amp;"|"&amp;IF(K491=M491,1,K491+1),Values!$L$3:$L$502,0))))</f>
        <v/>
      </c>
      <c r="O491">
        <f>IF(N491="","",INDEX(Values!$J$3:$J$502,MATCH(A491&amp;"|"&amp;IF(K491=M491,1,K491+1),Values!$L$3:$L$502,0)))</f>
        <v/>
      </c>
    </row>
    <row r="492">
      <c r="H492">
        <f>IF(A492="","",IFERROR(INDEX(Attributes!$F$3:$F$52,MATCH(A492,Attributes!$A$3:$A$52,0))&amp;"","Unknown attribute"))</f>
        <v/>
      </c>
      <c r="I492">
        <f>IF(OR(A492="",B492=""),"",IF(AND(H492="Yes",D492&lt;&gt;"No"),"Yes","No"))</f>
        <v/>
      </c>
      <c r="J492">
        <f>IF(I492="Yes",COUNTIF($I$3:I492,"Yes"),"")</f>
        <v/>
      </c>
      <c r="K492">
        <f>IF(I492&lt;&gt;"Yes","",COUNTIFS($A$3:A492,SUBSTITUTE(SUBSTITUTE(A492,"?","~?"),"*","~*"),$I$3:I492,"Yes"))</f>
        <v/>
      </c>
      <c r="L492">
        <f>IF(K492="","",A492&amp;"|"&amp;K492)</f>
        <v/>
      </c>
      <c r="M492">
        <f>IF(I492&lt;&gt;"Yes","",COUNTIFS(Values!$A$3:$A$502,SUBSTITUTE(SUBSTITUTE(A492,"?","~?"),"*","~*"),Values!$I$3:$I$502,"Yes"))</f>
        <v/>
      </c>
      <c r="N492">
        <f>IF(I492&lt;&gt;"Yes","",IF(M492&lt;2,"",INDEX(Values!$B$3:$B$502,MATCH(A492&amp;"|"&amp;IF(K492=M492,1,K492+1),Values!$L$3:$L$502,0))))</f>
        <v/>
      </c>
      <c r="O492">
        <f>IF(N492="","",INDEX(Values!$J$3:$J$502,MATCH(A492&amp;"|"&amp;IF(K492=M492,1,K492+1),Values!$L$3:$L$502,0)))</f>
        <v/>
      </c>
    </row>
    <row r="493">
      <c r="H493">
        <f>IF(A493="","",IFERROR(INDEX(Attributes!$F$3:$F$52,MATCH(A493,Attributes!$A$3:$A$52,0))&amp;"","Unknown attribute"))</f>
        <v/>
      </c>
      <c r="I493">
        <f>IF(OR(A493="",B493=""),"",IF(AND(H493="Yes",D493&lt;&gt;"No"),"Yes","No"))</f>
        <v/>
      </c>
      <c r="J493">
        <f>IF(I493="Yes",COUNTIF($I$3:I493,"Yes"),"")</f>
        <v/>
      </c>
      <c r="K493">
        <f>IF(I493&lt;&gt;"Yes","",COUNTIFS($A$3:A493,SUBSTITUTE(SUBSTITUTE(A493,"?","~?"),"*","~*"),$I$3:I493,"Yes"))</f>
        <v/>
      </c>
      <c r="L493">
        <f>IF(K493="","",A493&amp;"|"&amp;K493)</f>
        <v/>
      </c>
      <c r="M493">
        <f>IF(I493&lt;&gt;"Yes","",COUNTIFS(Values!$A$3:$A$502,SUBSTITUTE(SUBSTITUTE(A493,"?","~?"),"*","~*"),Values!$I$3:$I$502,"Yes"))</f>
        <v/>
      </c>
      <c r="N493">
        <f>IF(I493&lt;&gt;"Yes","",IF(M493&lt;2,"",INDEX(Values!$B$3:$B$502,MATCH(A493&amp;"|"&amp;IF(K493=M493,1,K493+1),Values!$L$3:$L$502,0))))</f>
        <v/>
      </c>
      <c r="O493">
        <f>IF(N493="","",INDEX(Values!$J$3:$J$502,MATCH(A493&amp;"|"&amp;IF(K493=M493,1,K493+1),Values!$L$3:$L$502,0)))</f>
        <v/>
      </c>
    </row>
    <row r="494">
      <c r="H494">
        <f>IF(A494="","",IFERROR(INDEX(Attributes!$F$3:$F$52,MATCH(A494,Attributes!$A$3:$A$52,0))&amp;"","Unknown attribute"))</f>
        <v/>
      </c>
      <c r="I494">
        <f>IF(OR(A494="",B494=""),"",IF(AND(H494="Yes",D494&lt;&gt;"No"),"Yes","No"))</f>
        <v/>
      </c>
      <c r="J494">
        <f>IF(I494="Yes",COUNTIF($I$3:I494,"Yes"),"")</f>
        <v/>
      </c>
      <c r="K494">
        <f>IF(I494&lt;&gt;"Yes","",COUNTIFS($A$3:A494,SUBSTITUTE(SUBSTITUTE(A494,"?","~?"),"*","~*"),$I$3:I494,"Yes"))</f>
        <v/>
      </c>
      <c r="L494">
        <f>IF(K494="","",A494&amp;"|"&amp;K494)</f>
        <v/>
      </c>
      <c r="M494">
        <f>IF(I494&lt;&gt;"Yes","",COUNTIFS(Values!$A$3:$A$502,SUBSTITUTE(SUBSTITUTE(A494,"?","~?"),"*","~*"),Values!$I$3:$I$502,"Yes"))</f>
        <v/>
      </c>
      <c r="N494">
        <f>IF(I494&lt;&gt;"Yes","",IF(M494&lt;2,"",INDEX(Values!$B$3:$B$502,MATCH(A494&amp;"|"&amp;IF(K494=M494,1,K494+1),Values!$L$3:$L$502,0))))</f>
        <v/>
      </c>
      <c r="O494">
        <f>IF(N494="","",INDEX(Values!$J$3:$J$502,MATCH(A494&amp;"|"&amp;IF(K494=M494,1,K494+1),Values!$L$3:$L$502,0)))</f>
        <v/>
      </c>
    </row>
    <row r="495">
      <c r="H495">
        <f>IF(A495="","",IFERROR(INDEX(Attributes!$F$3:$F$52,MATCH(A495,Attributes!$A$3:$A$52,0))&amp;"","Unknown attribute"))</f>
        <v/>
      </c>
      <c r="I495">
        <f>IF(OR(A495="",B495=""),"",IF(AND(H495="Yes",D495&lt;&gt;"No"),"Yes","No"))</f>
        <v/>
      </c>
      <c r="J495">
        <f>IF(I495="Yes",COUNTIF($I$3:I495,"Yes"),"")</f>
        <v/>
      </c>
      <c r="K495">
        <f>IF(I495&lt;&gt;"Yes","",COUNTIFS($A$3:A495,SUBSTITUTE(SUBSTITUTE(A495,"?","~?"),"*","~*"),$I$3:I495,"Yes"))</f>
        <v/>
      </c>
      <c r="L495">
        <f>IF(K495="","",A495&amp;"|"&amp;K495)</f>
        <v/>
      </c>
      <c r="M495">
        <f>IF(I495&lt;&gt;"Yes","",COUNTIFS(Values!$A$3:$A$502,SUBSTITUTE(SUBSTITUTE(A495,"?","~?"),"*","~*"),Values!$I$3:$I$502,"Yes"))</f>
        <v/>
      </c>
      <c r="N495">
        <f>IF(I495&lt;&gt;"Yes","",IF(M495&lt;2,"",INDEX(Values!$B$3:$B$502,MATCH(A495&amp;"|"&amp;IF(K495=M495,1,K495+1),Values!$L$3:$L$502,0))))</f>
        <v/>
      </c>
      <c r="O495">
        <f>IF(N495="","",INDEX(Values!$J$3:$J$502,MATCH(A495&amp;"|"&amp;IF(K495=M495,1,K495+1),Values!$L$3:$L$502,0)))</f>
        <v/>
      </c>
    </row>
    <row r="496">
      <c r="H496">
        <f>IF(A496="","",IFERROR(INDEX(Attributes!$F$3:$F$52,MATCH(A496,Attributes!$A$3:$A$52,0))&amp;"","Unknown attribute"))</f>
        <v/>
      </c>
      <c r="I496">
        <f>IF(OR(A496="",B496=""),"",IF(AND(H496="Yes",D496&lt;&gt;"No"),"Yes","No"))</f>
        <v/>
      </c>
      <c r="J496">
        <f>IF(I496="Yes",COUNTIF($I$3:I496,"Yes"),"")</f>
        <v/>
      </c>
      <c r="K496">
        <f>IF(I496&lt;&gt;"Yes","",COUNTIFS($A$3:A496,SUBSTITUTE(SUBSTITUTE(A496,"?","~?"),"*","~*"),$I$3:I496,"Yes"))</f>
        <v/>
      </c>
      <c r="L496">
        <f>IF(K496="","",A496&amp;"|"&amp;K496)</f>
        <v/>
      </c>
      <c r="M496">
        <f>IF(I496&lt;&gt;"Yes","",COUNTIFS(Values!$A$3:$A$502,SUBSTITUTE(SUBSTITUTE(A496,"?","~?"),"*","~*"),Values!$I$3:$I$502,"Yes"))</f>
        <v/>
      </c>
      <c r="N496">
        <f>IF(I496&lt;&gt;"Yes","",IF(M496&lt;2,"",INDEX(Values!$B$3:$B$502,MATCH(A496&amp;"|"&amp;IF(K496=M496,1,K496+1),Values!$L$3:$L$502,0))))</f>
        <v/>
      </c>
      <c r="O496">
        <f>IF(N496="","",INDEX(Values!$J$3:$J$502,MATCH(A496&amp;"|"&amp;IF(K496=M496,1,K496+1),Values!$L$3:$L$502,0)))</f>
        <v/>
      </c>
    </row>
    <row r="497">
      <c r="H497">
        <f>IF(A497="","",IFERROR(INDEX(Attributes!$F$3:$F$52,MATCH(A497,Attributes!$A$3:$A$52,0))&amp;"","Unknown attribute"))</f>
        <v/>
      </c>
      <c r="I497">
        <f>IF(OR(A497="",B497=""),"",IF(AND(H497="Yes",D497&lt;&gt;"No"),"Yes","No"))</f>
        <v/>
      </c>
      <c r="J497">
        <f>IF(I497="Yes",COUNTIF($I$3:I497,"Yes"),"")</f>
        <v/>
      </c>
      <c r="K497">
        <f>IF(I497&lt;&gt;"Yes","",COUNTIFS($A$3:A497,SUBSTITUTE(SUBSTITUTE(A497,"?","~?"),"*","~*"),$I$3:I497,"Yes"))</f>
        <v/>
      </c>
      <c r="L497">
        <f>IF(K497="","",A497&amp;"|"&amp;K497)</f>
        <v/>
      </c>
      <c r="M497">
        <f>IF(I497&lt;&gt;"Yes","",COUNTIFS(Values!$A$3:$A$502,SUBSTITUTE(SUBSTITUTE(A497,"?","~?"),"*","~*"),Values!$I$3:$I$502,"Yes"))</f>
        <v/>
      </c>
      <c r="N497">
        <f>IF(I497&lt;&gt;"Yes","",IF(M497&lt;2,"",INDEX(Values!$B$3:$B$502,MATCH(A497&amp;"|"&amp;IF(K497=M497,1,K497+1),Values!$L$3:$L$502,0))))</f>
        <v/>
      </c>
      <c r="O497">
        <f>IF(N497="","",INDEX(Values!$J$3:$J$502,MATCH(A497&amp;"|"&amp;IF(K497=M497,1,K497+1),Values!$L$3:$L$502,0)))</f>
        <v/>
      </c>
    </row>
    <row r="498">
      <c r="H498">
        <f>IF(A498="","",IFERROR(INDEX(Attributes!$F$3:$F$52,MATCH(A498,Attributes!$A$3:$A$52,0))&amp;"","Unknown attribute"))</f>
        <v/>
      </c>
      <c r="I498">
        <f>IF(OR(A498="",B498=""),"",IF(AND(H498="Yes",D498&lt;&gt;"No"),"Yes","No"))</f>
        <v/>
      </c>
      <c r="J498">
        <f>IF(I498="Yes",COUNTIF($I$3:I498,"Yes"),"")</f>
        <v/>
      </c>
      <c r="K498">
        <f>IF(I498&lt;&gt;"Yes","",COUNTIFS($A$3:A498,SUBSTITUTE(SUBSTITUTE(A498,"?","~?"),"*","~*"),$I$3:I498,"Yes"))</f>
        <v/>
      </c>
      <c r="L498">
        <f>IF(K498="","",A498&amp;"|"&amp;K498)</f>
        <v/>
      </c>
      <c r="M498">
        <f>IF(I498&lt;&gt;"Yes","",COUNTIFS(Values!$A$3:$A$502,SUBSTITUTE(SUBSTITUTE(A498,"?","~?"),"*","~*"),Values!$I$3:$I$502,"Yes"))</f>
        <v/>
      </c>
      <c r="N498">
        <f>IF(I498&lt;&gt;"Yes","",IF(M498&lt;2,"",INDEX(Values!$B$3:$B$502,MATCH(A498&amp;"|"&amp;IF(K498=M498,1,K498+1),Values!$L$3:$L$502,0))))</f>
        <v/>
      </c>
      <c r="O498">
        <f>IF(N498="","",INDEX(Values!$J$3:$J$502,MATCH(A498&amp;"|"&amp;IF(K498=M498,1,K498+1),Values!$L$3:$L$502,0)))</f>
        <v/>
      </c>
    </row>
    <row r="499">
      <c r="H499">
        <f>IF(A499="","",IFERROR(INDEX(Attributes!$F$3:$F$52,MATCH(A499,Attributes!$A$3:$A$52,0))&amp;"","Unknown attribute"))</f>
        <v/>
      </c>
      <c r="I499">
        <f>IF(OR(A499="",B499=""),"",IF(AND(H499="Yes",D499&lt;&gt;"No"),"Yes","No"))</f>
        <v/>
      </c>
      <c r="J499">
        <f>IF(I499="Yes",COUNTIF($I$3:I499,"Yes"),"")</f>
        <v/>
      </c>
      <c r="K499">
        <f>IF(I499&lt;&gt;"Yes","",COUNTIFS($A$3:A499,SUBSTITUTE(SUBSTITUTE(A499,"?","~?"),"*","~*"),$I$3:I499,"Yes"))</f>
        <v/>
      </c>
      <c r="L499">
        <f>IF(K499="","",A499&amp;"|"&amp;K499)</f>
        <v/>
      </c>
      <c r="M499">
        <f>IF(I499&lt;&gt;"Yes","",COUNTIFS(Values!$A$3:$A$502,SUBSTITUTE(SUBSTITUTE(A499,"?","~?"),"*","~*"),Values!$I$3:$I$502,"Yes"))</f>
        <v/>
      </c>
      <c r="N499">
        <f>IF(I499&lt;&gt;"Yes","",IF(M499&lt;2,"",INDEX(Values!$B$3:$B$502,MATCH(A499&amp;"|"&amp;IF(K499=M499,1,K499+1),Values!$L$3:$L$502,0))))</f>
        <v/>
      </c>
      <c r="O499">
        <f>IF(N499="","",INDEX(Values!$J$3:$J$502,MATCH(A499&amp;"|"&amp;IF(K499=M499,1,K499+1),Values!$L$3:$L$502,0)))</f>
        <v/>
      </c>
    </row>
    <row r="500">
      <c r="H500">
        <f>IF(A500="","",IFERROR(INDEX(Attributes!$F$3:$F$52,MATCH(A500,Attributes!$A$3:$A$52,0))&amp;"","Unknown attribute"))</f>
        <v/>
      </c>
      <c r="I500">
        <f>IF(OR(A500="",B500=""),"",IF(AND(H500="Yes",D500&lt;&gt;"No"),"Yes","No"))</f>
        <v/>
      </c>
      <c r="J500">
        <f>IF(I500="Yes",COUNTIF($I$3:I500,"Yes"),"")</f>
        <v/>
      </c>
      <c r="K500">
        <f>IF(I500&lt;&gt;"Yes","",COUNTIFS($A$3:A500,SUBSTITUTE(SUBSTITUTE(A500,"?","~?"),"*","~*"),$I$3:I500,"Yes"))</f>
        <v/>
      </c>
      <c r="L500">
        <f>IF(K500="","",A500&amp;"|"&amp;K500)</f>
        <v/>
      </c>
      <c r="M500">
        <f>IF(I500&lt;&gt;"Yes","",COUNTIFS(Values!$A$3:$A$502,SUBSTITUTE(SUBSTITUTE(A500,"?","~?"),"*","~*"),Values!$I$3:$I$502,"Yes"))</f>
        <v/>
      </c>
      <c r="N500">
        <f>IF(I500&lt;&gt;"Yes","",IF(M500&lt;2,"",INDEX(Values!$B$3:$B$502,MATCH(A500&amp;"|"&amp;IF(K500=M500,1,K500+1),Values!$L$3:$L$502,0))))</f>
        <v/>
      </c>
      <c r="O500">
        <f>IF(N500="","",INDEX(Values!$J$3:$J$502,MATCH(A500&amp;"|"&amp;IF(K500=M500,1,K500+1),Values!$L$3:$L$502,0)))</f>
        <v/>
      </c>
    </row>
    <row r="501">
      <c r="H501">
        <f>IF(A501="","",IFERROR(INDEX(Attributes!$F$3:$F$52,MATCH(A501,Attributes!$A$3:$A$52,0))&amp;"","Unknown attribute"))</f>
        <v/>
      </c>
      <c r="I501">
        <f>IF(OR(A501="",B501=""),"",IF(AND(H501="Yes",D501&lt;&gt;"No"),"Yes","No"))</f>
        <v/>
      </c>
      <c r="J501">
        <f>IF(I501="Yes",COUNTIF($I$3:I501,"Yes"),"")</f>
        <v/>
      </c>
      <c r="K501">
        <f>IF(I501&lt;&gt;"Yes","",COUNTIFS($A$3:A501,SUBSTITUTE(SUBSTITUTE(A501,"?","~?"),"*","~*"),$I$3:I501,"Yes"))</f>
        <v/>
      </c>
      <c r="L501">
        <f>IF(K501="","",A501&amp;"|"&amp;K501)</f>
        <v/>
      </c>
      <c r="M501">
        <f>IF(I501&lt;&gt;"Yes","",COUNTIFS(Values!$A$3:$A$502,SUBSTITUTE(SUBSTITUTE(A501,"?","~?"),"*","~*"),Values!$I$3:$I$502,"Yes"))</f>
        <v/>
      </c>
      <c r="N501">
        <f>IF(I501&lt;&gt;"Yes","",IF(M501&lt;2,"",INDEX(Values!$B$3:$B$502,MATCH(A501&amp;"|"&amp;IF(K501=M501,1,K501+1),Values!$L$3:$L$502,0))))</f>
        <v/>
      </c>
      <c r="O501">
        <f>IF(N501="","",INDEX(Values!$J$3:$J$502,MATCH(A501&amp;"|"&amp;IF(K501=M501,1,K501+1),Values!$L$3:$L$502,0)))</f>
        <v/>
      </c>
    </row>
    <row r="502">
      <c r="H502">
        <f>IF(A502="","",IFERROR(INDEX(Attributes!$F$3:$F$52,MATCH(A502,Attributes!$A$3:$A$52,0))&amp;"","Unknown attribute"))</f>
        <v/>
      </c>
      <c r="I502">
        <f>IF(OR(A502="",B502=""),"",IF(AND(H502="Yes",D502&lt;&gt;"No"),"Yes","No"))</f>
        <v/>
      </c>
      <c r="J502">
        <f>IF(I502="Yes",COUNTIF($I$3:I502,"Yes"),"")</f>
        <v/>
      </c>
      <c r="K502">
        <f>IF(I502&lt;&gt;"Yes","",COUNTIFS($A$3:A502,SUBSTITUTE(SUBSTITUTE(A502,"?","~?"),"*","~*"),$I$3:I502,"Yes"))</f>
        <v/>
      </c>
      <c r="L502">
        <f>IF(K502="","",A502&amp;"|"&amp;K502)</f>
        <v/>
      </c>
      <c r="M502">
        <f>IF(I502&lt;&gt;"Yes","",COUNTIFS(Values!$A$3:$A$502,SUBSTITUTE(SUBSTITUTE(A502,"?","~?"),"*","~*"),Values!$I$3:$I$502,"Yes"))</f>
        <v/>
      </c>
      <c r="N502">
        <f>IF(I502&lt;&gt;"Yes","",IF(M502&lt;2,"",INDEX(Values!$B$3:$B$502,MATCH(A502&amp;"|"&amp;IF(K502=M502,1,K502+1),Values!$L$3:$L$502,0))))</f>
        <v/>
      </c>
      <c r="O502">
        <f>IF(N502="","",INDEX(Values!$J$3:$J$502,MATCH(A502&amp;"|"&amp;IF(K502=M502,1,K502+1),Values!$L$3:$L$502,0)))</f>
        <v/>
      </c>
    </row>
  </sheetData>
  <autoFilter ref="A2:O502"/>
  <conditionalFormatting sqref="A3:G502">
    <cfRule type="expression" priority="1" dxfId="0">
      <formula>AND($A3&lt;&gt;"",MOD(ROW(),2)=0)</formula>
    </cfRule>
  </conditionalFormatting>
  <conditionalFormatting sqref="I3:I502">
    <cfRule type="expression" priority="2" dxfId="2">
      <formula>$I3="No"</formula>
    </cfRule>
  </conditionalFormatting>
  <conditionalFormatting sqref="H3:H502">
    <cfRule type="expression" priority="3" dxfId="1">
      <formula>$H3="Unknown attribute"</formula>
    </cfRule>
  </conditionalFormatting>
  <dataValidations count="4">
    <dataValidation sqref="A3:A502" showDropDown="0" showInputMessage="0" showErrorMessage="1" allowBlank="1" type="list" errorStyle="stop">
      <formula1>=Attributes!$A$3:$A$52</formula1>
    </dataValidation>
    <dataValidation sqref="C3:C502" showDropDown="0" showInputMessage="0" showErrorMessage="1" allowBlank="1" type="list" errorStyle="stop">
      <formula1>"Yes,No"</formula1>
    </dataValidation>
    <dataValidation sqref="D3:D502" showDropDown="0" showInputMessage="1" showErrorMessage="1" allowBlank="1" promptTitle="Pick a value" prompt="Would a real person benefit from a page about this value? 'No' drops it from the map." type="list" errorStyle="stop">
      <formula1>"Yes,Unsure,No"</formula1>
    </dataValidation>
    <dataValidation sqref="E3:E502" showDropDown="0" showInputMessage="0" showErrorMessage="1" allowBlank="1" type="decimal" errorStyle="warning" operator="greaterThanOrEqual">
      <formula1>0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448EF"/>
    <outlinePr summaryBelow="1" summaryRight="1"/>
    <pageSetUpPr/>
  </sheetPr>
  <dimension ref="A1:R55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22" customWidth="1" min="4" max="4"/>
    <col width="42" customWidth="1" min="5" max="5"/>
    <col width="36" customWidth="1" min="6" max="6"/>
    <col width="34" customWidth="1" min="7" max="7"/>
    <col width="34" customWidth="1" min="8" max="8"/>
    <col width="20" customWidth="1" min="9" max="9"/>
    <col width="14" customWidth="1" min="10" max="10"/>
    <col width="30" customWidth="1" min="11" max="11"/>
    <col width="40" customWidth="1" min="12" max="12"/>
    <col width="10" customWidth="1" min="13" max="13"/>
    <col width="11" customWidth="1" min="14" max="14"/>
    <col width="9" customWidth="1" min="15" max="15"/>
    <col width="9" customWidth="1" min="16" max="16"/>
    <col width="9" customWidth="1" min="17" max="17"/>
    <col width="9" customWidth="1" min="18" max="18"/>
  </cols>
  <sheetData>
    <row r="1">
      <c r="A1" s="26" t="inlineStr">
        <is>
          <t>4. TOPICAL MAP: generated from Entity, Attributes and Values. Don't type here; copy it as values when you're happy.</t>
        </is>
      </c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  <c r="K1" s="22" t="n"/>
      <c r="L1" s="22" t="n"/>
      <c r="M1" s="22" t="n"/>
      <c r="N1" s="22" t="n"/>
      <c r="O1" s="22" t="n"/>
    </row>
    <row r="2" ht="34" customHeight="1">
      <c r="A2" s="24" t="inlineStr">
        <is>
          <t>#</t>
        </is>
      </c>
      <c r="B2" s="24" t="inlineStr">
        <is>
          <t>Level</t>
        </is>
      </c>
      <c r="C2" s="24" t="inlineStr">
        <is>
          <t>Attribute</t>
        </is>
      </c>
      <c r="D2" s="24" t="inlineStr">
        <is>
          <t>Value / sub-entity</t>
        </is>
      </c>
      <c r="E2" s="24" t="inlineStr">
        <is>
          <t>Suggested title</t>
        </is>
      </c>
      <c r="F2" s="24" t="inlineStr">
        <is>
          <t>Suggested slug</t>
        </is>
      </c>
      <c r="G2" s="24" t="inlineStr">
        <is>
          <t>Links up to</t>
        </is>
      </c>
      <c r="H2" s="24" t="inlineStr">
        <is>
          <t>Links across to</t>
        </is>
      </c>
      <c r="I2" s="24" t="inlineStr">
        <is>
          <t>Links down to</t>
        </is>
      </c>
      <c r="J2" s="24" t="inlineStr">
        <is>
          <t>Primary intent</t>
        </is>
      </c>
      <c r="K2" s="24" t="inlineStr">
        <is>
          <t>Suggested format</t>
        </is>
      </c>
      <c r="L2" s="24" t="inlineStr">
        <is>
          <t>Existing URL</t>
        </is>
      </c>
      <c r="M2" s="24" t="inlineStr">
        <is>
          <t>Coverage</t>
        </is>
      </c>
      <c r="N2" s="24" t="inlineStr">
        <is>
          <t>Search volume</t>
        </is>
      </c>
      <c r="O2" s="24" t="inlineStr">
        <is>
          <t>Priority</t>
        </is>
      </c>
      <c r="P2" s="24" t="inlineStr">
        <is>
          <t>Value row (helper)</t>
        </is>
      </c>
      <c r="Q2" s="24" t="inlineStr">
        <is>
          <t>Attribute row (helper)</t>
        </is>
      </c>
      <c r="R2" s="24" t="inlineStr">
        <is>
          <t>Raw title (helper)</t>
        </is>
      </c>
    </row>
    <row r="3">
      <c r="A3">
        <f>ROW()-2</f>
        <v/>
      </c>
      <c r="B3">
        <f>IF(A3=1,"Pillar",IF(A3&lt;=1+Entity!$B$14,"Cluster",IF(A3&lt;=1+Entity!$B$14+Entity!$B$15,"Supporting","")))</f>
        <v/>
      </c>
      <c r="C3">
        <f>IF(B3="Cluster",INDEX(Attributes!$A$3:$A$52,MATCH(A3-1,Attributes!$P$3:$P$52,0)),IF(B3="Supporting",INDEX(Values!$A$3:$A$502,P3),""))</f>
        <v/>
      </c>
      <c r="D3">
        <f>IF(B3="Supporting",INDEX(Values!$B$3:$B$502,P3),"")</f>
        <v/>
      </c>
      <c r="E3">
        <f>IF(R3="","",UPPER(LEFT(R3,1))&amp;MID(R3,2,500))</f>
        <v/>
      </c>
      <c r="F3">
        <f>IF(E3="","",LOWER(SUBSTITUTE(SUBSTITUTE(SUBSTITUTE(SUBSTITUTE(SUBSTITUTE(SUBSTITUTE(SUBSTITUTE(TRIM(E3),":",""),",",""),"'",""),"&amp;","and"),"£",""),"  "," ")," ","-")))</f>
        <v/>
      </c>
      <c r="G3">
        <f>IF(B3="Cluster",$E$3,IF(B3="Supporting",INDEX($E$3:$E$553,MATCH(C3,$C$3:$C$553,0)),""))</f>
        <v/>
      </c>
      <c r="H3">
        <f>IF(B3="Supporting",IFERROR(INDEX($E$3:$E$553,1+Entity!$B$14+INDEX(Values!$O$3:$O$502,P3)),""),IF(B3="Cluster",IF(Entity!$B$14&lt;2,"",INDEX($E$3:$E$553,IF(A3-1=Entity!$B$14,2,A3+1))),""))</f>
        <v/>
      </c>
      <c r="I3">
        <f>IF(B3="Pillar",Entity!$B$14&amp;" cluster pages",IF(B3="Cluster",(COUNTIF($C$3:$C$553,SUBSTITUTE(SUBSTITUTE(C3,"?","~?"),"*","~*"))-1)&amp;" supporting pages",""))</f>
        <v/>
      </c>
      <c r="J3">
        <f>IF(B3="Pillar","Informational",IF(OR(B3="Cluster",B3="Supporting"),INDEX(Attributes!$D$3:$D$52,Q3)&amp;"",""))</f>
        <v/>
      </c>
      <c r="K3">
        <f>IF(B3="","",IF(B3="Pillar","Pillar guide (entity hub)",IF(B3="Cluster","Hub page for this attribute",IF(INDEX(Values!$C$3:$C$502,P3)="Yes","Entity page (profile of the sub-entity)",IFERROR(INDEX(Lists!$B$3:$B$6,MATCH(J3,Lists!$A$3:$A$6,0)),"Article")))))</f>
        <v/>
      </c>
      <c r="L3">
        <f>IF(B3="Pillar",Entity!$B$6&amp;"",IF(B3="Cluster",INDEX(Attributes!$I$3:$I$52,Q3)&amp;"",IF(B3="Supporting",INDEX(Values!$F$3:$F$502,P3)&amp;"","")))</f>
        <v/>
      </c>
      <c r="M3">
        <f>IF(B3="","",IF(L3&lt;&gt;"","Covered","Gap"))</f>
        <v/>
      </c>
      <c r="N3">
        <f>IF(B3="Pillar",SUMIFS(Values!$E$3:$E$502,Values!$I$3:$I$502,"Yes"),IF(B3="Cluster",SUMIFS(Values!$E$3:$E$502,Values!$A$3:$A$502,SUBSTITUTE(SUBSTITUTE(C3,"?","~?"),"*","~*"),Values!$I$3:$I$502,"Yes"),IF(B3="Supporting",N(INDEX(Values!$E$3:$E$502,P3)),"")))</f>
        <v/>
      </c>
      <c r="O3">
        <f>IF(B3="","",IF(B3="Pillar",100,IF(B3="Cluster",N(INDEX(Attributes!$E$3:$E$52,Q3))*25+IF(M3="Gap",10,0),N(INDEX(Attributes!$E$3:$E$52,Q3))*20+MIN(20,ROUND(LOG10(N(N3)+1)*5,0))+IF(M3="Gap",10,0)+IF(INDEX(Values!$D$3:$D$502,P3)="Yes",5,0))))</f>
        <v/>
      </c>
      <c r="P3">
        <f>IF(B3="Supporting",MATCH(A3-1-Entity!$B$14,Values!$J$3:$J$502,0),"")</f>
        <v/>
      </c>
      <c r="Q3">
        <f>IF(C3="","",MATCH(C3,Attributes!$A$3:$A$52,0))</f>
        <v/>
      </c>
      <c r="R3">
        <f>IF(B3="Pillar",SUBSTITUTE(Entity!$B$7,"{entity}",LOWER(Entity!$B$3)),IF(B3="Cluster",IF(INDEX(Attributes!$G$3:$G$52,Q3)&lt;&gt;"",INDEX(Attributes!$G$3:$G$52,Q3),SUBSTITUTE(SUBSTITUTE(Entity!$B$8,"{entity}",LOWER(Entity!$B$3)),"{attribute}",LOWER(C3))),IF(B3="Supporting",SUBSTITUTE(SUBSTITUTE(SUBSTITUTE(IF(INDEX(Attributes!$H$3:$H$52,Q3)&lt;&gt;"",INDEX(Attributes!$H$3:$H$52,Q3),Entity!$B$9),"{entity}",LOWER(Entity!$B$3)),"{value}",D3),"{attribute}",LOWER(C3)),"")))</f>
        <v/>
      </c>
    </row>
    <row r="4">
      <c r="A4">
        <f>ROW()-2</f>
        <v/>
      </c>
      <c r="B4">
        <f>IF(A4=1,"Pillar",IF(A4&lt;=1+Entity!$B$14,"Cluster",IF(A4&lt;=1+Entity!$B$14+Entity!$B$15,"Supporting","")))</f>
        <v/>
      </c>
      <c r="C4">
        <f>IF(B4="Cluster",INDEX(Attributes!$A$3:$A$52,MATCH(A4-1,Attributes!$P$3:$P$52,0)),IF(B4="Supporting",INDEX(Values!$A$3:$A$502,P4),""))</f>
        <v/>
      </c>
      <c r="D4">
        <f>IF(B4="Supporting",INDEX(Values!$B$3:$B$502,P4),"")</f>
        <v/>
      </c>
      <c r="E4">
        <f>IF(R4="","",UPPER(LEFT(R4,1))&amp;MID(R4,2,500))</f>
        <v/>
      </c>
      <c r="F4">
        <f>IF(E4="","",LOWER(SUBSTITUTE(SUBSTITUTE(SUBSTITUTE(SUBSTITUTE(SUBSTITUTE(SUBSTITUTE(SUBSTITUTE(TRIM(E4),":",""),",",""),"'",""),"&amp;","and"),"£",""),"  "," ")," ","-")))</f>
        <v/>
      </c>
      <c r="G4">
        <f>IF(B4="Cluster",$E$3,IF(B4="Supporting",INDEX($E$3:$E$553,MATCH(C4,$C$3:$C$553,0)),""))</f>
        <v/>
      </c>
      <c r="H4">
        <f>IF(B4="Supporting",IFERROR(INDEX($E$3:$E$553,1+Entity!$B$14+INDEX(Values!$O$3:$O$502,P4)),""),IF(B4="Cluster",IF(Entity!$B$14&lt;2,"",INDEX($E$3:$E$553,IF(A4-1=Entity!$B$14,2,A4+1))),""))</f>
        <v/>
      </c>
      <c r="I4">
        <f>IF(B4="Pillar",Entity!$B$14&amp;" cluster pages",IF(B4="Cluster",(COUNTIF($C$3:$C$553,SUBSTITUTE(SUBSTITUTE(C4,"?","~?"),"*","~*"))-1)&amp;" supporting pages",""))</f>
        <v/>
      </c>
      <c r="J4">
        <f>IF(B4="Pillar","Informational",IF(OR(B4="Cluster",B4="Supporting"),INDEX(Attributes!$D$3:$D$52,Q4)&amp;"",""))</f>
        <v/>
      </c>
      <c r="K4">
        <f>IF(B4="","",IF(B4="Pillar","Pillar guide (entity hub)",IF(B4="Cluster","Hub page for this attribute",IF(INDEX(Values!$C$3:$C$502,P4)="Yes","Entity page (profile of the sub-entity)",IFERROR(INDEX(Lists!$B$3:$B$6,MATCH(J4,Lists!$A$3:$A$6,0)),"Article")))))</f>
        <v/>
      </c>
      <c r="L4">
        <f>IF(B4="Pillar",Entity!$B$6&amp;"",IF(B4="Cluster",INDEX(Attributes!$I$3:$I$52,Q4)&amp;"",IF(B4="Supporting",INDEX(Values!$F$3:$F$502,P4)&amp;"","")))</f>
        <v/>
      </c>
      <c r="M4">
        <f>IF(B4="","",IF(L4&lt;&gt;"","Covered","Gap"))</f>
        <v/>
      </c>
      <c r="N4">
        <f>IF(B4="Pillar",SUMIFS(Values!$E$3:$E$502,Values!$I$3:$I$502,"Yes"),IF(B4="Cluster",SUMIFS(Values!$E$3:$E$502,Values!$A$3:$A$502,SUBSTITUTE(SUBSTITUTE(C4,"?","~?"),"*","~*"),Values!$I$3:$I$502,"Yes"),IF(B4="Supporting",N(INDEX(Values!$E$3:$E$502,P4)),"")))</f>
        <v/>
      </c>
      <c r="O4">
        <f>IF(B4="","",IF(B4="Pillar",100,IF(B4="Cluster",N(INDEX(Attributes!$E$3:$E$52,Q4))*25+IF(M4="Gap",10,0),N(INDEX(Attributes!$E$3:$E$52,Q4))*20+MIN(20,ROUND(LOG10(N(N4)+1)*5,0))+IF(M4="Gap",10,0)+IF(INDEX(Values!$D$3:$D$502,P4)="Yes",5,0))))</f>
        <v/>
      </c>
      <c r="P4">
        <f>IF(B4="Supporting",MATCH(A4-1-Entity!$B$14,Values!$J$3:$J$502,0),"")</f>
        <v/>
      </c>
      <c r="Q4">
        <f>IF(C4="","",MATCH(C4,Attributes!$A$3:$A$52,0))</f>
        <v/>
      </c>
      <c r="R4">
        <f>IF(B4="Pillar",SUBSTITUTE(Entity!$B$7,"{entity}",LOWER(Entity!$B$3)),IF(B4="Cluster",IF(INDEX(Attributes!$G$3:$G$52,Q4)&lt;&gt;"",INDEX(Attributes!$G$3:$G$52,Q4),SUBSTITUTE(SUBSTITUTE(Entity!$B$8,"{entity}",LOWER(Entity!$B$3)),"{attribute}",LOWER(C4))),IF(B4="Supporting",SUBSTITUTE(SUBSTITUTE(SUBSTITUTE(IF(INDEX(Attributes!$H$3:$H$52,Q4)&lt;&gt;"",INDEX(Attributes!$H$3:$H$52,Q4),Entity!$B$9),"{entity}",LOWER(Entity!$B$3)),"{value}",D4),"{attribute}",LOWER(C4)),"")))</f>
        <v/>
      </c>
    </row>
    <row r="5">
      <c r="A5">
        <f>ROW()-2</f>
        <v/>
      </c>
      <c r="B5">
        <f>IF(A5=1,"Pillar",IF(A5&lt;=1+Entity!$B$14,"Cluster",IF(A5&lt;=1+Entity!$B$14+Entity!$B$15,"Supporting","")))</f>
        <v/>
      </c>
      <c r="C5">
        <f>IF(B5="Cluster",INDEX(Attributes!$A$3:$A$52,MATCH(A5-1,Attributes!$P$3:$P$52,0)),IF(B5="Supporting",INDEX(Values!$A$3:$A$502,P5),""))</f>
        <v/>
      </c>
      <c r="D5">
        <f>IF(B5="Supporting",INDEX(Values!$B$3:$B$502,P5),"")</f>
        <v/>
      </c>
      <c r="E5">
        <f>IF(R5="","",UPPER(LEFT(R5,1))&amp;MID(R5,2,500))</f>
        <v/>
      </c>
      <c r="F5">
        <f>IF(E5="","",LOWER(SUBSTITUTE(SUBSTITUTE(SUBSTITUTE(SUBSTITUTE(SUBSTITUTE(SUBSTITUTE(SUBSTITUTE(TRIM(E5),":",""),",",""),"'",""),"&amp;","and"),"£",""),"  "," ")," ","-")))</f>
        <v/>
      </c>
      <c r="G5">
        <f>IF(B5="Cluster",$E$3,IF(B5="Supporting",INDEX($E$3:$E$553,MATCH(C5,$C$3:$C$553,0)),""))</f>
        <v/>
      </c>
      <c r="H5">
        <f>IF(B5="Supporting",IFERROR(INDEX($E$3:$E$553,1+Entity!$B$14+INDEX(Values!$O$3:$O$502,P5)),""),IF(B5="Cluster",IF(Entity!$B$14&lt;2,"",INDEX($E$3:$E$553,IF(A5-1=Entity!$B$14,2,A5+1))),""))</f>
        <v/>
      </c>
      <c r="I5">
        <f>IF(B5="Pillar",Entity!$B$14&amp;" cluster pages",IF(B5="Cluster",(COUNTIF($C$3:$C$553,SUBSTITUTE(SUBSTITUTE(C5,"?","~?"),"*","~*"))-1)&amp;" supporting pages",""))</f>
        <v/>
      </c>
      <c r="J5">
        <f>IF(B5="Pillar","Informational",IF(OR(B5="Cluster",B5="Supporting"),INDEX(Attributes!$D$3:$D$52,Q5)&amp;"",""))</f>
        <v/>
      </c>
      <c r="K5">
        <f>IF(B5="","",IF(B5="Pillar","Pillar guide (entity hub)",IF(B5="Cluster","Hub page for this attribute",IF(INDEX(Values!$C$3:$C$502,P5)="Yes","Entity page (profile of the sub-entity)",IFERROR(INDEX(Lists!$B$3:$B$6,MATCH(J5,Lists!$A$3:$A$6,0)),"Article")))))</f>
        <v/>
      </c>
      <c r="L5">
        <f>IF(B5="Pillar",Entity!$B$6&amp;"",IF(B5="Cluster",INDEX(Attributes!$I$3:$I$52,Q5)&amp;"",IF(B5="Supporting",INDEX(Values!$F$3:$F$502,P5)&amp;"","")))</f>
        <v/>
      </c>
      <c r="M5">
        <f>IF(B5="","",IF(L5&lt;&gt;"","Covered","Gap"))</f>
        <v/>
      </c>
      <c r="N5">
        <f>IF(B5="Pillar",SUMIFS(Values!$E$3:$E$502,Values!$I$3:$I$502,"Yes"),IF(B5="Cluster",SUMIFS(Values!$E$3:$E$502,Values!$A$3:$A$502,SUBSTITUTE(SUBSTITUTE(C5,"?","~?"),"*","~*"),Values!$I$3:$I$502,"Yes"),IF(B5="Supporting",N(INDEX(Values!$E$3:$E$502,P5)),"")))</f>
        <v/>
      </c>
      <c r="O5">
        <f>IF(B5="","",IF(B5="Pillar",100,IF(B5="Cluster",N(INDEX(Attributes!$E$3:$E$52,Q5))*25+IF(M5="Gap",10,0),N(INDEX(Attributes!$E$3:$E$52,Q5))*20+MIN(20,ROUND(LOG10(N(N5)+1)*5,0))+IF(M5="Gap",10,0)+IF(INDEX(Values!$D$3:$D$502,P5)="Yes",5,0))))</f>
        <v/>
      </c>
      <c r="P5">
        <f>IF(B5="Supporting",MATCH(A5-1-Entity!$B$14,Values!$J$3:$J$502,0),"")</f>
        <v/>
      </c>
      <c r="Q5">
        <f>IF(C5="","",MATCH(C5,Attributes!$A$3:$A$52,0))</f>
        <v/>
      </c>
      <c r="R5">
        <f>IF(B5="Pillar",SUBSTITUTE(Entity!$B$7,"{entity}",LOWER(Entity!$B$3)),IF(B5="Cluster",IF(INDEX(Attributes!$G$3:$G$52,Q5)&lt;&gt;"",INDEX(Attributes!$G$3:$G$52,Q5),SUBSTITUTE(SUBSTITUTE(Entity!$B$8,"{entity}",LOWER(Entity!$B$3)),"{attribute}",LOWER(C5))),IF(B5="Supporting",SUBSTITUTE(SUBSTITUTE(SUBSTITUTE(IF(INDEX(Attributes!$H$3:$H$52,Q5)&lt;&gt;"",INDEX(Attributes!$H$3:$H$52,Q5),Entity!$B$9),"{entity}",LOWER(Entity!$B$3)),"{value}",D5),"{attribute}",LOWER(C5)),"")))</f>
        <v/>
      </c>
    </row>
    <row r="6">
      <c r="A6">
        <f>ROW()-2</f>
        <v/>
      </c>
      <c r="B6">
        <f>IF(A6=1,"Pillar",IF(A6&lt;=1+Entity!$B$14,"Cluster",IF(A6&lt;=1+Entity!$B$14+Entity!$B$15,"Supporting","")))</f>
        <v/>
      </c>
      <c r="C6">
        <f>IF(B6="Cluster",INDEX(Attributes!$A$3:$A$52,MATCH(A6-1,Attributes!$P$3:$P$52,0)),IF(B6="Supporting",INDEX(Values!$A$3:$A$502,P6),""))</f>
        <v/>
      </c>
      <c r="D6">
        <f>IF(B6="Supporting",INDEX(Values!$B$3:$B$502,P6),"")</f>
        <v/>
      </c>
      <c r="E6">
        <f>IF(R6="","",UPPER(LEFT(R6,1))&amp;MID(R6,2,500))</f>
        <v/>
      </c>
      <c r="F6">
        <f>IF(E6="","",LOWER(SUBSTITUTE(SUBSTITUTE(SUBSTITUTE(SUBSTITUTE(SUBSTITUTE(SUBSTITUTE(SUBSTITUTE(TRIM(E6),":",""),",",""),"'",""),"&amp;","and"),"£",""),"  "," ")," ","-")))</f>
        <v/>
      </c>
      <c r="G6">
        <f>IF(B6="Cluster",$E$3,IF(B6="Supporting",INDEX($E$3:$E$553,MATCH(C6,$C$3:$C$553,0)),""))</f>
        <v/>
      </c>
      <c r="H6">
        <f>IF(B6="Supporting",IFERROR(INDEX($E$3:$E$553,1+Entity!$B$14+INDEX(Values!$O$3:$O$502,P6)),""),IF(B6="Cluster",IF(Entity!$B$14&lt;2,"",INDEX($E$3:$E$553,IF(A6-1=Entity!$B$14,2,A6+1))),""))</f>
        <v/>
      </c>
      <c r="I6">
        <f>IF(B6="Pillar",Entity!$B$14&amp;" cluster pages",IF(B6="Cluster",(COUNTIF($C$3:$C$553,SUBSTITUTE(SUBSTITUTE(C6,"?","~?"),"*","~*"))-1)&amp;" supporting pages",""))</f>
        <v/>
      </c>
      <c r="J6">
        <f>IF(B6="Pillar","Informational",IF(OR(B6="Cluster",B6="Supporting"),INDEX(Attributes!$D$3:$D$52,Q6)&amp;"",""))</f>
        <v/>
      </c>
      <c r="K6">
        <f>IF(B6="","",IF(B6="Pillar","Pillar guide (entity hub)",IF(B6="Cluster","Hub page for this attribute",IF(INDEX(Values!$C$3:$C$502,P6)="Yes","Entity page (profile of the sub-entity)",IFERROR(INDEX(Lists!$B$3:$B$6,MATCH(J6,Lists!$A$3:$A$6,0)),"Article")))))</f>
        <v/>
      </c>
      <c r="L6">
        <f>IF(B6="Pillar",Entity!$B$6&amp;"",IF(B6="Cluster",INDEX(Attributes!$I$3:$I$52,Q6)&amp;"",IF(B6="Supporting",INDEX(Values!$F$3:$F$502,P6)&amp;"","")))</f>
        <v/>
      </c>
      <c r="M6">
        <f>IF(B6="","",IF(L6&lt;&gt;"","Covered","Gap"))</f>
        <v/>
      </c>
      <c r="N6">
        <f>IF(B6="Pillar",SUMIFS(Values!$E$3:$E$502,Values!$I$3:$I$502,"Yes"),IF(B6="Cluster",SUMIFS(Values!$E$3:$E$502,Values!$A$3:$A$502,SUBSTITUTE(SUBSTITUTE(C6,"?","~?"),"*","~*"),Values!$I$3:$I$502,"Yes"),IF(B6="Supporting",N(INDEX(Values!$E$3:$E$502,P6)),"")))</f>
        <v/>
      </c>
      <c r="O6">
        <f>IF(B6="","",IF(B6="Pillar",100,IF(B6="Cluster",N(INDEX(Attributes!$E$3:$E$52,Q6))*25+IF(M6="Gap",10,0),N(INDEX(Attributes!$E$3:$E$52,Q6))*20+MIN(20,ROUND(LOG10(N(N6)+1)*5,0))+IF(M6="Gap",10,0)+IF(INDEX(Values!$D$3:$D$502,P6)="Yes",5,0))))</f>
        <v/>
      </c>
      <c r="P6">
        <f>IF(B6="Supporting",MATCH(A6-1-Entity!$B$14,Values!$J$3:$J$502,0),"")</f>
        <v/>
      </c>
      <c r="Q6">
        <f>IF(C6="","",MATCH(C6,Attributes!$A$3:$A$52,0))</f>
        <v/>
      </c>
      <c r="R6">
        <f>IF(B6="Pillar",SUBSTITUTE(Entity!$B$7,"{entity}",LOWER(Entity!$B$3)),IF(B6="Cluster",IF(INDEX(Attributes!$G$3:$G$52,Q6)&lt;&gt;"",INDEX(Attributes!$G$3:$G$52,Q6),SUBSTITUTE(SUBSTITUTE(Entity!$B$8,"{entity}",LOWER(Entity!$B$3)),"{attribute}",LOWER(C6))),IF(B6="Supporting",SUBSTITUTE(SUBSTITUTE(SUBSTITUTE(IF(INDEX(Attributes!$H$3:$H$52,Q6)&lt;&gt;"",INDEX(Attributes!$H$3:$H$52,Q6),Entity!$B$9),"{entity}",LOWER(Entity!$B$3)),"{value}",D6),"{attribute}",LOWER(C6)),"")))</f>
        <v/>
      </c>
    </row>
    <row r="7">
      <c r="A7">
        <f>ROW()-2</f>
        <v/>
      </c>
      <c r="B7">
        <f>IF(A7=1,"Pillar",IF(A7&lt;=1+Entity!$B$14,"Cluster",IF(A7&lt;=1+Entity!$B$14+Entity!$B$15,"Supporting","")))</f>
        <v/>
      </c>
      <c r="C7">
        <f>IF(B7="Cluster",INDEX(Attributes!$A$3:$A$52,MATCH(A7-1,Attributes!$P$3:$P$52,0)),IF(B7="Supporting",INDEX(Values!$A$3:$A$502,P7),""))</f>
        <v/>
      </c>
      <c r="D7">
        <f>IF(B7="Supporting",INDEX(Values!$B$3:$B$502,P7),"")</f>
        <v/>
      </c>
      <c r="E7">
        <f>IF(R7="","",UPPER(LEFT(R7,1))&amp;MID(R7,2,500))</f>
        <v/>
      </c>
      <c r="F7">
        <f>IF(E7="","",LOWER(SUBSTITUTE(SUBSTITUTE(SUBSTITUTE(SUBSTITUTE(SUBSTITUTE(SUBSTITUTE(SUBSTITUTE(TRIM(E7),":",""),",",""),"'",""),"&amp;","and"),"£",""),"  "," ")," ","-")))</f>
        <v/>
      </c>
      <c r="G7">
        <f>IF(B7="Cluster",$E$3,IF(B7="Supporting",INDEX($E$3:$E$553,MATCH(C7,$C$3:$C$553,0)),""))</f>
        <v/>
      </c>
      <c r="H7">
        <f>IF(B7="Supporting",IFERROR(INDEX($E$3:$E$553,1+Entity!$B$14+INDEX(Values!$O$3:$O$502,P7)),""),IF(B7="Cluster",IF(Entity!$B$14&lt;2,"",INDEX($E$3:$E$553,IF(A7-1=Entity!$B$14,2,A7+1))),""))</f>
        <v/>
      </c>
      <c r="I7">
        <f>IF(B7="Pillar",Entity!$B$14&amp;" cluster pages",IF(B7="Cluster",(COUNTIF($C$3:$C$553,SUBSTITUTE(SUBSTITUTE(C7,"?","~?"),"*","~*"))-1)&amp;" supporting pages",""))</f>
        <v/>
      </c>
      <c r="J7">
        <f>IF(B7="Pillar","Informational",IF(OR(B7="Cluster",B7="Supporting"),INDEX(Attributes!$D$3:$D$52,Q7)&amp;"",""))</f>
        <v/>
      </c>
      <c r="K7">
        <f>IF(B7="","",IF(B7="Pillar","Pillar guide (entity hub)",IF(B7="Cluster","Hub page for this attribute",IF(INDEX(Values!$C$3:$C$502,P7)="Yes","Entity page (profile of the sub-entity)",IFERROR(INDEX(Lists!$B$3:$B$6,MATCH(J7,Lists!$A$3:$A$6,0)),"Article")))))</f>
        <v/>
      </c>
      <c r="L7">
        <f>IF(B7="Pillar",Entity!$B$6&amp;"",IF(B7="Cluster",INDEX(Attributes!$I$3:$I$52,Q7)&amp;"",IF(B7="Supporting",INDEX(Values!$F$3:$F$502,P7)&amp;"","")))</f>
        <v/>
      </c>
      <c r="M7">
        <f>IF(B7="","",IF(L7&lt;&gt;"","Covered","Gap"))</f>
        <v/>
      </c>
      <c r="N7">
        <f>IF(B7="Pillar",SUMIFS(Values!$E$3:$E$502,Values!$I$3:$I$502,"Yes"),IF(B7="Cluster",SUMIFS(Values!$E$3:$E$502,Values!$A$3:$A$502,SUBSTITUTE(SUBSTITUTE(C7,"?","~?"),"*","~*"),Values!$I$3:$I$502,"Yes"),IF(B7="Supporting",N(INDEX(Values!$E$3:$E$502,P7)),"")))</f>
        <v/>
      </c>
      <c r="O7">
        <f>IF(B7="","",IF(B7="Pillar",100,IF(B7="Cluster",N(INDEX(Attributes!$E$3:$E$52,Q7))*25+IF(M7="Gap",10,0),N(INDEX(Attributes!$E$3:$E$52,Q7))*20+MIN(20,ROUND(LOG10(N(N7)+1)*5,0))+IF(M7="Gap",10,0)+IF(INDEX(Values!$D$3:$D$502,P7)="Yes",5,0))))</f>
        <v/>
      </c>
      <c r="P7">
        <f>IF(B7="Supporting",MATCH(A7-1-Entity!$B$14,Values!$J$3:$J$502,0),"")</f>
        <v/>
      </c>
      <c r="Q7">
        <f>IF(C7="","",MATCH(C7,Attributes!$A$3:$A$52,0))</f>
        <v/>
      </c>
      <c r="R7">
        <f>IF(B7="Pillar",SUBSTITUTE(Entity!$B$7,"{entity}",LOWER(Entity!$B$3)),IF(B7="Cluster",IF(INDEX(Attributes!$G$3:$G$52,Q7)&lt;&gt;"",INDEX(Attributes!$G$3:$G$52,Q7),SUBSTITUTE(SUBSTITUTE(Entity!$B$8,"{entity}",LOWER(Entity!$B$3)),"{attribute}",LOWER(C7))),IF(B7="Supporting",SUBSTITUTE(SUBSTITUTE(SUBSTITUTE(IF(INDEX(Attributes!$H$3:$H$52,Q7)&lt;&gt;"",INDEX(Attributes!$H$3:$H$52,Q7),Entity!$B$9),"{entity}",LOWER(Entity!$B$3)),"{value}",D7),"{attribute}",LOWER(C7)),"")))</f>
        <v/>
      </c>
    </row>
    <row r="8">
      <c r="A8">
        <f>ROW()-2</f>
        <v/>
      </c>
      <c r="B8">
        <f>IF(A8=1,"Pillar",IF(A8&lt;=1+Entity!$B$14,"Cluster",IF(A8&lt;=1+Entity!$B$14+Entity!$B$15,"Supporting","")))</f>
        <v/>
      </c>
      <c r="C8">
        <f>IF(B8="Cluster",INDEX(Attributes!$A$3:$A$52,MATCH(A8-1,Attributes!$P$3:$P$52,0)),IF(B8="Supporting",INDEX(Values!$A$3:$A$502,P8),""))</f>
        <v/>
      </c>
      <c r="D8">
        <f>IF(B8="Supporting",INDEX(Values!$B$3:$B$502,P8),"")</f>
        <v/>
      </c>
      <c r="E8">
        <f>IF(R8="","",UPPER(LEFT(R8,1))&amp;MID(R8,2,500))</f>
        <v/>
      </c>
      <c r="F8">
        <f>IF(E8="","",LOWER(SUBSTITUTE(SUBSTITUTE(SUBSTITUTE(SUBSTITUTE(SUBSTITUTE(SUBSTITUTE(SUBSTITUTE(TRIM(E8),":",""),",",""),"'",""),"&amp;","and"),"£",""),"  "," ")," ","-")))</f>
        <v/>
      </c>
      <c r="G8">
        <f>IF(B8="Cluster",$E$3,IF(B8="Supporting",INDEX($E$3:$E$553,MATCH(C8,$C$3:$C$553,0)),""))</f>
        <v/>
      </c>
      <c r="H8">
        <f>IF(B8="Supporting",IFERROR(INDEX($E$3:$E$553,1+Entity!$B$14+INDEX(Values!$O$3:$O$502,P8)),""),IF(B8="Cluster",IF(Entity!$B$14&lt;2,"",INDEX($E$3:$E$553,IF(A8-1=Entity!$B$14,2,A8+1))),""))</f>
        <v/>
      </c>
      <c r="I8">
        <f>IF(B8="Pillar",Entity!$B$14&amp;" cluster pages",IF(B8="Cluster",(COUNTIF($C$3:$C$553,SUBSTITUTE(SUBSTITUTE(C8,"?","~?"),"*","~*"))-1)&amp;" supporting pages",""))</f>
        <v/>
      </c>
      <c r="J8">
        <f>IF(B8="Pillar","Informational",IF(OR(B8="Cluster",B8="Supporting"),INDEX(Attributes!$D$3:$D$52,Q8)&amp;"",""))</f>
        <v/>
      </c>
      <c r="K8">
        <f>IF(B8="","",IF(B8="Pillar","Pillar guide (entity hub)",IF(B8="Cluster","Hub page for this attribute",IF(INDEX(Values!$C$3:$C$502,P8)="Yes","Entity page (profile of the sub-entity)",IFERROR(INDEX(Lists!$B$3:$B$6,MATCH(J8,Lists!$A$3:$A$6,0)),"Article")))))</f>
        <v/>
      </c>
      <c r="L8">
        <f>IF(B8="Pillar",Entity!$B$6&amp;"",IF(B8="Cluster",INDEX(Attributes!$I$3:$I$52,Q8)&amp;"",IF(B8="Supporting",INDEX(Values!$F$3:$F$502,P8)&amp;"","")))</f>
        <v/>
      </c>
      <c r="M8">
        <f>IF(B8="","",IF(L8&lt;&gt;"","Covered","Gap"))</f>
        <v/>
      </c>
      <c r="N8">
        <f>IF(B8="Pillar",SUMIFS(Values!$E$3:$E$502,Values!$I$3:$I$502,"Yes"),IF(B8="Cluster",SUMIFS(Values!$E$3:$E$502,Values!$A$3:$A$502,SUBSTITUTE(SUBSTITUTE(C8,"?","~?"),"*","~*"),Values!$I$3:$I$502,"Yes"),IF(B8="Supporting",N(INDEX(Values!$E$3:$E$502,P8)),"")))</f>
        <v/>
      </c>
      <c r="O8">
        <f>IF(B8="","",IF(B8="Pillar",100,IF(B8="Cluster",N(INDEX(Attributes!$E$3:$E$52,Q8))*25+IF(M8="Gap",10,0),N(INDEX(Attributes!$E$3:$E$52,Q8))*20+MIN(20,ROUND(LOG10(N(N8)+1)*5,0))+IF(M8="Gap",10,0)+IF(INDEX(Values!$D$3:$D$502,P8)="Yes",5,0))))</f>
        <v/>
      </c>
      <c r="P8">
        <f>IF(B8="Supporting",MATCH(A8-1-Entity!$B$14,Values!$J$3:$J$502,0),"")</f>
        <v/>
      </c>
      <c r="Q8">
        <f>IF(C8="","",MATCH(C8,Attributes!$A$3:$A$52,0))</f>
        <v/>
      </c>
      <c r="R8">
        <f>IF(B8="Pillar",SUBSTITUTE(Entity!$B$7,"{entity}",LOWER(Entity!$B$3)),IF(B8="Cluster",IF(INDEX(Attributes!$G$3:$G$52,Q8)&lt;&gt;"",INDEX(Attributes!$G$3:$G$52,Q8),SUBSTITUTE(SUBSTITUTE(Entity!$B$8,"{entity}",LOWER(Entity!$B$3)),"{attribute}",LOWER(C8))),IF(B8="Supporting",SUBSTITUTE(SUBSTITUTE(SUBSTITUTE(IF(INDEX(Attributes!$H$3:$H$52,Q8)&lt;&gt;"",INDEX(Attributes!$H$3:$H$52,Q8),Entity!$B$9),"{entity}",LOWER(Entity!$B$3)),"{value}",D8),"{attribute}",LOWER(C8)),"")))</f>
        <v/>
      </c>
    </row>
    <row r="9">
      <c r="A9">
        <f>ROW()-2</f>
        <v/>
      </c>
      <c r="B9">
        <f>IF(A9=1,"Pillar",IF(A9&lt;=1+Entity!$B$14,"Cluster",IF(A9&lt;=1+Entity!$B$14+Entity!$B$15,"Supporting","")))</f>
        <v/>
      </c>
      <c r="C9">
        <f>IF(B9="Cluster",INDEX(Attributes!$A$3:$A$52,MATCH(A9-1,Attributes!$P$3:$P$52,0)),IF(B9="Supporting",INDEX(Values!$A$3:$A$502,P9),""))</f>
        <v/>
      </c>
      <c r="D9">
        <f>IF(B9="Supporting",INDEX(Values!$B$3:$B$502,P9),"")</f>
        <v/>
      </c>
      <c r="E9">
        <f>IF(R9="","",UPPER(LEFT(R9,1))&amp;MID(R9,2,500))</f>
        <v/>
      </c>
      <c r="F9">
        <f>IF(E9="","",LOWER(SUBSTITUTE(SUBSTITUTE(SUBSTITUTE(SUBSTITUTE(SUBSTITUTE(SUBSTITUTE(SUBSTITUTE(TRIM(E9),":",""),",",""),"'",""),"&amp;","and"),"£",""),"  "," ")," ","-")))</f>
        <v/>
      </c>
      <c r="G9">
        <f>IF(B9="Cluster",$E$3,IF(B9="Supporting",INDEX($E$3:$E$553,MATCH(C9,$C$3:$C$553,0)),""))</f>
        <v/>
      </c>
      <c r="H9">
        <f>IF(B9="Supporting",IFERROR(INDEX($E$3:$E$553,1+Entity!$B$14+INDEX(Values!$O$3:$O$502,P9)),""),IF(B9="Cluster",IF(Entity!$B$14&lt;2,"",INDEX($E$3:$E$553,IF(A9-1=Entity!$B$14,2,A9+1))),""))</f>
        <v/>
      </c>
      <c r="I9">
        <f>IF(B9="Pillar",Entity!$B$14&amp;" cluster pages",IF(B9="Cluster",(COUNTIF($C$3:$C$553,SUBSTITUTE(SUBSTITUTE(C9,"?","~?"),"*","~*"))-1)&amp;" supporting pages",""))</f>
        <v/>
      </c>
      <c r="J9">
        <f>IF(B9="Pillar","Informational",IF(OR(B9="Cluster",B9="Supporting"),INDEX(Attributes!$D$3:$D$52,Q9)&amp;"",""))</f>
        <v/>
      </c>
      <c r="K9">
        <f>IF(B9="","",IF(B9="Pillar","Pillar guide (entity hub)",IF(B9="Cluster","Hub page for this attribute",IF(INDEX(Values!$C$3:$C$502,P9)="Yes","Entity page (profile of the sub-entity)",IFERROR(INDEX(Lists!$B$3:$B$6,MATCH(J9,Lists!$A$3:$A$6,0)),"Article")))))</f>
        <v/>
      </c>
      <c r="L9">
        <f>IF(B9="Pillar",Entity!$B$6&amp;"",IF(B9="Cluster",INDEX(Attributes!$I$3:$I$52,Q9)&amp;"",IF(B9="Supporting",INDEX(Values!$F$3:$F$502,P9)&amp;"","")))</f>
        <v/>
      </c>
      <c r="M9">
        <f>IF(B9="","",IF(L9&lt;&gt;"","Covered","Gap"))</f>
        <v/>
      </c>
      <c r="N9">
        <f>IF(B9="Pillar",SUMIFS(Values!$E$3:$E$502,Values!$I$3:$I$502,"Yes"),IF(B9="Cluster",SUMIFS(Values!$E$3:$E$502,Values!$A$3:$A$502,SUBSTITUTE(SUBSTITUTE(C9,"?","~?"),"*","~*"),Values!$I$3:$I$502,"Yes"),IF(B9="Supporting",N(INDEX(Values!$E$3:$E$502,P9)),"")))</f>
        <v/>
      </c>
      <c r="O9">
        <f>IF(B9="","",IF(B9="Pillar",100,IF(B9="Cluster",N(INDEX(Attributes!$E$3:$E$52,Q9))*25+IF(M9="Gap",10,0),N(INDEX(Attributes!$E$3:$E$52,Q9))*20+MIN(20,ROUND(LOG10(N(N9)+1)*5,0))+IF(M9="Gap",10,0)+IF(INDEX(Values!$D$3:$D$502,P9)="Yes",5,0))))</f>
        <v/>
      </c>
      <c r="P9">
        <f>IF(B9="Supporting",MATCH(A9-1-Entity!$B$14,Values!$J$3:$J$502,0),"")</f>
        <v/>
      </c>
      <c r="Q9">
        <f>IF(C9="","",MATCH(C9,Attributes!$A$3:$A$52,0))</f>
        <v/>
      </c>
      <c r="R9">
        <f>IF(B9="Pillar",SUBSTITUTE(Entity!$B$7,"{entity}",LOWER(Entity!$B$3)),IF(B9="Cluster",IF(INDEX(Attributes!$G$3:$G$52,Q9)&lt;&gt;"",INDEX(Attributes!$G$3:$G$52,Q9),SUBSTITUTE(SUBSTITUTE(Entity!$B$8,"{entity}",LOWER(Entity!$B$3)),"{attribute}",LOWER(C9))),IF(B9="Supporting",SUBSTITUTE(SUBSTITUTE(SUBSTITUTE(IF(INDEX(Attributes!$H$3:$H$52,Q9)&lt;&gt;"",INDEX(Attributes!$H$3:$H$52,Q9),Entity!$B$9),"{entity}",LOWER(Entity!$B$3)),"{value}",D9),"{attribute}",LOWER(C9)),"")))</f>
        <v/>
      </c>
    </row>
    <row r="10">
      <c r="A10">
        <f>ROW()-2</f>
        <v/>
      </c>
      <c r="B10">
        <f>IF(A10=1,"Pillar",IF(A10&lt;=1+Entity!$B$14,"Cluster",IF(A10&lt;=1+Entity!$B$14+Entity!$B$15,"Supporting","")))</f>
        <v/>
      </c>
      <c r="C10">
        <f>IF(B10="Cluster",INDEX(Attributes!$A$3:$A$52,MATCH(A10-1,Attributes!$P$3:$P$52,0)),IF(B10="Supporting",INDEX(Values!$A$3:$A$502,P10),""))</f>
        <v/>
      </c>
      <c r="D10">
        <f>IF(B10="Supporting",INDEX(Values!$B$3:$B$502,P10),"")</f>
        <v/>
      </c>
      <c r="E10">
        <f>IF(R10="","",UPPER(LEFT(R10,1))&amp;MID(R10,2,500))</f>
        <v/>
      </c>
      <c r="F10">
        <f>IF(E10="","",LOWER(SUBSTITUTE(SUBSTITUTE(SUBSTITUTE(SUBSTITUTE(SUBSTITUTE(SUBSTITUTE(SUBSTITUTE(TRIM(E10),":",""),",",""),"'",""),"&amp;","and"),"£",""),"  "," ")," ","-")))</f>
        <v/>
      </c>
      <c r="G10">
        <f>IF(B10="Cluster",$E$3,IF(B10="Supporting",INDEX($E$3:$E$553,MATCH(C10,$C$3:$C$553,0)),""))</f>
        <v/>
      </c>
      <c r="H10">
        <f>IF(B10="Supporting",IFERROR(INDEX($E$3:$E$553,1+Entity!$B$14+INDEX(Values!$O$3:$O$502,P10)),""),IF(B10="Cluster",IF(Entity!$B$14&lt;2,"",INDEX($E$3:$E$553,IF(A10-1=Entity!$B$14,2,A10+1))),""))</f>
        <v/>
      </c>
      <c r="I10">
        <f>IF(B10="Pillar",Entity!$B$14&amp;" cluster pages",IF(B10="Cluster",(COUNTIF($C$3:$C$553,SUBSTITUTE(SUBSTITUTE(C10,"?","~?"),"*","~*"))-1)&amp;" supporting pages",""))</f>
        <v/>
      </c>
      <c r="J10">
        <f>IF(B10="Pillar","Informational",IF(OR(B10="Cluster",B10="Supporting"),INDEX(Attributes!$D$3:$D$52,Q10)&amp;"",""))</f>
        <v/>
      </c>
      <c r="K10">
        <f>IF(B10="","",IF(B10="Pillar","Pillar guide (entity hub)",IF(B10="Cluster","Hub page for this attribute",IF(INDEX(Values!$C$3:$C$502,P10)="Yes","Entity page (profile of the sub-entity)",IFERROR(INDEX(Lists!$B$3:$B$6,MATCH(J10,Lists!$A$3:$A$6,0)),"Article")))))</f>
        <v/>
      </c>
      <c r="L10">
        <f>IF(B10="Pillar",Entity!$B$6&amp;"",IF(B10="Cluster",INDEX(Attributes!$I$3:$I$52,Q10)&amp;"",IF(B10="Supporting",INDEX(Values!$F$3:$F$502,P10)&amp;"","")))</f>
        <v/>
      </c>
      <c r="M10">
        <f>IF(B10="","",IF(L10&lt;&gt;"","Covered","Gap"))</f>
        <v/>
      </c>
      <c r="N10">
        <f>IF(B10="Pillar",SUMIFS(Values!$E$3:$E$502,Values!$I$3:$I$502,"Yes"),IF(B10="Cluster",SUMIFS(Values!$E$3:$E$502,Values!$A$3:$A$502,SUBSTITUTE(SUBSTITUTE(C10,"?","~?"),"*","~*"),Values!$I$3:$I$502,"Yes"),IF(B10="Supporting",N(INDEX(Values!$E$3:$E$502,P10)),"")))</f>
        <v/>
      </c>
      <c r="O10">
        <f>IF(B10="","",IF(B10="Pillar",100,IF(B10="Cluster",N(INDEX(Attributes!$E$3:$E$52,Q10))*25+IF(M10="Gap",10,0),N(INDEX(Attributes!$E$3:$E$52,Q10))*20+MIN(20,ROUND(LOG10(N(N10)+1)*5,0))+IF(M10="Gap",10,0)+IF(INDEX(Values!$D$3:$D$502,P10)="Yes",5,0))))</f>
        <v/>
      </c>
      <c r="P10">
        <f>IF(B10="Supporting",MATCH(A10-1-Entity!$B$14,Values!$J$3:$J$502,0),"")</f>
        <v/>
      </c>
      <c r="Q10">
        <f>IF(C10="","",MATCH(C10,Attributes!$A$3:$A$52,0))</f>
        <v/>
      </c>
      <c r="R10">
        <f>IF(B10="Pillar",SUBSTITUTE(Entity!$B$7,"{entity}",LOWER(Entity!$B$3)),IF(B10="Cluster",IF(INDEX(Attributes!$G$3:$G$52,Q10)&lt;&gt;"",INDEX(Attributes!$G$3:$G$52,Q10),SUBSTITUTE(SUBSTITUTE(Entity!$B$8,"{entity}",LOWER(Entity!$B$3)),"{attribute}",LOWER(C10))),IF(B10="Supporting",SUBSTITUTE(SUBSTITUTE(SUBSTITUTE(IF(INDEX(Attributes!$H$3:$H$52,Q10)&lt;&gt;"",INDEX(Attributes!$H$3:$H$52,Q10),Entity!$B$9),"{entity}",LOWER(Entity!$B$3)),"{value}",D10),"{attribute}",LOWER(C10)),"")))</f>
        <v/>
      </c>
    </row>
    <row r="11">
      <c r="A11">
        <f>ROW()-2</f>
        <v/>
      </c>
      <c r="B11">
        <f>IF(A11=1,"Pillar",IF(A11&lt;=1+Entity!$B$14,"Cluster",IF(A11&lt;=1+Entity!$B$14+Entity!$B$15,"Supporting","")))</f>
        <v/>
      </c>
      <c r="C11">
        <f>IF(B11="Cluster",INDEX(Attributes!$A$3:$A$52,MATCH(A11-1,Attributes!$P$3:$P$52,0)),IF(B11="Supporting",INDEX(Values!$A$3:$A$502,P11),""))</f>
        <v/>
      </c>
      <c r="D11">
        <f>IF(B11="Supporting",INDEX(Values!$B$3:$B$502,P11),"")</f>
        <v/>
      </c>
      <c r="E11">
        <f>IF(R11="","",UPPER(LEFT(R11,1))&amp;MID(R11,2,500))</f>
        <v/>
      </c>
      <c r="F11">
        <f>IF(E11="","",LOWER(SUBSTITUTE(SUBSTITUTE(SUBSTITUTE(SUBSTITUTE(SUBSTITUTE(SUBSTITUTE(SUBSTITUTE(TRIM(E11),":",""),",",""),"'",""),"&amp;","and"),"£",""),"  "," ")," ","-")))</f>
        <v/>
      </c>
      <c r="G11">
        <f>IF(B11="Cluster",$E$3,IF(B11="Supporting",INDEX($E$3:$E$553,MATCH(C11,$C$3:$C$553,0)),""))</f>
        <v/>
      </c>
      <c r="H11">
        <f>IF(B11="Supporting",IFERROR(INDEX($E$3:$E$553,1+Entity!$B$14+INDEX(Values!$O$3:$O$502,P11)),""),IF(B11="Cluster",IF(Entity!$B$14&lt;2,"",INDEX($E$3:$E$553,IF(A11-1=Entity!$B$14,2,A11+1))),""))</f>
        <v/>
      </c>
      <c r="I11">
        <f>IF(B11="Pillar",Entity!$B$14&amp;" cluster pages",IF(B11="Cluster",(COUNTIF($C$3:$C$553,SUBSTITUTE(SUBSTITUTE(C11,"?","~?"),"*","~*"))-1)&amp;" supporting pages",""))</f>
        <v/>
      </c>
      <c r="J11">
        <f>IF(B11="Pillar","Informational",IF(OR(B11="Cluster",B11="Supporting"),INDEX(Attributes!$D$3:$D$52,Q11)&amp;"",""))</f>
        <v/>
      </c>
      <c r="K11">
        <f>IF(B11="","",IF(B11="Pillar","Pillar guide (entity hub)",IF(B11="Cluster","Hub page for this attribute",IF(INDEX(Values!$C$3:$C$502,P11)="Yes","Entity page (profile of the sub-entity)",IFERROR(INDEX(Lists!$B$3:$B$6,MATCH(J11,Lists!$A$3:$A$6,0)),"Article")))))</f>
        <v/>
      </c>
      <c r="L11">
        <f>IF(B11="Pillar",Entity!$B$6&amp;"",IF(B11="Cluster",INDEX(Attributes!$I$3:$I$52,Q11)&amp;"",IF(B11="Supporting",INDEX(Values!$F$3:$F$502,P11)&amp;"","")))</f>
        <v/>
      </c>
      <c r="M11">
        <f>IF(B11="","",IF(L11&lt;&gt;"","Covered","Gap"))</f>
        <v/>
      </c>
      <c r="N11">
        <f>IF(B11="Pillar",SUMIFS(Values!$E$3:$E$502,Values!$I$3:$I$502,"Yes"),IF(B11="Cluster",SUMIFS(Values!$E$3:$E$502,Values!$A$3:$A$502,SUBSTITUTE(SUBSTITUTE(C11,"?","~?"),"*","~*"),Values!$I$3:$I$502,"Yes"),IF(B11="Supporting",N(INDEX(Values!$E$3:$E$502,P11)),"")))</f>
        <v/>
      </c>
      <c r="O11">
        <f>IF(B11="","",IF(B11="Pillar",100,IF(B11="Cluster",N(INDEX(Attributes!$E$3:$E$52,Q11))*25+IF(M11="Gap",10,0),N(INDEX(Attributes!$E$3:$E$52,Q11))*20+MIN(20,ROUND(LOG10(N(N11)+1)*5,0))+IF(M11="Gap",10,0)+IF(INDEX(Values!$D$3:$D$502,P11)="Yes",5,0))))</f>
        <v/>
      </c>
      <c r="P11">
        <f>IF(B11="Supporting",MATCH(A11-1-Entity!$B$14,Values!$J$3:$J$502,0),"")</f>
        <v/>
      </c>
      <c r="Q11">
        <f>IF(C11="","",MATCH(C11,Attributes!$A$3:$A$52,0))</f>
        <v/>
      </c>
      <c r="R11">
        <f>IF(B11="Pillar",SUBSTITUTE(Entity!$B$7,"{entity}",LOWER(Entity!$B$3)),IF(B11="Cluster",IF(INDEX(Attributes!$G$3:$G$52,Q11)&lt;&gt;"",INDEX(Attributes!$G$3:$G$52,Q11),SUBSTITUTE(SUBSTITUTE(Entity!$B$8,"{entity}",LOWER(Entity!$B$3)),"{attribute}",LOWER(C11))),IF(B11="Supporting",SUBSTITUTE(SUBSTITUTE(SUBSTITUTE(IF(INDEX(Attributes!$H$3:$H$52,Q11)&lt;&gt;"",INDEX(Attributes!$H$3:$H$52,Q11),Entity!$B$9),"{entity}",LOWER(Entity!$B$3)),"{value}",D11),"{attribute}",LOWER(C11)),"")))</f>
        <v/>
      </c>
    </row>
    <row r="12">
      <c r="A12">
        <f>ROW()-2</f>
        <v/>
      </c>
      <c r="B12">
        <f>IF(A12=1,"Pillar",IF(A12&lt;=1+Entity!$B$14,"Cluster",IF(A12&lt;=1+Entity!$B$14+Entity!$B$15,"Supporting","")))</f>
        <v/>
      </c>
      <c r="C12">
        <f>IF(B12="Cluster",INDEX(Attributes!$A$3:$A$52,MATCH(A12-1,Attributes!$P$3:$P$52,0)),IF(B12="Supporting",INDEX(Values!$A$3:$A$502,P12),""))</f>
        <v/>
      </c>
      <c r="D12">
        <f>IF(B12="Supporting",INDEX(Values!$B$3:$B$502,P12),"")</f>
        <v/>
      </c>
      <c r="E12">
        <f>IF(R12="","",UPPER(LEFT(R12,1))&amp;MID(R12,2,500))</f>
        <v/>
      </c>
      <c r="F12">
        <f>IF(E12="","",LOWER(SUBSTITUTE(SUBSTITUTE(SUBSTITUTE(SUBSTITUTE(SUBSTITUTE(SUBSTITUTE(SUBSTITUTE(TRIM(E12),":",""),",",""),"'",""),"&amp;","and"),"£",""),"  "," ")," ","-")))</f>
        <v/>
      </c>
      <c r="G12">
        <f>IF(B12="Cluster",$E$3,IF(B12="Supporting",INDEX($E$3:$E$553,MATCH(C12,$C$3:$C$553,0)),""))</f>
        <v/>
      </c>
      <c r="H12">
        <f>IF(B12="Supporting",IFERROR(INDEX($E$3:$E$553,1+Entity!$B$14+INDEX(Values!$O$3:$O$502,P12)),""),IF(B12="Cluster",IF(Entity!$B$14&lt;2,"",INDEX($E$3:$E$553,IF(A12-1=Entity!$B$14,2,A12+1))),""))</f>
        <v/>
      </c>
      <c r="I12">
        <f>IF(B12="Pillar",Entity!$B$14&amp;" cluster pages",IF(B12="Cluster",(COUNTIF($C$3:$C$553,SUBSTITUTE(SUBSTITUTE(C12,"?","~?"),"*","~*"))-1)&amp;" supporting pages",""))</f>
        <v/>
      </c>
      <c r="J12">
        <f>IF(B12="Pillar","Informational",IF(OR(B12="Cluster",B12="Supporting"),INDEX(Attributes!$D$3:$D$52,Q12)&amp;"",""))</f>
        <v/>
      </c>
      <c r="K12">
        <f>IF(B12="","",IF(B12="Pillar","Pillar guide (entity hub)",IF(B12="Cluster","Hub page for this attribute",IF(INDEX(Values!$C$3:$C$502,P12)="Yes","Entity page (profile of the sub-entity)",IFERROR(INDEX(Lists!$B$3:$B$6,MATCH(J12,Lists!$A$3:$A$6,0)),"Article")))))</f>
        <v/>
      </c>
      <c r="L12">
        <f>IF(B12="Pillar",Entity!$B$6&amp;"",IF(B12="Cluster",INDEX(Attributes!$I$3:$I$52,Q12)&amp;"",IF(B12="Supporting",INDEX(Values!$F$3:$F$502,P12)&amp;"","")))</f>
        <v/>
      </c>
      <c r="M12">
        <f>IF(B12="","",IF(L12&lt;&gt;"","Covered","Gap"))</f>
        <v/>
      </c>
      <c r="N12">
        <f>IF(B12="Pillar",SUMIFS(Values!$E$3:$E$502,Values!$I$3:$I$502,"Yes"),IF(B12="Cluster",SUMIFS(Values!$E$3:$E$502,Values!$A$3:$A$502,SUBSTITUTE(SUBSTITUTE(C12,"?","~?"),"*","~*"),Values!$I$3:$I$502,"Yes"),IF(B12="Supporting",N(INDEX(Values!$E$3:$E$502,P12)),"")))</f>
        <v/>
      </c>
      <c r="O12">
        <f>IF(B12="","",IF(B12="Pillar",100,IF(B12="Cluster",N(INDEX(Attributes!$E$3:$E$52,Q12))*25+IF(M12="Gap",10,0),N(INDEX(Attributes!$E$3:$E$52,Q12))*20+MIN(20,ROUND(LOG10(N(N12)+1)*5,0))+IF(M12="Gap",10,0)+IF(INDEX(Values!$D$3:$D$502,P12)="Yes",5,0))))</f>
        <v/>
      </c>
      <c r="P12">
        <f>IF(B12="Supporting",MATCH(A12-1-Entity!$B$14,Values!$J$3:$J$502,0),"")</f>
        <v/>
      </c>
      <c r="Q12">
        <f>IF(C12="","",MATCH(C12,Attributes!$A$3:$A$52,0))</f>
        <v/>
      </c>
      <c r="R12">
        <f>IF(B12="Pillar",SUBSTITUTE(Entity!$B$7,"{entity}",LOWER(Entity!$B$3)),IF(B12="Cluster",IF(INDEX(Attributes!$G$3:$G$52,Q12)&lt;&gt;"",INDEX(Attributes!$G$3:$G$52,Q12),SUBSTITUTE(SUBSTITUTE(Entity!$B$8,"{entity}",LOWER(Entity!$B$3)),"{attribute}",LOWER(C12))),IF(B12="Supporting",SUBSTITUTE(SUBSTITUTE(SUBSTITUTE(IF(INDEX(Attributes!$H$3:$H$52,Q12)&lt;&gt;"",INDEX(Attributes!$H$3:$H$52,Q12),Entity!$B$9),"{entity}",LOWER(Entity!$B$3)),"{value}",D12),"{attribute}",LOWER(C12)),"")))</f>
        <v/>
      </c>
    </row>
    <row r="13">
      <c r="A13">
        <f>ROW()-2</f>
        <v/>
      </c>
      <c r="B13">
        <f>IF(A13=1,"Pillar",IF(A13&lt;=1+Entity!$B$14,"Cluster",IF(A13&lt;=1+Entity!$B$14+Entity!$B$15,"Supporting","")))</f>
        <v/>
      </c>
      <c r="C13">
        <f>IF(B13="Cluster",INDEX(Attributes!$A$3:$A$52,MATCH(A13-1,Attributes!$P$3:$P$52,0)),IF(B13="Supporting",INDEX(Values!$A$3:$A$502,P13),""))</f>
        <v/>
      </c>
      <c r="D13">
        <f>IF(B13="Supporting",INDEX(Values!$B$3:$B$502,P13),"")</f>
        <v/>
      </c>
      <c r="E13">
        <f>IF(R13="","",UPPER(LEFT(R13,1))&amp;MID(R13,2,500))</f>
        <v/>
      </c>
      <c r="F13">
        <f>IF(E13="","",LOWER(SUBSTITUTE(SUBSTITUTE(SUBSTITUTE(SUBSTITUTE(SUBSTITUTE(SUBSTITUTE(SUBSTITUTE(TRIM(E13),":",""),",",""),"'",""),"&amp;","and"),"£",""),"  "," ")," ","-")))</f>
        <v/>
      </c>
      <c r="G13">
        <f>IF(B13="Cluster",$E$3,IF(B13="Supporting",INDEX($E$3:$E$553,MATCH(C13,$C$3:$C$553,0)),""))</f>
        <v/>
      </c>
      <c r="H13">
        <f>IF(B13="Supporting",IFERROR(INDEX($E$3:$E$553,1+Entity!$B$14+INDEX(Values!$O$3:$O$502,P13)),""),IF(B13="Cluster",IF(Entity!$B$14&lt;2,"",INDEX($E$3:$E$553,IF(A13-1=Entity!$B$14,2,A13+1))),""))</f>
        <v/>
      </c>
      <c r="I13">
        <f>IF(B13="Pillar",Entity!$B$14&amp;" cluster pages",IF(B13="Cluster",(COUNTIF($C$3:$C$553,SUBSTITUTE(SUBSTITUTE(C13,"?","~?"),"*","~*"))-1)&amp;" supporting pages",""))</f>
        <v/>
      </c>
      <c r="J13">
        <f>IF(B13="Pillar","Informational",IF(OR(B13="Cluster",B13="Supporting"),INDEX(Attributes!$D$3:$D$52,Q13)&amp;"",""))</f>
        <v/>
      </c>
      <c r="K13">
        <f>IF(B13="","",IF(B13="Pillar","Pillar guide (entity hub)",IF(B13="Cluster","Hub page for this attribute",IF(INDEX(Values!$C$3:$C$502,P13)="Yes","Entity page (profile of the sub-entity)",IFERROR(INDEX(Lists!$B$3:$B$6,MATCH(J13,Lists!$A$3:$A$6,0)),"Article")))))</f>
        <v/>
      </c>
      <c r="L13">
        <f>IF(B13="Pillar",Entity!$B$6&amp;"",IF(B13="Cluster",INDEX(Attributes!$I$3:$I$52,Q13)&amp;"",IF(B13="Supporting",INDEX(Values!$F$3:$F$502,P13)&amp;"","")))</f>
        <v/>
      </c>
      <c r="M13">
        <f>IF(B13="","",IF(L13&lt;&gt;"","Covered","Gap"))</f>
        <v/>
      </c>
      <c r="N13">
        <f>IF(B13="Pillar",SUMIFS(Values!$E$3:$E$502,Values!$I$3:$I$502,"Yes"),IF(B13="Cluster",SUMIFS(Values!$E$3:$E$502,Values!$A$3:$A$502,SUBSTITUTE(SUBSTITUTE(C13,"?","~?"),"*","~*"),Values!$I$3:$I$502,"Yes"),IF(B13="Supporting",N(INDEX(Values!$E$3:$E$502,P13)),"")))</f>
        <v/>
      </c>
      <c r="O13">
        <f>IF(B13="","",IF(B13="Pillar",100,IF(B13="Cluster",N(INDEX(Attributes!$E$3:$E$52,Q13))*25+IF(M13="Gap",10,0),N(INDEX(Attributes!$E$3:$E$52,Q13))*20+MIN(20,ROUND(LOG10(N(N13)+1)*5,0))+IF(M13="Gap",10,0)+IF(INDEX(Values!$D$3:$D$502,P13)="Yes",5,0))))</f>
        <v/>
      </c>
      <c r="P13">
        <f>IF(B13="Supporting",MATCH(A13-1-Entity!$B$14,Values!$J$3:$J$502,0),"")</f>
        <v/>
      </c>
      <c r="Q13">
        <f>IF(C13="","",MATCH(C13,Attributes!$A$3:$A$52,0))</f>
        <v/>
      </c>
      <c r="R13">
        <f>IF(B13="Pillar",SUBSTITUTE(Entity!$B$7,"{entity}",LOWER(Entity!$B$3)),IF(B13="Cluster",IF(INDEX(Attributes!$G$3:$G$52,Q13)&lt;&gt;"",INDEX(Attributes!$G$3:$G$52,Q13),SUBSTITUTE(SUBSTITUTE(Entity!$B$8,"{entity}",LOWER(Entity!$B$3)),"{attribute}",LOWER(C13))),IF(B13="Supporting",SUBSTITUTE(SUBSTITUTE(SUBSTITUTE(IF(INDEX(Attributes!$H$3:$H$52,Q13)&lt;&gt;"",INDEX(Attributes!$H$3:$H$52,Q13),Entity!$B$9),"{entity}",LOWER(Entity!$B$3)),"{value}",D13),"{attribute}",LOWER(C13)),"")))</f>
        <v/>
      </c>
    </row>
    <row r="14">
      <c r="A14">
        <f>ROW()-2</f>
        <v/>
      </c>
      <c r="B14">
        <f>IF(A14=1,"Pillar",IF(A14&lt;=1+Entity!$B$14,"Cluster",IF(A14&lt;=1+Entity!$B$14+Entity!$B$15,"Supporting","")))</f>
        <v/>
      </c>
      <c r="C14">
        <f>IF(B14="Cluster",INDEX(Attributes!$A$3:$A$52,MATCH(A14-1,Attributes!$P$3:$P$52,0)),IF(B14="Supporting",INDEX(Values!$A$3:$A$502,P14),""))</f>
        <v/>
      </c>
      <c r="D14">
        <f>IF(B14="Supporting",INDEX(Values!$B$3:$B$502,P14),"")</f>
        <v/>
      </c>
      <c r="E14">
        <f>IF(R14="","",UPPER(LEFT(R14,1))&amp;MID(R14,2,500))</f>
        <v/>
      </c>
      <c r="F14">
        <f>IF(E14="","",LOWER(SUBSTITUTE(SUBSTITUTE(SUBSTITUTE(SUBSTITUTE(SUBSTITUTE(SUBSTITUTE(SUBSTITUTE(TRIM(E14),":",""),",",""),"'",""),"&amp;","and"),"£",""),"  "," ")," ","-")))</f>
        <v/>
      </c>
      <c r="G14">
        <f>IF(B14="Cluster",$E$3,IF(B14="Supporting",INDEX($E$3:$E$553,MATCH(C14,$C$3:$C$553,0)),""))</f>
        <v/>
      </c>
      <c r="H14">
        <f>IF(B14="Supporting",IFERROR(INDEX($E$3:$E$553,1+Entity!$B$14+INDEX(Values!$O$3:$O$502,P14)),""),IF(B14="Cluster",IF(Entity!$B$14&lt;2,"",INDEX($E$3:$E$553,IF(A14-1=Entity!$B$14,2,A14+1))),""))</f>
        <v/>
      </c>
      <c r="I14">
        <f>IF(B14="Pillar",Entity!$B$14&amp;" cluster pages",IF(B14="Cluster",(COUNTIF($C$3:$C$553,SUBSTITUTE(SUBSTITUTE(C14,"?","~?"),"*","~*"))-1)&amp;" supporting pages",""))</f>
        <v/>
      </c>
      <c r="J14">
        <f>IF(B14="Pillar","Informational",IF(OR(B14="Cluster",B14="Supporting"),INDEX(Attributes!$D$3:$D$52,Q14)&amp;"",""))</f>
        <v/>
      </c>
      <c r="K14">
        <f>IF(B14="","",IF(B14="Pillar","Pillar guide (entity hub)",IF(B14="Cluster","Hub page for this attribute",IF(INDEX(Values!$C$3:$C$502,P14)="Yes","Entity page (profile of the sub-entity)",IFERROR(INDEX(Lists!$B$3:$B$6,MATCH(J14,Lists!$A$3:$A$6,0)),"Article")))))</f>
        <v/>
      </c>
      <c r="L14">
        <f>IF(B14="Pillar",Entity!$B$6&amp;"",IF(B14="Cluster",INDEX(Attributes!$I$3:$I$52,Q14)&amp;"",IF(B14="Supporting",INDEX(Values!$F$3:$F$502,P14)&amp;"","")))</f>
        <v/>
      </c>
      <c r="M14">
        <f>IF(B14="","",IF(L14&lt;&gt;"","Covered","Gap"))</f>
        <v/>
      </c>
      <c r="N14">
        <f>IF(B14="Pillar",SUMIFS(Values!$E$3:$E$502,Values!$I$3:$I$502,"Yes"),IF(B14="Cluster",SUMIFS(Values!$E$3:$E$502,Values!$A$3:$A$502,SUBSTITUTE(SUBSTITUTE(C14,"?","~?"),"*","~*"),Values!$I$3:$I$502,"Yes"),IF(B14="Supporting",N(INDEX(Values!$E$3:$E$502,P14)),"")))</f>
        <v/>
      </c>
      <c r="O14">
        <f>IF(B14="","",IF(B14="Pillar",100,IF(B14="Cluster",N(INDEX(Attributes!$E$3:$E$52,Q14))*25+IF(M14="Gap",10,0),N(INDEX(Attributes!$E$3:$E$52,Q14))*20+MIN(20,ROUND(LOG10(N(N14)+1)*5,0))+IF(M14="Gap",10,0)+IF(INDEX(Values!$D$3:$D$502,P14)="Yes",5,0))))</f>
        <v/>
      </c>
      <c r="P14">
        <f>IF(B14="Supporting",MATCH(A14-1-Entity!$B$14,Values!$J$3:$J$502,0),"")</f>
        <v/>
      </c>
      <c r="Q14">
        <f>IF(C14="","",MATCH(C14,Attributes!$A$3:$A$52,0))</f>
        <v/>
      </c>
      <c r="R14">
        <f>IF(B14="Pillar",SUBSTITUTE(Entity!$B$7,"{entity}",LOWER(Entity!$B$3)),IF(B14="Cluster",IF(INDEX(Attributes!$G$3:$G$52,Q14)&lt;&gt;"",INDEX(Attributes!$G$3:$G$52,Q14),SUBSTITUTE(SUBSTITUTE(Entity!$B$8,"{entity}",LOWER(Entity!$B$3)),"{attribute}",LOWER(C14))),IF(B14="Supporting",SUBSTITUTE(SUBSTITUTE(SUBSTITUTE(IF(INDEX(Attributes!$H$3:$H$52,Q14)&lt;&gt;"",INDEX(Attributes!$H$3:$H$52,Q14),Entity!$B$9),"{entity}",LOWER(Entity!$B$3)),"{value}",D14),"{attribute}",LOWER(C14)),"")))</f>
        <v/>
      </c>
    </row>
    <row r="15">
      <c r="A15">
        <f>ROW()-2</f>
        <v/>
      </c>
      <c r="B15">
        <f>IF(A15=1,"Pillar",IF(A15&lt;=1+Entity!$B$14,"Cluster",IF(A15&lt;=1+Entity!$B$14+Entity!$B$15,"Supporting","")))</f>
        <v/>
      </c>
      <c r="C15">
        <f>IF(B15="Cluster",INDEX(Attributes!$A$3:$A$52,MATCH(A15-1,Attributes!$P$3:$P$52,0)),IF(B15="Supporting",INDEX(Values!$A$3:$A$502,P15),""))</f>
        <v/>
      </c>
      <c r="D15">
        <f>IF(B15="Supporting",INDEX(Values!$B$3:$B$502,P15),"")</f>
        <v/>
      </c>
      <c r="E15">
        <f>IF(R15="","",UPPER(LEFT(R15,1))&amp;MID(R15,2,500))</f>
        <v/>
      </c>
      <c r="F15">
        <f>IF(E15="","",LOWER(SUBSTITUTE(SUBSTITUTE(SUBSTITUTE(SUBSTITUTE(SUBSTITUTE(SUBSTITUTE(SUBSTITUTE(TRIM(E15),":",""),",",""),"'",""),"&amp;","and"),"£",""),"  "," ")," ","-")))</f>
        <v/>
      </c>
      <c r="G15">
        <f>IF(B15="Cluster",$E$3,IF(B15="Supporting",INDEX($E$3:$E$553,MATCH(C15,$C$3:$C$553,0)),""))</f>
        <v/>
      </c>
      <c r="H15">
        <f>IF(B15="Supporting",IFERROR(INDEX($E$3:$E$553,1+Entity!$B$14+INDEX(Values!$O$3:$O$502,P15)),""),IF(B15="Cluster",IF(Entity!$B$14&lt;2,"",INDEX($E$3:$E$553,IF(A15-1=Entity!$B$14,2,A15+1))),""))</f>
        <v/>
      </c>
      <c r="I15">
        <f>IF(B15="Pillar",Entity!$B$14&amp;" cluster pages",IF(B15="Cluster",(COUNTIF($C$3:$C$553,SUBSTITUTE(SUBSTITUTE(C15,"?","~?"),"*","~*"))-1)&amp;" supporting pages",""))</f>
        <v/>
      </c>
      <c r="J15">
        <f>IF(B15="Pillar","Informational",IF(OR(B15="Cluster",B15="Supporting"),INDEX(Attributes!$D$3:$D$52,Q15)&amp;"",""))</f>
        <v/>
      </c>
      <c r="K15">
        <f>IF(B15="","",IF(B15="Pillar","Pillar guide (entity hub)",IF(B15="Cluster","Hub page for this attribute",IF(INDEX(Values!$C$3:$C$502,P15)="Yes","Entity page (profile of the sub-entity)",IFERROR(INDEX(Lists!$B$3:$B$6,MATCH(J15,Lists!$A$3:$A$6,0)),"Article")))))</f>
        <v/>
      </c>
      <c r="L15">
        <f>IF(B15="Pillar",Entity!$B$6&amp;"",IF(B15="Cluster",INDEX(Attributes!$I$3:$I$52,Q15)&amp;"",IF(B15="Supporting",INDEX(Values!$F$3:$F$502,P15)&amp;"","")))</f>
        <v/>
      </c>
      <c r="M15">
        <f>IF(B15="","",IF(L15&lt;&gt;"","Covered","Gap"))</f>
        <v/>
      </c>
      <c r="N15">
        <f>IF(B15="Pillar",SUMIFS(Values!$E$3:$E$502,Values!$I$3:$I$502,"Yes"),IF(B15="Cluster",SUMIFS(Values!$E$3:$E$502,Values!$A$3:$A$502,SUBSTITUTE(SUBSTITUTE(C15,"?","~?"),"*","~*"),Values!$I$3:$I$502,"Yes"),IF(B15="Supporting",N(INDEX(Values!$E$3:$E$502,P15)),"")))</f>
        <v/>
      </c>
      <c r="O15">
        <f>IF(B15="","",IF(B15="Pillar",100,IF(B15="Cluster",N(INDEX(Attributes!$E$3:$E$52,Q15))*25+IF(M15="Gap",10,0),N(INDEX(Attributes!$E$3:$E$52,Q15))*20+MIN(20,ROUND(LOG10(N(N15)+1)*5,0))+IF(M15="Gap",10,0)+IF(INDEX(Values!$D$3:$D$502,P15)="Yes",5,0))))</f>
        <v/>
      </c>
      <c r="P15">
        <f>IF(B15="Supporting",MATCH(A15-1-Entity!$B$14,Values!$J$3:$J$502,0),"")</f>
        <v/>
      </c>
      <c r="Q15">
        <f>IF(C15="","",MATCH(C15,Attributes!$A$3:$A$52,0))</f>
        <v/>
      </c>
      <c r="R15">
        <f>IF(B15="Pillar",SUBSTITUTE(Entity!$B$7,"{entity}",LOWER(Entity!$B$3)),IF(B15="Cluster",IF(INDEX(Attributes!$G$3:$G$52,Q15)&lt;&gt;"",INDEX(Attributes!$G$3:$G$52,Q15),SUBSTITUTE(SUBSTITUTE(Entity!$B$8,"{entity}",LOWER(Entity!$B$3)),"{attribute}",LOWER(C15))),IF(B15="Supporting",SUBSTITUTE(SUBSTITUTE(SUBSTITUTE(IF(INDEX(Attributes!$H$3:$H$52,Q15)&lt;&gt;"",INDEX(Attributes!$H$3:$H$52,Q15),Entity!$B$9),"{entity}",LOWER(Entity!$B$3)),"{value}",D15),"{attribute}",LOWER(C15)),"")))</f>
        <v/>
      </c>
    </row>
    <row r="16">
      <c r="A16">
        <f>ROW()-2</f>
        <v/>
      </c>
      <c r="B16">
        <f>IF(A16=1,"Pillar",IF(A16&lt;=1+Entity!$B$14,"Cluster",IF(A16&lt;=1+Entity!$B$14+Entity!$B$15,"Supporting","")))</f>
        <v/>
      </c>
      <c r="C16">
        <f>IF(B16="Cluster",INDEX(Attributes!$A$3:$A$52,MATCH(A16-1,Attributes!$P$3:$P$52,0)),IF(B16="Supporting",INDEX(Values!$A$3:$A$502,P16),""))</f>
        <v/>
      </c>
      <c r="D16">
        <f>IF(B16="Supporting",INDEX(Values!$B$3:$B$502,P16),"")</f>
        <v/>
      </c>
      <c r="E16">
        <f>IF(R16="","",UPPER(LEFT(R16,1))&amp;MID(R16,2,500))</f>
        <v/>
      </c>
      <c r="F16">
        <f>IF(E16="","",LOWER(SUBSTITUTE(SUBSTITUTE(SUBSTITUTE(SUBSTITUTE(SUBSTITUTE(SUBSTITUTE(SUBSTITUTE(TRIM(E16),":",""),",",""),"'",""),"&amp;","and"),"£",""),"  "," ")," ","-")))</f>
        <v/>
      </c>
      <c r="G16">
        <f>IF(B16="Cluster",$E$3,IF(B16="Supporting",INDEX($E$3:$E$553,MATCH(C16,$C$3:$C$553,0)),""))</f>
        <v/>
      </c>
      <c r="H16">
        <f>IF(B16="Supporting",IFERROR(INDEX($E$3:$E$553,1+Entity!$B$14+INDEX(Values!$O$3:$O$502,P16)),""),IF(B16="Cluster",IF(Entity!$B$14&lt;2,"",INDEX($E$3:$E$553,IF(A16-1=Entity!$B$14,2,A16+1))),""))</f>
        <v/>
      </c>
      <c r="I16">
        <f>IF(B16="Pillar",Entity!$B$14&amp;" cluster pages",IF(B16="Cluster",(COUNTIF($C$3:$C$553,SUBSTITUTE(SUBSTITUTE(C16,"?","~?"),"*","~*"))-1)&amp;" supporting pages",""))</f>
        <v/>
      </c>
      <c r="J16">
        <f>IF(B16="Pillar","Informational",IF(OR(B16="Cluster",B16="Supporting"),INDEX(Attributes!$D$3:$D$52,Q16)&amp;"",""))</f>
        <v/>
      </c>
      <c r="K16">
        <f>IF(B16="","",IF(B16="Pillar","Pillar guide (entity hub)",IF(B16="Cluster","Hub page for this attribute",IF(INDEX(Values!$C$3:$C$502,P16)="Yes","Entity page (profile of the sub-entity)",IFERROR(INDEX(Lists!$B$3:$B$6,MATCH(J16,Lists!$A$3:$A$6,0)),"Article")))))</f>
        <v/>
      </c>
      <c r="L16">
        <f>IF(B16="Pillar",Entity!$B$6&amp;"",IF(B16="Cluster",INDEX(Attributes!$I$3:$I$52,Q16)&amp;"",IF(B16="Supporting",INDEX(Values!$F$3:$F$502,P16)&amp;"","")))</f>
        <v/>
      </c>
      <c r="M16">
        <f>IF(B16="","",IF(L16&lt;&gt;"","Covered","Gap"))</f>
        <v/>
      </c>
      <c r="N16">
        <f>IF(B16="Pillar",SUMIFS(Values!$E$3:$E$502,Values!$I$3:$I$502,"Yes"),IF(B16="Cluster",SUMIFS(Values!$E$3:$E$502,Values!$A$3:$A$502,SUBSTITUTE(SUBSTITUTE(C16,"?","~?"),"*","~*"),Values!$I$3:$I$502,"Yes"),IF(B16="Supporting",N(INDEX(Values!$E$3:$E$502,P16)),"")))</f>
        <v/>
      </c>
      <c r="O16">
        <f>IF(B16="","",IF(B16="Pillar",100,IF(B16="Cluster",N(INDEX(Attributes!$E$3:$E$52,Q16))*25+IF(M16="Gap",10,0),N(INDEX(Attributes!$E$3:$E$52,Q16))*20+MIN(20,ROUND(LOG10(N(N16)+1)*5,0))+IF(M16="Gap",10,0)+IF(INDEX(Values!$D$3:$D$502,P16)="Yes",5,0))))</f>
        <v/>
      </c>
      <c r="P16">
        <f>IF(B16="Supporting",MATCH(A16-1-Entity!$B$14,Values!$J$3:$J$502,0),"")</f>
        <v/>
      </c>
      <c r="Q16">
        <f>IF(C16="","",MATCH(C16,Attributes!$A$3:$A$52,0))</f>
        <v/>
      </c>
      <c r="R16">
        <f>IF(B16="Pillar",SUBSTITUTE(Entity!$B$7,"{entity}",LOWER(Entity!$B$3)),IF(B16="Cluster",IF(INDEX(Attributes!$G$3:$G$52,Q16)&lt;&gt;"",INDEX(Attributes!$G$3:$G$52,Q16),SUBSTITUTE(SUBSTITUTE(Entity!$B$8,"{entity}",LOWER(Entity!$B$3)),"{attribute}",LOWER(C16))),IF(B16="Supporting",SUBSTITUTE(SUBSTITUTE(SUBSTITUTE(IF(INDEX(Attributes!$H$3:$H$52,Q16)&lt;&gt;"",INDEX(Attributes!$H$3:$H$52,Q16),Entity!$B$9),"{entity}",LOWER(Entity!$B$3)),"{value}",D16),"{attribute}",LOWER(C16)),"")))</f>
        <v/>
      </c>
    </row>
    <row r="17">
      <c r="A17">
        <f>ROW()-2</f>
        <v/>
      </c>
      <c r="B17">
        <f>IF(A17=1,"Pillar",IF(A17&lt;=1+Entity!$B$14,"Cluster",IF(A17&lt;=1+Entity!$B$14+Entity!$B$15,"Supporting","")))</f>
        <v/>
      </c>
      <c r="C17">
        <f>IF(B17="Cluster",INDEX(Attributes!$A$3:$A$52,MATCH(A17-1,Attributes!$P$3:$P$52,0)),IF(B17="Supporting",INDEX(Values!$A$3:$A$502,P17),""))</f>
        <v/>
      </c>
      <c r="D17">
        <f>IF(B17="Supporting",INDEX(Values!$B$3:$B$502,P17),"")</f>
        <v/>
      </c>
      <c r="E17">
        <f>IF(R17="","",UPPER(LEFT(R17,1))&amp;MID(R17,2,500))</f>
        <v/>
      </c>
      <c r="F17">
        <f>IF(E17="","",LOWER(SUBSTITUTE(SUBSTITUTE(SUBSTITUTE(SUBSTITUTE(SUBSTITUTE(SUBSTITUTE(SUBSTITUTE(TRIM(E17),":",""),",",""),"'",""),"&amp;","and"),"£",""),"  "," ")," ","-")))</f>
        <v/>
      </c>
      <c r="G17">
        <f>IF(B17="Cluster",$E$3,IF(B17="Supporting",INDEX($E$3:$E$553,MATCH(C17,$C$3:$C$553,0)),""))</f>
        <v/>
      </c>
      <c r="H17">
        <f>IF(B17="Supporting",IFERROR(INDEX($E$3:$E$553,1+Entity!$B$14+INDEX(Values!$O$3:$O$502,P17)),""),IF(B17="Cluster",IF(Entity!$B$14&lt;2,"",INDEX($E$3:$E$553,IF(A17-1=Entity!$B$14,2,A17+1))),""))</f>
        <v/>
      </c>
      <c r="I17">
        <f>IF(B17="Pillar",Entity!$B$14&amp;" cluster pages",IF(B17="Cluster",(COUNTIF($C$3:$C$553,SUBSTITUTE(SUBSTITUTE(C17,"?","~?"),"*","~*"))-1)&amp;" supporting pages",""))</f>
        <v/>
      </c>
      <c r="J17">
        <f>IF(B17="Pillar","Informational",IF(OR(B17="Cluster",B17="Supporting"),INDEX(Attributes!$D$3:$D$52,Q17)&amp;"",""))</f>
        <v/>
      </c>
      <c r="K17">
        <f>IF(B17="","",IF(B17="Pillar","Pillar guide (entity hub)",IF(B17="Cluster","Hub page for this attribute",IF(INDEX(Values!$C$3:$C$502,P17)="Yes","Entity page (profile of the sub-entity)",IFERROR(INDEX(Lists!$B$3:$B$6,MATCH(J17,Lists!$A$3:$A$6,0)),"Article")))))</f>
        <v/>
      </c>
      <c r="L17">
        <f>IF(B17="Pillar",Entity!$B$6&amp;"",IF(B17="Cluster",INDEX(Attributes!$I$3:$I$52,Q17)&amp;"",IF(B17="Supporting",INDEX(Values!$F$3:$F$502,P17)&amp;"","")))</f>
        <v/>
      </c>
      <c r="M17">
        <f>IF(B17="","",IF(L17&lt;&gt;"","Covered","Gap"))</f>
        <v/>
      </c>
      <c r="N17">
        <f>IF(B17="Pillar",SUMIFS(Values!$E$3:$E$502,Values!$I$3:$I$502,"Yes"),IF(B17="Cluster",SUMIFS(Values!$E$3:$E$502,Values!$A$3:$A$502,SUBSTITUTE(SUBSTITUTE(C17,"?","~?"),"*","~*"),Values!$I$3:$I$502,"Yes"),IF(B17="Supporting",N(INDEX(Values!$E$3:$E$502,P17)),"")))</f>
        <v/>
      </c>
      <c r="O17">
        <f>IF(B17="","",IF(B17="Pillar",100,IF(B17="Cluster",N(INDEX(Attributes!$E$3:$E$52,Q17))*25+IF(M17="Gap",10,0),N(INDEX(Attributes!$E$3:$E$52,Q17))*20+MIN(20,ROUND(LOG10(N(N17)+1)*5,0))+IF(M17="Gap",10,0)+IF(INDEX(Values!$D$3:$D$502,P17)="Yes",5,0))))</f>
        <v/>
      </c>
      <c r="P17">
        <f>IF(B17="Supporting",MATCH(A17-1-Entity!$B$14,Values!$J$3:$J$502,0),"")</f>
        <v/>
      </c>
      <c r="Q17">
        <f>IF(C17="","",MATCH(C17,Attributes!$A$3:$A$52,0))</f>
        <v/>
      </c>
      <c r="R17">
        <f>IF(B17="Pillar",SUBSTITUTE(Entity!$B$7,"{entity}",LOWER(Entity!$B$3)),IF(B17="Cluster",IF(INDEX(Attributes!$G$3:$G$52,Q17)&lt;&gt;"",INDEX(Attributes!$G$3:$G$52,Q17),SUBSTITUTE(SUBSTITUTE(Entity!$B$8,"{entity}",LOWER(Entity!$B$3)),"{attribute}",LOWER(C17))),IF(B17="Supporting",SUBSTITUTE(SUBSTITUTE(SUBSTITUTE(IF(INDEX(Attributes!$H$3:$H$52,Q17)&lt;&gt;"",INDEX(Attributes!$H$3:$H$52,Q17),Entity!$B$9),"{entity}",LOWER(Entity!$B$3)),"{value}",D17),"{attribute}",LOWER(C17)),"")))</f>
        <v/>
      </c>
    </row>
    <row r="18">
      <c r="A18">
        <f>ROW()-2</f>
        <v/>
      </c>
      <c r="B18">
        <f>IF(A18=1,"Pillar",IF(A18&lt;=1+Entity!$B$14,"Cluster",IF(A18&lt;=1+Entity!$B$14+Entity!$B$15,"Supporting","")))</f>
        <v/>
      </c>
      <c r="C18">
        <f>IF(B18="Cluster",INDEX(Attributes!$A$3:$A$52,MATCH(A18-1,Attributes!$P$3:$P$52,0)),IF(B18="Supporting",INDEX(Values!$A$3:$A$502,P18),""))</f>
        <v/>
      </c>
      <c r="D18">
        <f>IF(B18="Supporting",INDEX(Values!$B$3:$B$502,P18),"")</f>
        <v/>
      </c>
      <c r="E18">
        <f>IF(R18="","",UPPER(LEFT(R18,1))&amp;MID(R18,2,500))</f>
        <v/>
      </c>
      <c r="F18">
        <f>IF(E18="","",LOWER(SUBSTITUTE(SUBSTITUTE(SUBSTITUTE(SUBSTITUTE(SUBSTITUTE(SUBSTITUTE(SUBSTITUTE(TRIM(E18),":",""),",",""),"'",""),"&amp;","and"),"£",""),"  "," ")," ","-")))</f>
        <v/>
      </c>
      <c r="G18">
        <f>IF(B18="Cluster",$E$3,IF(B18="Supporting",INDEX($E$3:$E$553,MATCH(C18,$C$3:$C$553,0)),""))</f>
        <v/>
      </c>
      <c r="H18">
        <f>IF(B18="Supporting",IFERROR(INDEX($E$3:$E$553,1+Entity!$B$14+INDEX(Values!$O$3:$O$502,P18)),""),IF(B18="Cluster",IF(Entity!$B$14&lt;2,"",INDEX($E$3:$E$553,IF(A18-1=Entity!$B$14,2,A18+1))),""))</f>
        <v/>
      </c>
      <c r="I18">
        <f>IF(B18="Pillar",Entity!$B$14&amp;" cluster pages",IF(B18="Cluster",(COUNTIF($C$3:$C$553,SUBSTITUTE(SUBSTITUTE(C18,"?","~?"),"*","~*"))-1)&amp;" supporting pages",""))</f>
        <v/>
      </c>
      <c r="J18">
        <f>IF(B18="Pillar","Informational",IF(OR(B18="Cluster",B18="Supporting"),INDEX(Attributes!$D$3:$D$52,Q18)&amp;"",""))</f>
        <v/>
      </c>
      <c r="K18">
        <f>IF(B18="","",IF(B18="Pillar","Pillar guide (entity hub)",IF(B18="Cluster","Hub page for this attribute",IF(INDEX(Values!$C$3:$C$502,P18)="Yes","Entity page (profile of the sub-entity)",IFERROR(INDEX(Lists!$B$3:$B$6,MATCH(J18,Lists!$A$3:$A$6,0)),"Article")))))</f>
        <v/>
      </c>
      <c r="L18">
        <f>IF(B18="Pillar",Entity!$B$6&amp;"",IF(B18="Cluster",INDEX(Attributes!$I$3:$I$52,Q18)&amp;"",IF(B18="Supporting",INDEX(Values!$F$3:$F$502,P18)&amp;"","")))</f>
        <v/>
      </c>
      <c r="M18">
        <f>IF(B18="","",IF(L18&lt;&gt;"","Covered","Gap"))</f>
        <v/>
      </c>
      <c r="N18">
        <f>IF(B18="Pillar",SUMIFS(Values!$E$3:$E$502,Values!$I$3:$I$502,"Yes"),IF(B18="Cluster",SUMIFS(Values!$E$3:$E$502,Values!$A$3:$A$502,SUBSTITUTE(SUBSTITUTE(C18,"?","~?"),"*","~*"),Values!$I$3:$I$502,"Yes"),IF(B18="Supporting",N(INDEX(Values!$E$3:$E$502,P18)),"")))</f>
        <v/>
      </c>
      <c r="O18">
        <f>IF(B18="","",IF(B18="Pillar",100,IF(B18="Cluster",N(INDEX(Attributes!$E$3:$E$52,Q18))*25+IF(M18="Gap",10,0),N(INDEX(Attributes!$E$3:$E$52,Q18))*20+MIN(20,ROUND(LOG10(N(N18)+1)*5,0))+IF(M18="Gap",10,0)+IF(INDEX(Values!$D$3:$D$502,P18)="Yes",5,0))))</f>
        <v/>
      </c>
      <c r="P18">
        <f>IF(B18="Supporting",MATCH(A18-1-Entity!$B$14,Values!$J$3:$J$502,0),"")</f>
        <v/>
      </c>
      <c r="Q18">
        <f>IF(C18="","",MATCH(C18,Attributes!$A$3:$A$52,0))</f>
        <v/>
      </c>
      <c r="R18">
        <f>IF(B18="Pillar",SUBSTITUTE(Entity!$B$7,"{entity}",LOWER(Entity!$B$3)),IF(B18="Cluster",IF(INDEX(Attributes!$G$3:$G$52,Q18)&lt;&gt;"",INDEX(Attributes!$G$3:$G$52,Q18),SUBSTITUTE(SUBSTITUTE(Entity!$B$8,"{entity}",LOWER(Entity!$B$3)),"{attribute}",LOWER(C18))),IF(B18="Supporting",SUBSTITUTE(SUBSTITUTE(SUBSTITUTE(IF(INDEX(Attributes!$H$3:$H$52,Q18)&lt;&gt;"",INDEX(Attributes!$H$3:$H$52,Q18),Entity!$B$9),"{entity}",LOWER(Entity!$B$3)),"{value}",D18),"{attribute}",LOWER(C18)),"")))</f>
        <v/>
      </c>
    </row>
    <row r="19">
      <c r="A19">
        <f>ROW()-2</f>
        <v/>
      </c>
      <c r="B19">
        <f>IF(A19=1,"Pillar",IF(A19&lt;=1+Entity!$B$14,"Cluster",IF(A19&lt;=1+Entity!$B$14+Entity!$B$15,"Supporting","")))</f>
        <v/>
      </c>
      <c r="C19">
        <f>IF(B19="Cluster",INDEX(Attributes!$A$3:$A$52,MATCH(A19-1,Attributes!$P$3:$P$52,0)),IF(B19="Supporting",INDEX(Values!$A$3:$A$502,P19),""))</f>
        <v/>
      </c>
      <c r="D19">
        <f>IF(B19="Supporting",INDEX(Values!$B$3:$B$502,P19),"")</f>
        <v/>
      </c>
      <c r="E19">
        <f>IF(R19="","",UPPER(LEFT(R19,1))&amp;MID(R19,2,500))</f>
        <v/>
      </c>
      <c r="F19">
        <f>IF(E19="","",LOWER(SUBSTITUTE(SUBSTITUTE(SUBSTITUTE(SUBSTITUTE(SUBSTITUTE(SUBSTITUTE(SUBSTITUTE(TRIM(E19),":",""),",",""),"'",""),"&amp;","and"),"£",""),"  "," ")," ","-")))</f>
        <v/>
      </c>
      <c r="G19">
        <f>IF(B19="Cluster",$E$3,IF(B19="Supporting",INDEX($E$3:$E$553,MATCH(C19,$C$3:$C$553,0)),""))</f>
        <v/>
      </c>
      <c r="H19">
        <f>IF(B19="Supporting",IFERROR(INDEX($E$3:$E$553,1+Entity!$B$14+INDEX(Values!$O$3:$O$502,P19)),""),IF(B19="Cluster",IF(Entity!$B$14&lt;2,"",INDEX($E$3:$E$553,IF(A19-1=Entity!$B$14,2,A19+1))),""))</f>
        <v/>
      </c>
      <c r="I19">
        <f>IF(B19="Pillar",Entity!$B$14&amp;" cluster pages",IF(B19="Cluster",(COUNTIF($C$3:$C$553,SUBSTITUTE(SUBSTITUTE(C19,"?","~?"),"*","~*"))-1)&amp;" supporting pages",""))</f>
        <v/>
      </c>
      <c r="J19">
        <f>IF(B19="Pillar","Informational",IF(OR(B19="Cluster",B19="Supporting"),INDEX(Attributes!$D$3:$D$52,Q19)&amp;"",""))</f>
        <v/>
      </c>
      <c r="K19">
        <f>IF(B19="","",IF(B19="Pillar","Pillar guide (entity hub)",IF(B19="Cluster","Hub page for this attribute",IF(INDEX(Values!$C$3:$C$502,P19)="Yes","Entity page (profile of the sub-entity)",IFERROR(INDEX(Lists!$B$3:$B$6,MATCH(J19,Lists!$A$3:$A$6,0)),"Article")))))</f>
        <v/>
      </c>
      <c r="L19">
        <f>IF(B19="Pillar",Entity!$B$6&amp;"",IF(B19="Cluster",INDEX(Attributes!$I$3:$I$52,Q19)&amp;"",IF(B19="Supporting",INDEX(Values!$F$3:$F$502,P19)&amp;"","")))</f>
        <v/>
      </c>
      <c r="M19">
        <f>IF(B19="","",IF(L19&lt;&gt;"","Covered","Gap"))</f>
        <v/>
      </c>
      <c r="N19">
        <f>IF(B19="Pillar",SUMIFS(Values!$E$3:$E$502,Values!$I$3:$I$502,"Yes"),IF(B19="Cluster",SUMIFS(Values!$E$3:$E$502,Values!$A$3:$A$502,SUBSTITUTE(SUBSTITUTE(C19,"?","~?"),"*","~*"),Values!$I$3:$I$502,"Yes"),IF(B19="Supporting",N(INDEX(Values!$E$3:$E$502,P19)),"")))</f>
        <v/>
      </c>
      <c r="O19">
        <f>IF(B19="","",IF(B19="Pillar",100,IF(B19="Cluster",N(INDEX(Attributes!$E$3:$E$52,Q19))*25+IF(M19="Gap",10,0),N(INDEX(Attributes!$E$3:$E$52,Q19))*20+MIN(20,ROUND(LOG10(N(N19)+1)*5,0))+IF(M19="Gap",10,0)+IF(INDEX(Values!$D$3:$D$502,P19)="Yes",5,0))))</f>
        <v/>
      </c>
      <c r="P19">
        <f>IF(B19="Supporting",MATCH(A19-1-Entity!$B$14,Values!$J$3:$J$502,0),"")</f>
        <v/>
      </c>
      <c r="Q19">
        <f>IF(C19="","",MATCH(C19,Attributes!$A$3:$A$52,0))</f>
        <v/>
      </c>
      <c r="R19">
        <f>IF(B19="Pillar",SUBSTITUTE(Entity!$B$7,"{entity}",LOWER(Entity!$B$3)),IF(B19="Cluster",IF(INDEX(Attributes!$G$3:$G$52,Q19)&lt;&gt;"",INDEX(Attributes!$G$3:$G$52,Q19),SUBSTITUTE(SUBSTITUTE(Entity!$B$8,"{entity}",LOWER(Entity!$B$3)),"{attribute}",LOWER(C19))),IF(B19="Supporting",SUBSTITUTE(SUBSTITUTE(SUBSTITUTE(IF(INDEX(Attributes!$H$3:$H$52,Q19)&lt;&gt;"",INDEX(Attributes!$H$3:$H$52,Q19),Entity!$B$9),"{entity}",LOWER(Entity!$B$3)),"{value}",D19),"{attribute}",LOWER(C19)),"")))</f>
        <v/>
      </c>
    </row>
    <row r="20">
      <c r="A20">
        <f>ROW()-2</f>
        <v/>
      </c>
      <c r="B20">
        <f>IF(A20=1,"Pillar",IF(A20&lt;=1+Entity!$B$14,"Cluster",IF(A20&lt;=1+Entity!$B$14+Entity!$B$15,"Supporting","")))</f>
        <v/>
      </c>
      <c r="C20">
        <f>IF(B20="Cluster",INDEX(Attributes!$A$3:$A$52,MATCH(A20-1,Attributes!$P$3:$P$52,0)),IF(B20="Supporting",INDEX(Values!$A$3:$A$502,P20),""))</f>
        <v/>
      </c>
      <c r="D20">
        <f>IF(B20="Supporting",INDEX(Values!$B$3:$B$502,P20),"")</f>
        <v/>
      </c>
      <c r="E20">
        <f>IF(R20="","",UPPER(LEFT(R20,1))&amp;MID(R20,2,500))</f>
        <v/>
      </c>
      <c r="F20">
        <f>IF(E20="","",LOWER(SUBSTITUTE(SUBSTITUTE(SUBSTITUTE(SUBSTITUTE(SUBSTITUTE(SUBSTITUTE(SUBSTITUTE(TRIM(E20),":",""),",",""),"'",""),"&amp;","and"),"£",""),"  "," ")," ","-")))</f>
        <v/>
      </c>
      <c r="G20">
        <f>IF(B20="Cluster",$E$3,IF(B20="Supporting",INDEX($E$3:$E$553,MATCH(C20,$C$3:$C$553,0)),""))</f>
        <v/>
      </c>
      <c r="H20">
        <f>IF(B20="Supporting",IFERROR(INDEX($E$3:$E$553,1+Entity!$B$14+INDEX(Values!$O$3:$O$502,P20)),""),IF(B20="Cluster",IF(Entity!$B$14&lt;2,"",INDEX($E$3:$E$553,IF(A20-1=Entity!$B$14,2,A20+1))),""))</f>
        <v/>
      </c>
      <c r="I20">
        <f>IF(B20="Pillar",Entity!$B$14&amp;" cluster pages",IF(B20="Cluster",(COUNTIF($C$3:$C$553,SUBSTITUTE(SUBSTITUTE(C20,"?","~?"),"*","~*"))-1)&amp;" supporting pages",""))</f>
        <v/>
      </c>
      <c r="J20">
        <f>IF(B20="Pillar","Informational",IF(OR(B20="Cluster",B20="Supporting"),INDEX(Attributes!$D$3:$D$52,Q20)&amp;"",""))</f>
        <v/>
      </c>
      <c r="K20">
        <f>IF(B20="","",IF(B20="Pillar","Pillar guide (entity hub)",IF(B20="Cluster","Hub page for this attribute",IF(INDEX(Values!$C$3:$C$502,P20)="Yes","Entity page (profile of the sub-entity)",IFERROR(INDEX(Lists!$B$3:$B$6,MATCH(J20,Lists!$A$3:$A$6,0)),"Article")))))</f>
        <v/>
      </c>
      <c r="L20">
        <f>IF(B20="Pillar",Entity!$B$6&amp;"",IF(B20="Cluster",INDEX(Attributes!$I$3:$I$52,Q20)&amp;"",IF(B20="Supporting",INDEX(Values!$F$3:$F$502,P20)&amp;"","")))</f>
        <v/>
      </c>
      <c r="M20">
        <f>IF(B20="","",IF(L20&lt;&gt;"","Covered","Gap"))</f>
        <v/>
      </c>
      <c r="N20">
        <f>IF(B20="Pillar",SUMIFS(Values!$E$3:$E$502,Values!$I$3:$I$502,"Yes"),IF(B20="Cluster",SUMIFS(Values!$E$3:$E$502,Values!$A$3:$A$502,SUBSTITUTE(SUBSTITUTE(C20,"?","~?"),"*","~*"),Values!$I$3:$I$502,"Yes"),IF(B20="Supporting",N(INDEX(Values!$E$3:$E$502,P20)),"")))</f>
        <v/>
      </c>
      <c r="O20">
        <f>IF(B20="","",IF(B20="Pillar",100,IF(B20="Cluster",N(INDEX(Attributes!$E$3:$E$52,Q20))*25+IF(M20="Gap",10,0),N(INDEX(Attributes!$E$3:$E$52,Q20))*20+MIN(20,ROUND(LOG10(N(N20)+1)*5,0))+IF(M20="Gap",10,0)+IF(INDEX(Values!$D$3:$D$502,P20)="Yes",5,0))))</f>
        <v/>
      </c>
      <c r="P20">
        <f>IF(B20="Supporting",MATCH(A20-1-Entity!$B$14,Values!$J$3:$J$502,0),"")</f>
        <v/>
      </c>
      <c r="Q20">
        <f>IF(C20="","",MATCH(C20,Attributes!$A$3:$A$52,0))</f>
        <v/>
      </c>
      <c r="R20">
        <f>IF(B20="Pillar",SUBSTITUTE(Entity!$B$7,"{entity}",LOWER(Entity!$B$3)),IF(B20="Cluster",IF(INDEX(Attributes!$G$3:$G$52,Q20)&lt;&gt;"",INDEX(Attributes!$G$3:$G$52,Q20),SUBSTITUTE(SUBSTITUTE(Entity!$B$8,"{entity}",LOWER(Entity!$B$3)),"{attribute}",LOWER(C20))),IF(B20="Supporting",SUBSTITUTE(SUBSTITUTE(SUBSTITUTE(IF(INDEX(Attributes!$H$3:$H$52,Q20)&lt;&gt;"",INDEX(Attributes!$H$3:$H$52,Q20),Entity!$B$9),"{entity}",LOWER(Entity!$B$3)),"{value}",D20),"{attribute}",LOWER(C20)),"")))</f>
        <v/>
      </c>
    </row>
    <row r="21">
      <c r="A21">
        <f>ROW()-2</f>
        <v/>
      </c>
      <c r="B21">
        <f>IF(A21=1,"Pillar",IF(A21&lt;=1+Entity!$B$14,"Cluster",IF(A21&lt;=1+Entity!$B$14+Entity!$B$15,"Supporting","")))</f>
        <v/>
      </c>
      <c r="C21">
        <f>IF(B21="Cluster",INDEX(Attributes!$A$3:$A$52,MATCH(A21-1,Attributes!$P$3:$P$52,0)),IF(B21="Supporting",INDEX(Values!$A$3:$A$502,P21),""))</f>
        <v/>
      </c>
      <c r="D21">
        <f>IF(B21="Supporting",INDEX(Values!$B$3:$B$502,P21),"")</f>
        <v/>
      </c>
      <c r="E21">
        <f>IF(R21="","",UPPER(LEFT(R21,1))&amp;MID(R21,2,500))</f>
        <v/>
      </c>
      <c r="F21">
        <f>IF(E21="","",LOWER(SUBSTITUTE(SUBSTITUTE(SUBSTITUTE(SUBSTITUTE(SUBSTITUTE(SUBSTITUTE(SUBSTITUTE(TRIM(E21),":",""),",",""),"'",""),"&amp;","and"),"£",""),"  "," ")," ","-")))</f>
        <v/>
      </c>
      <c r="G21">
        <f>IF(B21="Cluster",$E$3,IF(B21="Supporting",INDEX($E$3:$E$553,MATCH(C21,$C$3:$C$553,0)),""))</f>
        <v/>
      </c>
      <c r="H21">
        <f>IF(B21="Supporting",IFERROR(INDEX($E$3:$E$553,1+Entity!$B$14+INDEX(Values!$O$3:$O$502,P21)),""),IF(B21="Cluster",IF(Entity!$B$14&lt;2,"",INDEX($E$3:$E$553,IF(A21-1=Entity!$B$14,2,A21+1))),""))</f>
        <v/>
      </c>
      <c r="I21">
        <f>IF(B21="Pillar",Entity!$B$14&amp;" cluster pages",IF(B21="Cluster",(COUNTIF($C$3:$C$553,SUBSTITUTE(SUBSTITUTE(C21,"?","~?"),"*","~*"))-1)&amp;" supporting pages",""))</f>
        <v/>
      </c>
      <c r="J21">
        <f>IF(B21="Pillar","Informational",IF(OR(B21="Cluster",B21="Supporting"),INDEX(Attributes!$D$3:$D$52,Q21)&amp;"",""))</f>
        <v/>
      </c>
      <c r="K21">
        <f>IF(B21="","",IF(B21="Pillar","Pillar guide (entity hub)",IF(B21="Cluster","Hub page for this attribute",IF(INDEX(Values!$C$3:$C$502,P21)="Yes","Entity page (profile of the sub-entity)",IFERROR(INDEX(Lists!$B$3:$B$6,MATCH(J21,Lists!$A$3:$A$6,0)),"Article")))))</f>
        <v/>
      </c>
      <c r="L21">
        <f>IF(B21="Pillar",Entity!$B$6&amp;"",IF(B21="Cluster",INDEX(Attributes!$I$3:$I$52,Q21)&amp;"",IF(B21="Supporting",INDEX(Values!$F$3:$F$502,P21)&amp;"","")))</f>
        <v/>
      </c>
      <c r="M21">
        <f>IF(B21="","",IF(L21&lt;&gt;"","Covered","Gap"))</f>
        <v/>
      </c>
      <c r="N21">
        <f>IF(B21="Pillar",SUMIFS(Values!$E$3:$E$502,Values!$I$3:$I$502,"Yes"),IF(B21="Cluster",SUMIFS(Values!$E$3:$E$502,Values!$A$3:$A$502,SUBSTITUTE(SUBSTITUTE(C21,"?","~?"),"*","~*"),Values!$I$3:$I$502,"Yes"),IF(B21="Supporting",N(INDEX(Values!$E$3:$E$502,P21)),"")))</f>
        <v/>
      </c>
      <c r="O21">
        <f>IF(B21="","",IF(B21="Pillar",100,IF(B21="Cluster",N(INDEX(Attributes!$E$3:$E$52,Q21))*25+IF(M21="Gap",10,0),N(INDEX(Attributes!$E$3:$E$52,Q21))*20+MIN(20,ROUND(LOG10(N(N21)+1)*5,0))+IF(M21="Gap",10,0)+IF(INDEX(Values!$D$3:$D$502,P21)="Yes",5,0))))</f>
        <v/>
      </c>
      <c r="P21">
        <f>IF(B21="Supporting",MATCH(A21-1-Entity!$B$14,Values!$J$3:$J$502,0),"")</f>
        <v/>
      </c>
      <c r="Q21">
        <f>IF(C21="","",MATCH(C21,Attributes!$A$3:$A$52,0))</f>
        <v/>
      </c>
      <c r="R21">
        <f>IF(B21="Pillar",SUBSTITUTE(Entity!$B$7,"{entity}",LOWER(Entity!$B$3)),IF(B21="Cluster",IF(INDEX(Attributes!$G$3:$G$52,Q21)&lt;&gt;"",INDEX(Attributes!$G$3:$G$52,Q21),SUBSTITUTE(SUBSTITUTE(Entity!$B$8,"{entity}",LOWER(Entity!$B$3)),"{attribute}",LOWER(C21))),IF(B21="Supporting",SUBSTITUTE(SUBSTITUTE(SUBSTITUTE(IF(INDEX(Attributes!$H$3:$H$52,Q21)&lt;&gt;"",INDEX(Attributes!$H$3:$H$52,Q21),Entity!$B$9),"{entity}",LOWER(Entity!$B$3)),"{value}",D21),"{attribute}",LOWER(C21)),"")))</f>
        <v/>
      </c>
    </row>
    <row r="22">
      <c r="A22">
        <f>ROW()-2</f>
        <v/>
      </c>
      <c r="B22">
        <f>IF(A22=1,"Pillar",IF(A22&lt;=1+Entity!$B$14,"Cluster",IF(A22&lt;=1+Entity!$B$14+Entity!$B$15,"Supporting","")))</f>
        <v/>
      </c>
      <c r="C22">
        <f>IF(B22="Cluster",INDEX(Attributes!$A$3:$A$52,MATCH(A22-1,Attributes!$P$3:$P$52,0)),IF(B22="Supporting",INDEX(Values!$A$3:$A$502,P22),""))</f>
        <v/>
      </c>
      <c r="D22">
        <f>IF(B22="Supporting",INDEX(Values!$B$3:$B$502,P22),"")</f>
        <v/>
      </c>
      <c r="E22">
        <f>IF(R22="","",UPPER(LEFT(R22,1))&amp;MID(R22,2,500))</f>
        <v/>
      </c>
      <c r="F22">
        <f>IF(E22="","",LOWER(SUBSTITUTE(SUBSTITUTE(SUBSTITUTE(SUBSTITUTE(SUBSTITUTE(SUBSTITUTE(SUBSTITUTE(TRIM(E22),":",""),",",""),"'",""),"&amp;","and"),"£",""),"  "," ")," ","-")))</f>
        <v/>
      </c>
      <c r="G22">
        <f>IF(B22="Cluster",$E$3,IF(B22="Supporting",INDEX($E$3:$E$553,MATCH(C22,$C$3:$C$553,0)),""))</f>
        <v/>
      </c>
      <c r="H22">
        <f>IF(B22="Supporting",IFERROR(INDEX($E$3:$E$553,1+Entity!$B$14+INDEX(Values!$O$3:$O$502,P22)),""),IF(B22="Cluster",IF(Entity!$B$14&lt;2,"",INDEX($E$3:$E$553,IF(A22-1=Entity!$B$14,2,A22+1))),""))</f>
        <v/>
      </c>
      <c r="I22">
        <f>IF(B22="Pillar",Entity!$B$14&amp;" cluster pages",IF(B22="Cluster",(COUNTIF($C$3:$C$553,SUBSTITUTE(SUBSTITUTE(C22,"?","~?"),"*","~*"))-1)&amp;" supporting pages",""))</f>
        <v/>
      </c>
      <c r="J22">
        <f>IF(B22="Pillar","Informational",IF(OR(B22="Cluster",B22="Supporting"),INDEX(Attributes!$D$3:$D$52,Q22)&amp;"",""))</f>
        <v/>
      </c>
      <c r="K22">
        <f>IF(B22="","",IF(B22="Pillar","Pillar guide (entity hub)",IF(B22="Cluster","Hub page for this attribute",IF(INDEX(Values!$C$3:$C$502,P22)="Yes","Entity page (profile of the sub-entity)",IFERROR(INDEX(Lists!$B$3:$B$6,MATCH(J22,Lists!$A$3:$A$6,0)),"Article")))))</f>
        <v/>
      </c>
      <c r="L22">
        <f>IF(B22="Pillar",Entity!$B$6&amp;"",IF(B22="Cluster",INDEX(Attributes!$I$3:$I$52,Q22)&amp;"",IF(B22="Supporting",INDEX(Values!$F$3:$F$502,P22)&amp;"","")))</f>
        <v/>
      </c>
      <c r="M22">
        <f>IF(B22="","",IF(L22&lt;&gt;"","Covered","Gap"))</f>
        <v/>
      </c>
      <c r="N22">
        <f>IF(B22="Pillar",SUMIFS(Values!$E$3:$E$502,Values!$I$3:$I$502,"Yes"),IF(B22="Cluster",SUMIFS(Values!$E$3:$E$502,Values!$A$3:$A$502,SUBSTITUTE(SUBSTITUTE(C22,"?","~?"),"*","~*"),Values!$I$3:$I$502,"Yes"),IF(B22="Supporting",N(INDEX(Values!$E$3:$E$502,P22)),"")))</f>
        <v/>
      </c>
      <c r="O22">
        <f>IF(B22="","",IF(B22="Pillar",100,IF(B22="Cluster",N(INDEX(Attributes!$E$3:$E$52,Q22))*25+IF(M22="Gap",10,0),N(INDEX(Attributes!$E$3:$E$52,Q22))*20+MIN(20,ROUND(LOG10(N(N22)+1)*5,0))+IF(M22="Gap",10,0)+IF(INDEX(Values!$D$3:$D$502,P22)="Yes",5,0))))</f>
        <v/>
      </c>
      <c r="P22">
        <f>IF(B22="Supporting",MATCH(A22-1-Entity!$B$14,Values!$J$3:$J$502,0),"")</f>
        <v/>
      </c>
      <c r="Q22">
        <f>IF(C22="","",MATCH(C22,Attributes!$A$3:$A$52,0))</f>
        <v/>
      </c>
      <c r="R22">
        <f>IF(B22="Pillar",SUBSTITUTE(Entity!$B$7,"{entity}",LOWER(Entity!$B$3)),IF(B22="Cluster",IF(INDEX(Attributes!$G$3:$G$52,Q22)&lt;&gt;"",INDEX(Attributes!$G$3:$G$52,Q22),SUBSTITUTE(SUBSTITUTE(Entity!$B$8,"{entity}",LOWER(Entity!$B$3)),"{attribute}",LOWER(C22))),IF(B22="Supporting",SUBSTITUTE(SUBSTITUTE(SUBSTITUTE(IF(INDEX(Attributes!$H$3:$H$52,Q22)&lt;&gt;"",INDEX(Attributes!$H$3:$H$52,Q22),Entity!$B$9),"{entity}",LOWER(Entity!$B$3)),"{value}",D22),"{attribute}",LOWER(C22)),"")))</f>
        <v/>
      </c>
    </row>
    <row r="23">
      <c r="A23">
        <f>ROW()-2</f>
        <v/>
      </c>
      <c r="B23">
        <f>IF(A23=1,"Pillar",IF(A23&lt;=1+Entity!$B$14,"Cluster",IF(A23&lt;=1+Entity!$B$14+Entity!$B$15,"Supporting","")))</f>
        <v/>
      </c>
      <c r="C23">
        <f>IF(B23="Cluster",INDEX(Attributes!$A$3:$A$52,MATCH(A23-1,Attributes!$P$3:$P$52,0)),IF(B23="Supporting",INDEX(Values!$A$3:$A$502,P23),""))</f>
        <v/>
      </c>
      <c r="D23">
        <f>IF(B23="Supporting",INDEX(Values!$B$3:$B$502,P23),"")</f>
        <v/>
      </c>
      <c r="E23">
        <f>IF(R23="","",UPPER(LEFT(R23,1))&amp;MID(R23,2,500))</f>
        <v/>
      </c>
      <c r="F23">
        <f>IF(E23="","",LOWER(SUBSTITUTE(SUBSTITUTE(SUBSTITUTE(SUBSTITUTE(SUBSTITUTE(SUBSTITUTE(SUBSTITUTE(TRIM(E23),":",""),",",""),"'",""),"&amp;","and"),"£",""),"  "," ")," ","-")))</f>
        <v/>
      </c>
      <c r="G23">
        <f>IF(B23="Cluster",$E$3,IF(B23="Supporting",INDEX($E$3:$E$553,MATCH(C23,$C$3:$C$553,0)),""))</f>
        <v/>
      </c>
      <c r="H23">
        <f>IF(B23="Supporting",IFERROR(INDEX($E$3:$E$553,1+Entity!$B$14+INDEX(Values!$O$3:$O$502,P23)),""),IF(B23="Cluster",IF(Entity!$B$14&lt;2,"",INDEX($E$3:$E$553,IF(A23-1=Entity!$B$14,2,A23+1))),""))</f>
        <v/>
      </c>
      <c r="I23">
        <f>IF(B23="Pillar",Entity!$B$14&amp;" cluster pages",IF(B23="Cluster",(COUNTIF($C$3:$C$553,SUBSTITUTE(SUBSTITUTE(C23,"?","~?"),"*","~*"))-1)&amp;" supporting pages",""))</f>
        <v/>
      </c>
      <c r="J23">
        <f>IF(B23="Pillar","Informational",IF(OR(B23="Cluster",B23="Supporting"),INDEX(Attributes!$D$3:$D$52,Q23)&amp;"",""))</f>
        <v/>
      </c>
      <c r="K23">
        <f>IF(B23="","",IF(B23="Pillar","Pillar guide (entity hub)",IF(B23="Cluster","Hub page for this attribute",IF(INDEX(Values!$C$3:$C$502,P23)="Yes","Entity page (profile of the sub-entity)",IFERROR(INDEX(Lists!$B$3:$B$6,MATCH(J23,Lists!$A$3:$A$6,0)),"Article")))))</f>
        <v/>
      </c>
      <c r="L23">
        <f>IF(B23="Pillar",Entity!$B$6&amp;"",IF(B23="Cluster",INDEX(Attributes!$I$3:$I$52,Q23)&amp;"",IF(B23="Supporting",INDEX(Values!$F$3:$F$502,P23)&amp;"","")))</f>
        <v/>
      </c>
      <c r="M23">
        <f>IF(B23="","",IF(L23&lt;&gt;"","Covered","Gap"))</f>
        <v/>
      </c>
      <c r="N23">
        <f>IF(B23="Pillar",SUMIFS(Values!$E$3:$E$502,Values!$I$3:$I$502,"Yes"),IF(B23="Cluster",SUMIFS(Values!$E$3:$E$502,Values!$A$3:$A$502,SUBSTITUTE(SUBSTITUTE(C23,"?","~?"),"*","~*"),Values!$I$3:$I$502,"Yes"),IF(B23="Supporting",N(INDEX(Values!$E$3:$E$502,P23)),"")))</f>
        <v/>
      </c>
      <c r="O23">
        <f>IF(B23="","",IF(B23="Pillar",100,IF(B23="Cluster",N(INDEX(Attributes!$E$3:$E$52,Q23))*25+IF(M23="Gap",10,0),N(INDEX(Attributes!$E$3:$E$52,Q23))*20+MIN(20,ROUND(LOG10(N(N23)+1)*5,0))+IF(M23="Gap",10,0)+IF(INDEX(Values!$D$3:$D$502,P23)="Yes",5,0))))</f>
        <v/>
      </c>
      <c r="P23">
        <f>IF(B23="Supporting",MATCH(A23-1-Entity!$B$14,Values!$J$3:$J$502,0),"")</f>
        <v/>
      </c>
      <c r="Q23">
        <f>IF(C23="","",MATCH(C23,Attributes!$A$3:$A$52,0))</f>
        <v/>
      </c>
      <c r="R23">
        <f>IF(B23="Pillar",SUBSTITUTE(Entity!$B$7,"{entity}",LOWER(Entity!$B$3)),IF(B23="Cluster",IF(INDEX(Attributes!$G$3:$G$52,Q23)&lt;&gt;"",INDEX(Attributes!$G$3:$G$52,Q23),SUBSTITUTE(SUBSTITUTE(Entity!$B$8,"{entity}",LOWER(Entity!$B$3)),"{attribute}",LOWER(C23))),IF(B23="Supporting",SUBSTITUTE(SUBSTITUTE(SUBSTITUTE(IF(INDEX(Attributes!$H$3:$H$52,Q23)&lt;&gt;"",INDEX(Attributes!$H$3:$H$52,Q23),Entity!$B$9),"{entity}",LOWER(Entity!$B$3)),"{value}",D23),"{attribute}",LOWER(C23)),"")))</f>
        <v/>
      </c>
    </row>
    <row r="24">
      <c r="A24">
        <f>ROW()-2</f>
        <v/>
      </c>
      <c r="B24">
        <f>IF(A24=1,"Pillar",IF(A24&lt;=1+Entity!$B$14,"Cluster",IF(A24&lt;=1+Entity!$B$14+Entity!$B$15,"Supporting","")))</f>
        <v/>
      </c>
      <c r="C24">
        <f>IF(B24="Cluster",INDEX(Attributes!$A$3:$A$52,MATCH(A24-1,Attributes!$P$3:$P$52,0)),IF(B24="Supporting",INDEX(Values!$A$3:$A$502,P24),""))</f>
        <v/>
      </c>
      <c r="D24">
        <f>IF(B24="Supporting",INDEX(Values!$B$3:$B$502,P24),"")</f>
        <v/>
      </c>
      <c r="E24">
        <f>IF(R24="","",UPPER(LEFT(R24,1))&amp;MID(R24,2,500))</f>
        <v/>
      </c>
      <c r="F24">
        <f>IF(E24="","",LOWER(SUBSTITUTE(SUBSTITUTE(SUBSTITUTE(SUBSTITUTE(SUBSTITUTE(SUBSTITUTE(SUBSTITUTE(TRIM(E24),":",""),",",""),"'",""),"&amp;","and"),"£",""),"  "," ")," ","-")))</f>
        <v/>
      </c>
      <c r="G24">
        <f>IF(B24="Cluster",$E$3,IF(B24="Supporting",INDEX($E$3:$E$553,MATCH(C24,$C$3:$C$553,0)),""))</f>
        <v/>
      </c>
      <c r="H24">
        <f>IF(B24="Supporting",IFERROR(INDEX($E$3:$E$553,1+Entity!$B$14+INDEX(Values!$O$3:$O$502,P24)),""),IF(B24="Cluster",IF(Entity!$B$14&lt;2,"",INDEX($E$3:$E$553,IF(A24-1=Entity!$B$14,2,A24+1))),""))</f>
        <v/>
      </c>
      <c r="I24">
        <f>IF(B24="Pillar",Entity!$B$14&amp;" cluster pages",IF(B24="Cluster",(COUNTIF($C$3:$C$553,SUBSTITUTE(SUBSTITUTE(C24,"?","~?"),"*","~*"))-1)&amp;" supporting pages",""))</f>
        <v/>
      </c>
      <c r="J24">
        <f>IF(B24="Pillar","Informational",IF(OR(B24="Cluster",B24="Supporting"),INDEX(Attributes!$D$3:$D$52,Q24)&amp;"",""))</f>
        <v/>
      </c>
      <c r="K24">
        <f>IF(B24="","",IF(B24="Pillar","Pillar guide (entity hub)",IF(B24="Cluster","Hub page for this attribute",IF(INDEX(Values!$C$3:$C$502,P24)="Yes","Entity page (profile of the sub-entity)",IFERROR(INDEX(Lists!$B$3:$B$6,MATCH(J24,Lists!$A$3:$A$6,0)),"Article")))))</f>
        <v/>
      </c>
      <c r="L24">
        <f>IF(B24="Pillar",Entity!$B$6&amp;"",IF(B24="Cluster",INDEX(Attributes!$I$3:$I$52,Q24)&amp;"",IF(B24="Supporting",INDEX(Values!$F$3:$F$502,P24)&amp;"","")))</f>
        <v/>
      </c>
      <c r="M24">
        <f>IF(B24="","",IF(L24&lt;&gt;"","Covered","Gap"))</f>
        <v/>
      </c>
      <c r="N24">
        <f>IF(B24="Pillar",SUMIFS(Values!$E$3:$E$502,Values!$I$3:$I$502,"Yes"),IF(B24="Cluster",SUMIFS(Values!$E$3:$E$502,Values!$A$3:$A$502,SUBSTITUTE(SUBSTITUTE(C24,"?","~?"),"*","~*"),Values!$I$3:$I$502,"Yes"),IF(B24="Supporting",N(INDEX(Values!$E$3:$E$502,P24)),"")))</f>
        <v/>
      </c>
      <c r="O24">
        <f>IF(B24="","",IF(B24="Pillar",100,IF(B24="Cluster",N(INDEX(Attributes!$E$3:$E$52,Q24))*25+IF(M24="Gap",10,0),N(INDEX(Attributes!$E$3:$E$52,Q24))*20+MIN(20,ROUND(LOG10(N(N24)+1)*5,0))+IF(M24="Gap",10,0)+IF(INDEX(Values!$D$3:$D$502,P24)="Yes",5,0))))</f>
        <v/>
      </c>
      <c r="P24">
        <f>IF(B24="Supporting",MATCH(A24-1-Entity!$B$14,Values!$J$3:$J$502,0),"")</f>
        <v/>
      </c>
      <c r="Q24">
        <f>IF(C24="","",MATCH(C24,Attributes!$A$3:$A$52,0))</f>
        <v/>
      </c>
      <c r="R24">
        <f>IF(B24="Pillar",SUBSTITUTE(Entity!$B$7,"{entity}",LOWER(Entity!$B$3)),IF(B24="Cluster",IF(INDEX(Attributes!$G$3:$G$52,Q24)&lt;&gt;"",INDEX(Attributes!$G$3:$G$52,Q24),SUBSTITUTE(SUBSTITUTE(Entity!$B$8,"{entity}",LOWER(Entity!$B$3)),"{attribute}",LOWER(C24))),IF(B24="Supporting",SUBSTITUTE(SUBSTITUTE(SUBSTITUTE(IF(INDEX(Attributes!$H$3:$H$52,Q24)&lt;&gt;"",INDEX(Attributes!$H$3:$H$52,Q24),Entity!$B$9),"{entity}",LOWER(Entity!$B$3)),"{value}",D24),"{attribute}",LOWER(C24)),"")))</f>
        <v/>
      </c>
    </row>
    <row r="25">
      <c r="A25">
        <f>ROW()-2</f>
        <v/>
      </c>
      <c r="B25">
        <f>IF(A25=1,"Pillar",IF(A25&lt;=1+Entity!$B$14,"Cluster",IF(A25&lt;=1+Entity!$B$14+Entity!$B$15,"Supporting","")))</f>
        <v/>
      </c>
      <c r="C25">
        <f>IF(B25="Cluster",INDEX(Attributes!$A$3:$A$52,MATCH(A25-1,Attributes!$P$3:$P$52,0)),IF(B25="Supporting",INDEX(Values!$A$3:$A$502,P25),""))</f>
        <v/>
      </c>
      <c r="D25">
        <f>IF(B25="Supporting",INDEX(Values!$B$3:$B$502,P25),"")</f>
        <v/>
      </c>
      <c r="E25">
        <f>IF(R25="","",UPPER(LEFT(R25,1))&amp;MID(R25,2,500))</f>
        <v/>
      </c>
      <c r="F25">
        <f>IF(E25="","",LOWER(SUBSTITUTE(SUBSTITUTE(SUBSTITUTE(SUBSTITUTE(SUBSTITUTE(SUBSTITUTE(SUBSTITUTE(TRIM(E25),":",""),",",""),"'",""),"&amp;","and"),"£",""),"  "," ")," ","-")))</f>
        <v/>
      </c>
      <c r="G25">
        <f>IF(B25="Cluster",$E$3,IF(B25="Supporting",INDEX($E$3:$E$553,MATCH(C25,$C$3:$C$553,0)),""))</f>
        <v/>
      </c>
      <c r="H25">
        <f>IF(B25="Supporting",IFERROR(INDEX($E$3:$E$553,1+Entity!$B$14+INDEX(Values!$O$3:$O$502,P25)),""),IF(B25="Cluster",IF(Entity!$B$14&lt;2,"",INDEX($E$3:$E$553,IF(A25-1=Entity!$B$14,2,A25+1))),""))</f>
        <v/>
      </c>
      <c r="I25">
        <f>IF(B25="Pillar",Entity!$B$14&amp;" cluster pages",IF(B25="Cluster",(COUNTIF($C$3:$C$553,SUBSTITUTE(SUBSTITUTE(C25,"?","~?"),"*","~*"))-1)&amp;" supporting pages",""))</f>
        <v/>
      </c>
      <c r="J25">
        <f>IF(B25="Pillar","Informational",IF(OR(B25="Cluster",B25="Supporting"),INDEX(Attributes!$D$3:$D$52,Q25)&amp;"",""))</f>
        <v/>
      </c>
      <c r="K25">
        <f>IF(B25="","",IF(B25="Pillar","Pillar guide (entity hub)",IF(B25="Cluster","Hub page for this attribute",IF(INDEX(Values!$C$3:$C$502,P25)="Yes","Entity page (profile of the sub-entity)",IFERROR(INDEX(Lists!$B$3:$B$6,MATCH(J25,Lists!$A$3:$A$6,0)),"Article")))))</f>
        <v/>
      </c>
      <c r="L25">
        <f>IF(B25="Pillar",Entity!$B$6&amp;"",IF(B25="Cluster",INDEX(Attributes!$I$3:$I$52,Q25)&amp;"",IF(B25="Supporting",INDEX(Values!$F$3:$F$502,P25)&amp;"","")))</f>
        <v/>
      </c>
      <c r="M25">
        <f>IF(B25="","",IF(L25&lt;&gt;"","Covered","Gap"))</f>
        <v/>
      </c>
      <c r="N25">
        <f>IF(B25="Pillar",SUMIFS(Values!$E$3:$E$502,Values!$I$3:$I$502,"Yes"),IF(B25="Cluster",SUMIFS(Values!$E$3:$E$502,Values!$A$3:$A$502,SUBSTITUTE(SUBSTITUTE(C25,"?","~?"),"*","~*"),Values!$I$3:$I$502,"Yes"),IF(B25="Supporting",N(INDEX(Values!$E$3:$E$502,P25)),"")))</f>
        <v/>
      </c>
      <c r="O25">
        <f>IF(B25="","",IF(B25="Pillar",100,IF(B25="Cluster",N(INDEX(Attributes!$E$3:$E$52,Q25))*25+IF(M25="Gap",10,0),N(INDEX(Attributes!$E$3:$E$52,Q25))*20+MIN(20,ROUND(LOG10(N(N25)+1)*5,0))+IF(M25="Gap",10,0)+IF(INDEX(Values!$D$3:$D$502,P25)="Yes",5,0))))</f>
        <v/>
      </c>
      <c r="P25">
        <f>IF(B25="Supporting",MATCH(A25-1-Entity!$B$14,Values!$J$3:$J$502,0),"")</f>
        <v/>
      </c>
      <c r="Q25">
        <f>IF(C25="","",MATCH(C25,Attributes!$A$3:$A$52,0))</f>
        <v/>
      </c>
      <c r="R25">
        <f>IF(B25="Pillar",SUBSTITUTE(Entity!$B$7,"{entity}",LOWER(Entity!$B$3)),IF(B25="Cluster",IF(INDEX(Attributes!$G$3:$G$52,Q25)&lt;&gt;"",INDEX(Attributes!$G$3:$G$52,Q25),SUBSTITUTE(SUBSTITUTE(Entity!$B$8,"{entity}",LOWER(Entity!$B$3)),"{attribute}",LOWER(C25))),IF(B25="Supporting",SUBSTITUTE(SUBSTITUTE(SUBSTITUTE(IF(INDEX(Attributes!$H$3:$H$52,Q25)&lt;&gt;"",INDEX(Attributes!$H$3:$H$52,Q25),Entity!$B$9),"{entity}",LOWER(Entity!$B$3)),"{value}",D25),"{attribute}",LOWER(C25)),"")))</f>
        <v/>
      </c>
    </row>
    <row r="26">
      <c r="A26">
        <f>ROW()-2</f>
        <v/>
      </c>
      <c r="B26">
        <f>IF(A26=1,"Pillar",IF(A26&lt;=1+Entity!$B$14,"Cluster",IF(A26&lt;=1+Entity!$B$14+Entity!$B$15,"Supporting","")))</f>
        <v/>
      </c>
      <c r="C26">
        <f>IF(B26="Cluster",INDEX(Attributes!$A$3:$A$52,MATCH(A26-1,Attributes!$P$3:$P$52,0)),IF(B26="Supporting",INDEX(Values!$A$3:$A$502,P26),""))</f>
        <v/>
      </c>
      <c r="D26">
        <f>IF(B26="Supporting",INDEX(Values!$B$3:$B$502,P26),"")</f>
        <v/>
      </c>
      <c r="E26">
        <f>IF(R26="","",UPPER(LEFT(R26,1))&amp;MID(R26,2,500))</f>
        <v/>
      </c>
      <c r="F26">
        <f>IF(E26="","",LOWER(SUBSTITUTE(SUBSTITUTE(SUBSTITUTE(SUBSTITUTE(SUBSTITUTE(SUBSTITUTE(SUBSTITUTE(TRIM(E26),":",""),",",""),"'",""),"&amp;","and"),"£",""),"  "," ")," ","-")))</f>
        <v/>
      </c>
      <c r="G26">
        <f>IF(B26="Cluster",$E$3,IF(B26="Supporting",INDEX($E$3:$E$553,MATCH(C26,$C$3:$C$553,0)),""))</f>
        <v/>
      </c>
      <c r="H26">
        <f>IF(B26="Supporting",IFERROR(INDEX($E$3:$E$553,1+Entity!$B$14+INDEX(Values!$O$3:$O$502,P26)),""),IF(B26="Cluster",IF(Entity!$B$14&lt;2,"",INDEX($E$3:$E$553,IF(A26-1=Entity!$B$14,2,A26+1))),""))</f>
        <v/>
      </c>
      <c r="I26">
        <f>IF(B26="Pillar",Entity!$B$14&amp;" cluster pages",IF(B26="Cluster",(COUNTIF($C$3:$C$553,SUBSTITUTE(SUBSTITUTE(C26,"?","~?"),"*","~*"))-1)&amp;" supporting pages",""))</f>
        <v/>
      </c>
      <c r="J26">
        <f>IF(B26="Pillar","Informational",IF(OR(B26="Cluster",B26="Supporting"),INDEX(Attributes!$D$3:$D$52,Q26)&amp;"",""))</f>
        <v/>
      </c>
      <c r="K26">
        <f>IF(B26="","",IF(B26="Pillar","Pillar guide (entity hub)",IF(B26="Cluster","Hub page for this attribute",IF(INDEX(Values!$C$3:$C$502,P26)="Yes","Entity page (profile of the sub-entity)",IFERROR(INDEX(Lists!$B$3:$B$6,MATCH(J26,Lists!$A$3:$A$6,0)),"Article")))))</f>
        <v/>
      </c>
      <c r="L26">
        <f>IF(B26="Pillar",Entity!$B$6&amp;"",IF(B26="Cluster",INDEX(Attributes!$I$3:$I$52,Q26)&amp;"",IF(B26="Supporting",INDEX(Values!$F$3:$F$502,P26)&amp;"","")))</f>
        <v/>
      </c>
      <c r="M26">
        <f>IF(B26="","",IF(L26&lt;&gt;"","Covered","Gap"))</f>
        <v/>
      </c>
      <c r="N26">
        <f>IF(B26="Pillar",SUMIFS(Values!$E$3:$E$502,Values!$I$3:$I$502,"Yes"),IF(B26="Cluster",SUMIFS(Values!$E$3:$E$502,Values!$A$3:$A$502,SUBSTITUTE(SUBSTITUTE(C26,"?","~?"),"*","~*"),Values!$I$3:$I$502,"Yes"),IF(B26="Supporting",N(INDEX(Values!$E$3:$E$502,P26)),"")))</f>
        <v/>
      </c>
      <c r="O26">
        <f>IF(B26="","",IF(B26="Pillar",100,IF(B26="Cluster",N(INDEX(Attributes!$E$3:$E$52,Q26))*25+IF(M26="Gap",10,0),N(INDEX(Attributes!$E$3:$E$52,Q26))*20+MIN(20,ROUND(LOG10(N(N26)+1)*5,0))+IF(M26="Gap",10,0)+IF(INDEX(Values!$D$3:$D$502,P26)="Yes",5,0))))</f>
        <v/>
      </c>
      <c r="P26">
        <f>IF(B26="Supporting",MATCH(A26-1-Entity!$B$14,Values!$J$3:$J$502,0),"")</f>
        <v/>
      </c>
      <c r="Q26">
        <f>IF(C26="","",MATCH(C26,Attributes!$A$3:$A$52,0))</f>
        <v/>
      </c>
      <c r="R26">
        <f>IF(B26="Pillar",SUBSTITUTE(Entity!$B$7,"{entity}",LOWER(Entity!$B$3)),IF(B26="Cluster",IF(INDEX(Attributes!$G$3:$G$52,Q26)&lt;&gt;"",INDEX(Attributes!$G$3:$G$52,Q26),SUBSTITUTE(SUBSTITUTE(Entity!$B$8,"{entity}",LOWER(Entity!$B$3)),"{attribute}",LOWER(C26))),IF(B26="Supporting",SUBSTITUTE(SUBSTITUTE(SUBSTITUTE(IF(INDEX(Attributes!$H$3:$H$52,Q26)&lt;&gt;"",INDEX(Attributes!$H$3:$H$52,Q26),Entity!$B$9),"{entity}",LOWER(Entity!$B$3)),"{value}",D26),"{attribute}",LOWER(C26)),"")))</f>
        <v/>
      </c>
    </row>
    <row r="27">
      <c r="A27">
        <f>ROW()-2</f>
        <v/>
      </c>
      <c r="B27">
        <f>IF(A27=1,"Pillar",IF(A27&lt;=1+Entity!$B$14,"Cluster",IF(A27&lt;=1+Entity!$B$14+Entity!$B$15,"Supporting","")))</f>
        <v/>
      </c>
      <c r="C27">
        <f>IF(B27="Cluster",INDEX(Attributes!$A$3:$A$52,MATCH(A27-1,Attributes!$P$3:$P$52,0)),IF(B27="Supporting",INDEX(Values!$A$3:$A$502,P27),""))</f>
        <v/>
      </c>
      <c r="D27">
        <f>IF(B27="Supporting",INDEX(Values!$B$3:$B$502,P27),"")</f>
        <v/>
      </c>
      <c r="E27">
        <f>IF(R27="","",UPPER(LEFT(R27,1))&amp;MID(R27,2,500))</f>
        <v/>
      </c>
      <c r="F27">
        <f>IF(E27="","",LOWER(SUBSTITUTE(SUBSTITUTE(SUBSTITUTE(SUBSTITUTE(SUBSTITUTE(SUBSTITUTE(SUBSTITUTE(TRIM(E27),":",""),",",""),"'",""),"&amp;","and"),"£",""),"  "," ")," ","-")))</f>
        <v/>
      </c>
      <c r="G27">
        <f>IF(B27="Cluster",$E$3,IF(B27="Supporting",INDEX($E$3:$E$553,MATCH(C27,$C$3:$C$553,0)),""))</f>
        <v/>
      </c>
      <c r="H27">
        <f>IF(B27="Supporting",IFERROR(INDEX($E$3:$E$553,1+Entity!$B$14+INDEX(Values!$O$3:$O$502,P27)),""),IF(B27="Cluster",IF(Entity!$B$14&lt;2,"",INDEX($E$3:$E$553,IF(A27-1=Entity!$B$14,2,A27+1))),""))</f>
        <v/>
      </c>
      <c r="I27">
        <f>IF(B27="Pillar",Entity!$B$14&amp;" cluster pages",IF(B27="Cluster",(COUNTIF($C$3:$C$553,SUBSTITUTE(SUBSTITUTE(C27,"?","~?"),"*","~*"))-1)&amp;" supporting pages",""))</f>
        <v/>
      </c>
      <c r="J27">
        <f>IF(B27="Pillar","Informational",IF(OR(B27="Cluster",B27="Supporting"),INDEX(Attributes!$D$3:$D$52,Q27)&amp;"",""))</f>
        <v/>
      </c>
      <c r="K27">
        <f>IF(B27="","",IF(B27="Pillar","Pillar guide (entity hub)",IF(B27="Cluster","Hub page for this attribute",IF(INDEX(Values!$C$3:$C$502,P27)="Yes","Entity page (profile of the sub-entity)",IFERROR(INDEX(Lists!$B$3:$B$6,MATCH(J27,Lists!$A$3:$A$6,0)),"Article")))))</f>
        <v/>
      </c>
      <c r="L27">
        <f>IF(B27="Pillar",Entity!$B$6&amp;"",IF(B27="Cluster",INDEX(Attributes!$I$3:$I$52,Q27)&amp;"",IF(B27="Supporting",INDEX(Values!$F$3:$F$502,P27)&amp;"","")))</f>
        <v/>
      </c>
      <c r="M27">
        <f>IF(B27="","",IF(L27&lt;&gt;"","Covered","Gap"))</f>
        <v/>
      </c>
      <c r="N27">
        <f>IF(B27="Pillar",SUMIFS(Values!$E$3:$E$502,Values!$I$3:$I$502,"Yes"),IF(B27="Cluster",SUMIFS(Values!$E$3:$E$502,Values!$A$3:$A$502,SUBSTITUTE(SUBSTITUTE(C27,"?","~?"),"*","~*"),Values!$I$3:$I$502,"Yes"),IF(B27="Supporting",N(INDEX(Values!$E$3:$E$502,P27)),"")))</f>
        <v/>
      </c>
      <c r="O27">
        <f>IF(B27="","",IF(B27="Pillar",100,IF(B27="Cluster",N(INDEX(Attributes!$E$3:$E$52,Q27))*25+IF(M27="Gap",10,0),N(INDEX(Attributes!$E$3:$E$52,Q27))*20+MIN(20,ROUND(LOG10(N(N27)+1)*5,0))+IF(M27="Gap",10,0)+IF(INDEX(Values!$D$3:$D$502,P27)="Yes",5,0))))</f>
        <v/>
      </c>
      <c r="P27">
        <f>IF(B27="Supporting",MATCH(A27-1-Entity!$B$14,Values!$J$3:$J$502,0),"")</f>
        <v/>
      </c>
      <c r="Q27">
        <f>IF(C27="","",MATCH(C27,Attributes!$A$3:$A$52,0))</f>
        <v/>
      </c>
      <c r="R27">
        <f>IF(B27="Pillar",SUBSTITUTE(Entity!$B$7,"{entity}",LOWER(Entity!$B$3)),IF(B27="Cluster",IF(INDEX(Attributes!$G$3:$G$52,Q27)&lt;&gt;"",INDEX(Attributes!$G$3:$G$52,Q27),SUBSTITUTE(SUBSTITUTE(Entity!$B$8,"{entity}",LOWER(Entity!$B$3)),"{attribute}",LOWER(C27))),IF(B27="Supporting",SUBSTITUTE(SUBSTITUTE(SUBSTITUTE(IF(INDEX(Attributes!$H$3:$H$52,Q27)&lt;&gt;"",INDEX(Attributes!$H$3:$H$52,Q27),Entity!$B$9),"{entity}",LOWER(Entity!$B$3)),"{value}",D27),"{attribute}",LOWER(C27)),"")))</f>
        <v/>
      </c>
    </row>
    <row r="28">
      <c r="A28">
        <f>ROW()-2</f>
        <v/>
      </c>
      <c r="B28">
        <f>IF(A28=1,"Pillar",IF(A28&lt;=1+Entity!$B$14,"Cluster",IF(A28&lt;=1+Entity!$B$14+Entity!$B$15,"Supporting","")))</f>
        <v/>
      </c>
      <c r="C28">
        <f>IF(B28="Cluster",INDEX(Attributes!$A$3:$A$52,MATCH(A28-1,Attributes!$P$3:$P$52,0)),IF(B28="Supporting",INDEX(Values!$A$3:$A$502,P28),""))</f>
        <v/>
      </c>
      <c r="D28">
        <f>IF(B28="Supporting",INDEX(Values!$B$3:$B$502,P28),"")</f>
        <v/>
      </c>
      <c r="E28">
        <f>IF(R28="","",UPPER(LEFT(R28,1))&amp;MID(R28,2,500))</f>
        <v/>
      </c>
      <c r="F28">
        <f>IF(E28="","",LOWER(SUBSTITUTE(SUBSTITUTE(SUBSTITUTE(SUBSTITUTE(SUBSTITUTE(SUBSTITUTE(SUBSTITUTE(TRIM(E28),":",""),",",""),"'",""),"&amp;","and"),"£",""),"  "," ")," ","-")))</f>
        <v/>
      </c>
      <c r="G28">
        <f>IF(B28="Cluster",$E$3,IF(B28="Supporting",INDEX($E$3:$E$553,MATCH(C28,$C$3:$C$553,0)),""))</f>
        <v/>
      </c>
      <c r="H28">
        <f>IF(B28="Supporting",IFERROR(INDEX($E$3:$E$553,1+Entity!$B$14+INDEX(Values!$O$3:$O$502,P28)),""),IF(B28="Cluster",IF(Entity!$B$14&lt;2,"",INDEX($E$3:$E$553,IF(A28-1=Entity!$B$14,2,A28+1))),""))</f>
        <v/>
      </c>
      <c r="I28">
        <f>IF(B28="Pillar",Entity!$B$14&amp;" cluster pages",IF(B28="Cluster",(COUNTIF($C$3:$C$553,SUBSTITUTE(SUBSTITUTE(C28,"?","~?"),"*","~*"))-1)&amp;" supporting pages",""))</f>
        <v/>
      </c>
      <c r="J28">
        <f>IF(B28="Pillar","Informational",IF(OR(B28="Cluster",B28="Supporting"),INDEX(Attributes!$D$3:$D$52,Q28)&amp;"",""))</f>
        <v/>
      </c>
      <c r="K28">
        <f>IF(B28="","",IF(B28="Pillar","Pillar guide (entity hub)",IF(B28="Cluster","Hub page for this attribute",IF(INDEX(Values!$C$3:$C$502,P28)="Yes","Entity page (profile of the sub-entity)",IFERROR(INDEX(Lists!$B$3:$B$6,MATCH(J28,Lists!$A$3:$A$6,0)),"Article")))))</f>
        <v/>
      </c>
      <c r="L28">
        <f>IF(B28="Pillar",Entity!$B$6&amp;"",IF(B28="Cluster",INDEX(Attributes!$I$3:$I$52,Q28)&amp;"",IF(B28="Supporting",INDEX(Values!$F$3:$F$502,P28)&amp;"","")))</f>
        <v/>
      </c>
      <c r="M28">
        <f>IF(B28="","",IF(L28&lt;&gt;"","Covered","Gap"))</f>
        <v/>
      </c>
      <c r="N28">
        <f>IF(B28="Pillar",SUMIFS(Values!$E$3:$E$502,Values!$I$3:$I$502,"Yes"),IF(B28="Cluster",SUMIFS(Values!$E$3:$E$502,Values!$A$3:$A$502,SUBSTITUTE(SUBSTITUTE(C28,"?","~?"),"*","~*"),Values!$I$3:$I$502,"Yes"),IF(B28="Supporting",N(INDEX(Values!$E$3:$E$502,P28)),"")))</f>
        <v/>
      </c>
      <c r="O28">
        <f>IF(B28="","",IF(B28="Pillar",100,IF(B28="Cluster",N(INDEX(Attributes!$E$3:$E$52,Q28))*25+IF(M28="Gap",10,0),N(INDEX(Attributes!$E$3:$E$52,Q28))*20+MIN(20,ROUND(LOG10(N(N28)+1)*5,0))+IF(M28="Gap",10,0)+IF(INDEX(Values!$D$3:$D$502,P28)="Yes",5,0))))</f>
        <v/>
      </c>
      <c r="P28">
        <f>IF(B28="Supporting",MATCH(A28-1-Entity!$B$14,Values!$J$3:$J$502,0),"")</f>
        <v/>
      </c>
      <c r="Q28">
        <f>IF(C28="","",MATCH(C28,Attributes!$A$3:$A$52,0))</f>
        <v/>
      </c>
      <c r="R28">
        <f>IF(B28="Pillar",SUBSTITUTE(Entity!$B$7,"{entity}",LOWER(Entity!$B$3)),IF(B28="Cluster",IF(INDEX(Attributes!$G$3:$G$52,Q28)&lt;&gt;"",INDEX(Attributes!$G$3:$G$52,Q28),SUBSTITUTE(SUBSTITUTE(Entity!$B$8,"{entity}",LOWER(Entity!$B$3)),"{attribute}",LOWER(C28))),IF(B28="Supporting",SUBSTITUTE(SUBSTITUTE(SUBSTITUTE(IF(INDEX(Attributes!$H$3:$H$52,Q28)&lt;&gt;"",INDEX(Attributes!$H$3:$H$52,Q28),Entity!$B$9),"{entity}",LOWER(Entity!$B$3)),"{value}",D28),"{attribute}",LOWER(C28)),"")))</f>
        <v/>
      </c>
    </row>
    <row r="29">
      <c r="A29">
        <f>ROW()-2</f>
        <v/>
      </c>
      <c r="B29">
        <f>IF(A29=1,"Pillar",IF(A29&lt;=1+Entity!$B$14,"Cluster",IF(A29&lt;=1+Entity!$B$14+Entity!$B$15,"Supporting","")))</f>
        <v/>
      </c>
      <c r="C29">
        <f>IF(B29="Cluster",INDEX(Attributes!$A$3:$A$52,MATCH(A29-1,Attributes!$P$3:$P$52,0)),IF(B29="Supporting",INDEX(Values!$A$3:$A$502,P29),""))</f>
        <v/>
      </c>
      <c r="D29">
        <f>IF(B29="Supporting",INDEX(Values!$B$3:$B$502,P29),"")</f>
        <v/>
      </c>
      <c r="E29">
        <f>IF(R29="","",UPPER(LEFT(R29,1))&amp;MID(R29,2,500))</f>
        <v/>
      </c>
      <c r="F29">
        <f>IF(E29="","",LOWER(SUBSTITUTE(SUBSTITUTE(SUBSTITUTE(SUBSTITUTE(SUBSTITUTE(SUBSTITUTE(SUBSTITUTE(TRIM(E29),":",""),",",""),"'",""),"&amp;","and"),"£",""),"  "," ")," ","-")))</f>
        <v/>
      </c>
      <c r="G29">
        <f>IF(B29="Cluster",$E$3,IF(B29="Supporting",INDEX($E$3:$E$553,MATCH(C29,$C$3:$C$553,0)),""))</f>
        <v/>
      </c>
      <c r="H29">
        <f>IF(B29="Supporting",IFERROR(INDEX($E$3:$E$553,1+Entity!$B$14+INDEX(Values!$O$3:$O$502,P29)),""),IF(B29="Cluster",IF(Entity!$B$14&lt;2,"",INDEX($E$3:$E$553,IF(A29-1=Entity!$B$14,2,A29+1))),""))</f>
        <v/>
      </c>
      <c r="I29">
        <f>IF(B29="Pillar",Entity!$B$14&amp;" cluster pages",IF(B29="Cluster",(COUNTIF($C$3:$C$553,SUBSTITUTE(SUBSTITUTE(C29,"?","~?"),"*","~*"))-1)&amp;" supporting pages",""))</f>
        <v/>
      </c>
      <c r="J29">
        <f>IF(B29="Pillar","Informational",IF(OR(B29="Cluster",B29="Supporting"),INDEX(Attributes!$D$3:$D$52,Q29)&amp;"",""))</f>
        <v/>
      </c>
      <c r="K29">
        <f>IF(B29="","",IF(B29="Pillar","Pillar guide (entity hub)",IF(B29="Cluster","Hub page for this attribute",IF(INDEX(Values!$C$3:$C$502,P29)="Yes","Entity page (profile of the sub-entity)",IFERROR(INDEX(Lists!$B$3:$B$6,MATCH(J29,Lists!$A$3:$A$6,0)),"Article")))))</f>
        <v/>
      </c>
      <c r="L29">
        <f>IF(B29="Pillar",Entity!$B$6&amp;"",IF(B29="Cluster",INDEX(Attributes!$I$3:$I$52,Q29)&amp;"",IF(B29="Supporting",INDEX(Values!$F$3:$F$502,P29)&amp;"","")))</f>
        <v/>
      </c>
      <c r="M29">
        <f>IF(B29="","",IF(L29&lt;&gt;"","Covered","Gap"))</f>
        <v/>
      </c>
      <c r="N29">
        <f>IF(B29="Pillar",SUMIFS(Values!$E$3:$E$502,Values!$I$3:$I$502,"Yes"),IF(B29="Cluster",SUMIFS(Values!$E$3:$E$502,Values!$A$3:$A$502,SUBSTITUTE(SUBSTITUTE(C29,"?","~?"),"*","~*"),Values!$I$3:$I$502,"Yes"),IF(B29="Supporting",N(INDEX(Values!$E$3:$E$502,P29)),"")))</f>
        <v/>
      </c>
      <c r="O29">
        <f>IF(B29="","",IF(B29="Pillar",100,IF(B29="Cluster",N(INDEX(Attributes!$E$3:$E$52,Q29))*25+IF(M29="Gap",10,0),N(INDEX(Attributes!$E$3:$E$52,Q29))*20+MIN(20,ROUND(LOG10(N(N29)+1)*5,0))+IF(M29="Gap",10,0)+IF(INDEX(Values!$D$3:$D$502,P29)="Yes",5,0))))</f>
        <v/>
      </c>
      <c r="P29">
        <f>IF(B29="Supporting",MATCH(A29-1-Entity!$B$14,Values!$J$3:$J$502,0),"")</f>
        <v/>
      </c>
      <c r="Q29">
        <f>IF(C29="","",MATCH(C29,Attributes!$A$3:$A$52,0))</f>
        <v/>
      </c>
      <c r="R29">
        <f>IF(B29="Pillar",SUBSTITUTE(Entity!$B$7,"{entity}",LOWER(Entity!$B$3)),IF(B29="Cluster",IF(INDEX(Attributes!$G$3:$G$52,Q29)&lt;&gt;"",INDEX(Attributes!$G$3:$G$52,Q29),SUBSTITUTE(SUBSTITUTE(Entity!$B$8,"{entity}",LOWER(Entity!$B$3)),"{attribute}",LOWER(C29))),IF(B29="Supporting",SUBSTITUTE(SUBSTITUTE(SUBSTITUTE(IF(INDEX(Attributes!$H$3:$H$52,Q29)&lt;&gt;"",INDEX(Attributes!$H$3:$H$52,Q29),Entity!$B$9),"{entity}",LOWER(Entity!$B$3)),"{value}",D29),"{attribute}",LOWER(C29)),"")))</f>
        <v/>
      </c>
    </row>
    <row r="30">
      <c r="A30">
        <f>ROW()-2</f>
        <v/>
      </c>
      <c r="B30">
        <f>IF(A30=1,"Pillar",IF(A30&lt;=1+Entity!$B$14,"Cluster",IF(A30&lt;=1+Entity!$B$14+Entity!$B$15,"Supporting","")))</f>
        <v/>
      </c>
      <c r="C30">
        <f>IF(B30="Cluster",INDEX(Attributes!$A$3:$A$52,MATCH(A30-1,Attributes!$P$3:$P$52,0)),IF(B30="Supporting",INDEX(Values!$A$3:$A$502,P30),""))</f>
        <v/>
      </c>
      <c r="D30">
        <f>IF(B30="Supporting",INDEX(Values!$B$3:$B$502,P30),"")</f>
        <v/>
      </c>
      <c r="E30">
        <f>IF(R30="","",UPPER(LEFT(R30,1))&amp;MID(R30,2,500))</f>
        <v/>
      </c>
      <c r="F30">
        <f>IF(E30="","",LOWER(SUBSTITUTE(SUBSTITUTE(SUBSTITUTE(SUBSTITUTE(SUBSTITUTE(SUBSTITUTE(SUBSTITUTE(TRIM(E30),":",""),",",""),"'",""),"&amp;","and"),"£",""),"  "," ")," ","-")))</f>
        <v/>
      </c>
      <c r="G30">
        <f>IF(B30="Cluster",$E$3,IF(B30="Supporting",INDEX($E$3:$E$553,MATCH(C30,$C$3:$C$553,0)),""))</f>
        <v/>
      </c>
      <c r="H30">
        <f>IF(B30="Supporting",IFERROR(INDEX($E$3:$E$553,1+Entity!$B$14+INDEX(Values!$O$3:$O$502,P30)),""),IF(B30="Cluster",IF(Entity!$B$14&lt;2,"",INDEX($E$3:$E$553,IF(A30-1=Entity!$B$14,2,A30+1))),""))</f>
        <v/>
      </c>
      <c r="I30">
        <f>IF(B30="Pillar",Entity!$B$14&amp;" cluster pages",IF(B30="Cluster",(COUNTIF($C$3:$C$553,SUBSTITUTE(SUBSTITUTE(C30,"?","~?"),"*","~*"))-1)&amp;" supporting pages",""))</f>
        <v/>
      </c>
      <c r="J30">
        <f>IF(B30="Pillar","Informational",IF(OR(B30="Cluster",B30="Supporting"),INDEX(Attributes!$D$3:$D$52,Q30)&amp;"",""))</f>
        <v/>
      </c>
      <c r="K30">
        <f>IF(B30="","",IF(B30="Pillar","Pillar guide (entity hub)",IF(B30="Cluster","Hub page for this attribute",IF(INDEX(Values!$C$3:$C$502,P30)="Yes","Entity page (profile of the sub-entity)",IFERROR(INDEX(Lists!$B$3:$B$6,MATCH(J30,Lists!$A$3:$A$6,0)),"Article")))))</f>
        <v/>
      </c>
      <c r="L30">
        <f>IF(B30="Pillar",Entity!$B$6&amp;"",IF(B30="Cluster",INDEX(Attributes!$I$3:$I$52,Q30)&amp;"",IF(B30="Supporting",INDEX(Values!$F$3:$F$502,P30)&amp;"","")))</f>
        <v/>
      </c>
      <c r="M30">
        <f>IF(B30="","",IF(L30&lt;&gt;"","Covered","Gap"))</f>
        <v/>
      </c>
      <c r="N30">
        <f>IF(B30="Pillar",SUMIFS(Values!$E$3:$E$502,Values!$I$3:$I$502,"Yes"),IF(B30="Cluster",SUMIFS(Values!$E$3:$E$502,Values!$A$3:$A$502,SUBSTITUTE(SUBSTITUTE(C30,"?","~?"),"*","~*"),Values!$I$3:$I$502,"Yes"),IF(B30="Supporting",N(INDEX(Values!$E$3:$E$502,P30)),"")))</f>
        <v/>
      </c>
      <c r="O30">
        <f>IF(B30="","",IF(B30="Pillar",100,IF(B30="Cluster",N(INDEX(Attributes!$E$3:$E$52,Q30))*25+IF(M30="Gap",10,0),N(INDEX(Attributes!$E$3:$E$52,Q30))*20+MIN(20,ROUND(LOG10(N(N30)+1)*5,0))+IF(M30="Gap",10,0)+IF(INDEX(Values!$D$3:$D$502,P30)="Yes",5,0))))</f>
        <v/>
      </c>
      <c r="P30">
        <f>IF(B30="Supporting",MATCH(A30-1-Entity!$B$14,Values!$J$3:$J$502,0),"")</f>
        <v/>
      </c>
      <c r="Q30">
        <f>IF(C30="","",MATCH(C30,Attributes!$A$3:$A$52,0))</f>
        <v/>
      </c>
      <c r="R30">
        <f>IF(B30="Pillar",SUBSTITUTE(Entity!$B$7,"{entity}",LOWER(Entity!$B$3)),IF(B30="Cluster",IF(INDEX(Attributes!$G$3:$G$52,Q30)&lt;&gt;"",INDEX(Attributes!$G$3:$G$52,Q30),SUBSTITUTE(SUBSTITUTE(Entity!$B$8,"{entity}",LOWER(Entity!$B$3)),"{attribute}",LOWER(C30))),IF(B30="Supporting",SUBSTITUTE(SUBSTITUTE(SUBSTITUTE(IF(INDEX(Attributes!$H$3:$H$52,Q30)&lt;&gt;"",INDEX(Attributes!$H$3:$H$52,Q30),Entity!$B$9),"{entity}",LOWER(Entity!$B$3)),"{value}",D30),"{attribute}",LOWER(C30)),"")))</f>
        <v/>
      </c>
    </row>
    <row r="31">
      <c r="A31">
        <f>ROW()-2</f>
        <v/>
      </c>
      <c r="B31">
        <f>IF(A31=1,"Pillar",IF(A31&lt;=1+Entity!$B$14,"Cluster",IF(A31&lt;=1+Entity!$B$14+Entity!$B$15,"Supporting","")))</f>
        <v/>
      </c>
      <c r="C31">
        <f>IF(B31="Cluster",INDEX(Attributes!$A$3:$A$52,MATCH(A31-1,Attributes!$P$3:$P$52,0)),IF(B31="Supporting",INDEX(Values!$A$3:$A$502,P31),""))</f>
        <v/>
      </c>
      <c r="D31">
        <f>IF(B31="Supporting",INDEX(Values!$B$3:$B$502,P31),"")</f>
        <v/>
      </c>
      <c r="E31">
        <f>IF(R31="","",UPPER(LEFT(R31,1))&amp;MID(R31,2,500))</f>
        <v/>
      </c>
      <c r="F31">
        <f>IF(E31="","",LOWER(SUBSTITUTE(SUBSTITUTE(SUBSTITUTE(SUBSTITUTE(SUBSTITUTE(SUBSTITUTE(SUBSTITUTE(TRIM(E31),":",""),",",""),"'",""),"&amp;","and"),"£",""),"  "," ")," ","-")))</f>
        <v/>
      </c>
      <c r="G31">
        <f>IF(B31="Cluster",$E$3,IF(B31="Supporting",INDEX($E$3:$E$553,MATCH(C31,$C$3:$C$553,0)),""))</f>
        <v/>
      </c>
      <c r="H31">
        <f>IF(B31="Supporting",IFERROR(INDEX($E$3:$E$553,1+Entity!$B$14+INDEX(Values!$O$3:$O$502,P31)),""),IF(B31="Cluster",IF(Entity!$B$14&lt;2,"",INDEX($E$3:$E$553,IF(A31-1=Entity!$B$14,2,A31+1))),""))</f>
        <v/>
      </c>
      <c r="I31">
        <f>IF(B31="Pillar",Entity!$B$14&amp;" cluster pages",IF(B31="Cluster",(COUNTIF($C$3:$C$553,SUBSTITUTE(SUBSTITUTE(C31,"?","~?"),"*","~*"))-1)&amp;" supporting pages",""))</f>
        <v/>
      </c>
      <c r="J31">
        <f>IF(B31="Pillar","Informational",IF(OR(B31="Cluster",B31="Supporting"),INDEX(Attributes!$D$3:$D$52,Q31)&amp;"",""))</f>
        <v/>
      </c>
      <c r="K31">
        <f>IF(B31="","",IF(B31="Pillar","Pillar guide (entity hub)",IF(B31="Cluster","Hub page for this attribute",IF(INDEX(Values!$C$3:$C$502,P31)="Yes","Entity page (profile of the sub-entity)",IFERROR(INDEX(Lists!$B$3:$B$6,MATCH(J31,Lists!$A$3:$A$6,0)),"Article")))))</f>
        <v/>
      </c>
      <c r="L31">
        <f>IF(B31="Pillar",Entity!$B$6&amp;"",IF(B31="Cluster",INDEX(Attributes!$I$3:$I$52,Q31)&amp;"",IF(B31="Supporting",INDEX(Values!$F$3:$F$502,P31)&amp;"","")))</f>
        <v/>
      </c>
      <c r="M31">
        <f>IF(B31="","",IF(L31&lt;&gt;"","Covered","Gap"))</f>
        <v/>
      </c>
      <c r="N31">
        <f>IF(B31="Pillar",SUMIFS(Values!$E$3:$E$502,Values!$I$3:$I$502,"Yes"),IF(B31="Cluster",SUMIFS(Values!$E$3:$E$502,Values!$A$3:$A$502,SUBSTITUTE(SUBSTITUTE(C31,"?","~?"),"*","~*"),Values!$I$3:$I$502,"Yes"),IF(B31="Supporting",N(INDEX(Values!$E$3:$E$502,P31)),"")))</f>
        <v/>
      </c>
      <c r="O31">
        <f>IF(B31="","",IF(B31="Pillar",100,IF(B31="Cluster",N(INDEX(Attributes!$E$3:$E$52,Q31))*25+IF(M31="Gap",10,0),N(INDEX(Attributes!$E$3:$E$52,Q31))*20+MIN(20,ROUND(LOG10(N(N31)+1)*5,0))+IF(M31="Gap",10,0)+IF(INDEX(Values!$D$3:$D$502,P31)="Yes",5,0))))</f>
        <v/>
      </c>
      <c r="P31">
        <f>IF(B31="Supporting",MATCH(A31-1-Entity!$B$14,Values!$J$3:$J$502,0),"")</f>
        <v/>
      </c>
      <c r="Q31">
        <f>IF(C31="","",MATCH(C31,Attributes!$A$3:$A$52,0))</f>
        <v/>
      </c>
      <c r="R31">
        <f>IF(B31="Pillar",SUBSTITUTE(Entity!$B$7,"{entity}",LOWER(Entity!$B$3)),IF(B31="Cluster",IF(INDEX(Attributes!$G$3:$G$52,Q31)&lt;&gt;"",INDEX(Attributes!$G$3:$G$52,Q31),SUBSTITUTE(SUBSTITUTE(Entity!$B$8,"{entity}",LOWER(Entity!$B$3)),"{attribute}",LOWER(C31))),IF(B31="Supporting",SUBSTITUTE(SUBSTITUTE(SUBSTITUTE(IF(INDEX(Attributes!$H$3:$H$52,Q31)&lt;&gt;"",INDEX(Attributes!$H$3:$H$52,Q31),Entity!$B$9),"{entity}",LOWER(Entity!$B$3)),"{value}",D31),"{attribute}",LOWER(C31)),"")))</f>
        <v/>
      </c>
    </row>
    <row r="32">
      <c r="A32">
        <f>ROW()-2</f>
        <v/>
      </c>
      <c r="B32">
        <f>IF(A32=1,"Pillar",IF(A32&lt;=1+Entity!$B$14,"Cluster",IF(A32&lt;=1+Entity!$B$14+Entity!$B$15,"Supporting","")))</f>
        <v/>
      </c>
      <c r="C32">
        <f>IF(B32="Cluster",INDEX(Attributes!$A$3:$A$52,MATCH(A32-1,Attributes!$P$3:$P$52,0)),IF(B32="Supporting",INDEX(Values!$A$3:$A$502,P32),""))</f>
        <v/>
      </c>
      <c r="D32">
        <f>IF(B32="Supporting",INDEX(Values!$B$3:$B$502,P32),"")</f>
        <v/>
      </c>
      <c r="E32">
        <f>IF(R32="","",UPPER(LEFT(R32,1))&amp;MID(R32,2,500))</f>
        <v/>
      </c>
      <c r="F32">
        <f>IF(E32="","",LOWER(SUBSTITUTE(SUBSTITUTE(SUBSTITUTE(SUBSTITUTE(SUBSTITUTE(SUBSTITUTE(SUBSTITUTE(TRIM(E32),":",""),",",""),"'",""),"&amp;","and"),"£",""),"  "," ")," ","-")))</f>
        <v/>
      </c>
      <c r="G32">
        <f>IF(B32="Cluster",$E$3,IF(B32="Supporting",INDEX($E$3:$E$553,MATCH(C32,$C$3:$C$553,0)),""))</f>
        <v/>
      </c>
      <c r="H32">
        <f>IF(B32="Supporting",IFERROR(INDEX($E$3:$E$553,1+Entity!$B$14+INDEX(Values!$O$3:$O$502,P32)),""),IF(B32="Cluster",IF(Entity!$B$14&lt;2,"",INDEX($E$3:$E$553,IF(A32-1=Entity!$B$14,2,A32+1))),""))</f>
        <v/>
      </c>
      <c r="I32">
        <f>IF(B32="Pillar",Entity!$B$14&amp;" cluster pages",IF(B32="Cluster",(COUNTIF($C$3:$C$553,SUBSTITUTE(SUBSTITUTE(C32,"?","~?"),"*","~*"))-1)&amp;" supporting pages",""))</f>
        <v/>
      </c>
      <c r="J32">
        <f>IF(B32="Pillar","Informational",IF(OR(B32="Cluster",B32="Supporting"),INDEX(Attributes!$D$3:$D$52,Q32)&amp;"",""))</f>
        <v/>
      </c>
      <c r="K32">
        <f>IF(B32="","",IF(B32="Pillar","Pillar guide (entity hub)",IF(B32="Cluster","Hub page for this attribute",IF(INDEX(Values!$C$3:$C$502,P32)="Yes","Entity page (profile of the sub-entity)",IFERROR(INDEX(Lists!$B$3:$B$6,MATCH(J32,Lists!$A$3:$A$6,0)),"Article")))))</f>
        <v/>
      </c>
      <c r="L32">
        <f>IF(B32="Pillar",Entity!$B$6&amp;"",IF(B32="Cluster",INDEX(Attributes!$I$3:$I$52,Q32)&amp;"",IF(B32="Supporting",INDEX(Values!$F$3:$F$502,P32)&amp;"","")))</f>
        <v/>
      </c>
      <c r="M32">
        <f>IF(B32="","",IF(L32&lt;&gt;"","Covered","Gap"))</f>
        <v/>
      </c>
      <c r="N32">
        <f>IF(B32="Pillar",SUMIFS(Values!$E$3:$E$502,Values!$I$3:$I$502,"Yes"),IF(B32="Cluster",SUMIFS(Values!$E$3:$E$502,Values!$A$3:$A$502,SUBSTITUTE(SUBSTITUTE(C32,"?","~?"),"*","~*"),Values!$I$3:$I$502,"Yes"),IF(B32="Supporting",N(INDEX(Values!$E$3:$E$502,P32)),"")))</f>
        <v/>
      </c>
      <c r="O32">
        <f>IF(B32="","",IF(B32="Pillar",100,IF(B32="Cluster",N(INDEX(Attributes!$E$3:$E$52,Q32))*25+IF(M32="Gap",10,0),N(INDEX(Attributes!$E$3:$E$52,Q32))*20+MIN(20,ROUND(LOG10(N(N32)+1)*5,0))+IF(M32="Gap",10,0)+IF(INDEX(Values!$D$3:$D$502,P32)="Yes",5,0))))</f>
        <v/>
      </c>
      <c r="P32">
        <f>IF(B32="Supporting",MATCH(A32-1-Entity!$B$14,Values!$J$3:$J$502,0),"")</f>
        <v/>
      </c>
      <c r="Q32">
        <f>IF(C32="","",MATCH(C32,Attributes!$A$3:$A$52,0))</f>
        <v/>
      </c>
      <c r="R32">
        <f>IF(B32="Pillar",SUBSTITUTE(Entity!$B$7,"{entity}",LOWER(Entity!$B$3)),IF(B32="Cluster",IF(INDEX(Attributes!$G$3:$G$52,Q32)&lt;&gt;"",INDEX(Attributes!$G$3:$G$52,Q32),SUBSTITUTE(SUBSTITUTE(Entity!$B$8,"{entity}",LOWER(Entity!$B$3)),"{attribute}",LOWER(C32))),IF(B32="Supporting",SUBSTITUTE(SUBSTITUTE(SUBSTITUTE(IF(INDEX(Attributes!$H$3:$H$52,Q32)&lt;&gt;"",INDEX(Attributes!$H$3:$H$52,Q32),Entity!$B$9),"{entity}",LOWER(Entity!$B$3)),"{value}",D32),"{attribute}",LOWER(C32)),"")))</f>
        <v/>
      </c>
    </row>
    <row r="33">
      <c r="A33">
        <f>ROW()-2</f>
        <v/>
      </c>
      <c r="B33">
        <f>IF(A33=1,"Pillar",IF(A33&lt;=1+Entity!$B$14,"Cluster",IF(A33&lt;=1+Entity!$B$14+Entity!$B$15,"Supporting","")))</f>
        <v/>
      </c>
      <c r="C33">
        <f>IF(B33="Cluster",INDEX(Attributes!$A$3:$A$52,MATCH(A33-1,Attributes!$P$3:$P$52,0)),IF(B33="Supporting",INDEX(Values!$A$3:$A$502,P33),""))</f>
        <v/>
      </c>
      <c r="D33">
        <f>IF(B33="Supporting",INDEX(Values!$B$3:$B$502,P33),"")</f>
        <v/>
      </c>
      <c r="E33">
        <f>IF(R33="","",UPPER(LEFT(R33,1))&amp;MID(R33,2,500))</f>
        <v/>
      </c>
      <c r="F33">
        <f>IF(E33="","",LOWER(SUBSTITUTE(SUBSTITUTE(SUBSTITUTE(SUBSTITUTE(SUBSTITUTE(SUBSTITUTE(SUBSTITUTE(TRIM(E33),":",""),",",""),"'",""),"&amp;","and"),"£",""),"  "," ")," ","-")))</f>
        <v/>
      </c>
      <c r="G33">
        <f>IF(B33="Cluster",$E$3,IF(B33="Supporting",INDEX($E$3:$E$553,MATCH(C33,$C$3:$C$553,0)),""))</f>
        <v/>
      </c>
      <c r="H33">
        <f>IF(B33="Supporting",IFERROR(INDEX($E$3:$E$553,1+Entity!$B$14+INDEX(Values!$O$3:$O$502,P33)),""),IF(B33="Cluster",IF(Entity!$B$14&lt;2,"",INDEX($E$3:$E$553,IF(A33-1=Entity!$B$14,2,A33+1))),""))</f>
        <v/>
      </c>
      <c r="I33">
        <f>IF(B33="Pillar",Entity!$B$14&amp;" cluster pages",IF(B33="Cluster",(COUNTIF($C$3:$C$553,SUBSTITUTE(SUBSTITUTE(C33,"?","~?"),"*","~*"))-1)&amp;" supporting pages",""))</f>
        <v/>
      </c>
      <c r="J33">
        <f>IF(B33="Pillar","Informational",IF(OR(B33="Cluster",B33="Supporting"),INDEX(Attributes!$D$3:$D$52,Q33)&amp;"",""))</f>
        <v/>
      </c>
      <c r="K33">
        <f>IF(B33="","",IF(B33="Pillar","Pillar guide (entity hub)",IF(B33="Cluster","Hub page for this attribute",IF(INDEX(Values!$C$3:$C$502,P33)="Yes","Entity page (profile of the sub-entity)",IFERROR(INDEX(Lists!$B$3:$B$6,MATCH(J33,Lists!$A$3:$A$6,0)),"Article")))))</f>
        <v/>
      </c>
      <c r="L33">
        <f>IF(B33="Pillar",Entity!$B$6&amp;"",IF(B33="Cluster",INDEX(Attributes!$I$3:$I$52,Q33)&amp;"",IF(B33="Supporting",INDEX(Values!$F$3:$F$502,P33)&amp;"","")))</f>
        <v/>
      </c>
      <c r="M33">
        <f>IF(B33="","",IF(L33&lt;&gt;"","Covered","Gap"))</f>
        <v/>
      </c>
      <c r="N33">
        <f>IF(B33="Pillar",SUMIFS(Values!$E$3:$E$502,Values!$I$3:$I$502,"Yes"),IF(B33="Cluster",SUMIFS(Values!$E$3:$E$502,Values!$A$3:$A$502,SUBSTITUTE(SUBSTITUTE(C33,"?","~?"),"*","~*"),Values!$I$3:$I$502,"Yes"),IF(B33="Supporting",N(INDEX(Values!$E$3:$E$502,P33)),"")))</f>
        <v/>
      </c>
      <c r="O33">
        <f>IF(B33="","",IF(B33="Pillar",100,IF(B33="Cluster",N(INDEX(Attributes!$E$3:$E$52,Q33))*25+IF(M33="Gap",10,0),N(INDEX(Attributes!$E$3:$E$52,Q33))*20+MIN(20,ROUND(LOG10(N(N33)+1)*5,0))+IF(M33="Gap",10,0)+IF(INDEX(Values!$D$3:$D$502,P33)="Yes",5,0))))</f>
        <v/>
      </c>
      <c r="P33">
        <f>IF(B33="Supporting",MATCH(A33-1-Entity!$B$14,Values!$J$3:$J$502,0),"")</f>
        <v/>
      </c>
      <c r="Q33">
        <f>IF(C33="","",MATCH(C33,Attributes!$A$3:$A$52,0))</f>
        <v/>
      </c>
      <c r="R33">
        <f>IF(B33="Pillar",SUBSTITUTE(Entity!$B$7,"{entity}",LOWER(Entity!$B$3)),IF(B33="Cluster",IF(INDEX(Attributes!$G$3:$G$52,Q33)&lt;&gt;"",INDEX(Attributes!$G$3:$G$52,Q33),SUBSTITUTE(SUBSTITUTE(Entity!$B$8,"{entity}",LOWER(Entity!$B$3)),"{attribute}",LOWER(C33))),IF(B33="Supporting",SUBSTITUTE(SUBSTITUTE(SUBSTITUTE(IF(INDEX(Attributes!$H$3:$H$52,Q33)&lt;&gt;"",INDEX(Attributes!$H$3:$H$52,Q33),Entity!$B$9),"{entity}",LOWER(Entity!$B$3)),"{value}",D33),"{attribute}",LOWER(C33)),"")))</f>
        <v/>
      </c>
    </row>
    <row r="34">
      <c r="A34">
        <f>ROW()-2</f>
        <v/>
      </c>
      <c r="B34">
        <f>IF(A34=1,"Pillar",IF(A34&lt;=1+Entity!$B$14,"Cluster",IF(A34&lt;=1+Entity!$B$14+Entity!$B$15,"Supporting","")))</f>
        <v/>
      </c>
      <c r="C34">
        <f>IF(B34="Cluster",INDEX(Attributes!$A$3:$A$52,MATCH(A34-1,Attributes!$P$3:$P$52,0)),IF(B34="Supporting",INDEX(Values!$A$3:$A$502,P34),""))</f>
        <v/>
      </c>
      <c r="D34">
        <f>IF(B34="Supporting",INDEX(Values!$B$3:$B$502,P34),"")</f>
        <v/>
      </c>
      <c r="E34">
        <f>IF(R34="","",UPPER(LEFT(R34,1))&amp;MID(R34,2,500))</f>
        <v/>
      </c>
      <c r="F34">
        <f>IF(E34="","",LOWER(SUBSTITUTE(SUBSTITUTE(SUBSTITUTE(SUBSTITUTE(SUBSTITUTE(SUBSTITUTE(SUBSTITUTE(TRIM(E34),":",""),",",""),"'",""),"&amp;","and"),"£",""),"  "," ")," ","-")))</f>
        <v/>
      </c>
      <c r="G34">
        <f>IF(B34="Cluster",$E$3,IF(B34="Supporting",INDEX($E$3:$E$553,MATCH(C34,$C$3:$C$553,0)),""))</f>
        <v/>
      </c>
      <c r="H34">
        <f>IF(B34="Supporting",IFERROR(INDEX($E$3:$E$553,1+Entity!$B$14+INDEX(Values!$O$3:$O$502,P34)),""),IF(B34="Cluster",IF(Entity!$B$14&lt;2,"",INDEX($E$3:$E$553,IF(A34-1=Entity!$B$14,2,A34+1))),""))</f>
        <v/>
      </c>
      <c r="I34">
        <f>IF(B34="Pillar",Entity!$B$14&amp;" cluster pages",IF(B34="Cluster",(COUNTIF($C$3:$C$553,SUBSTITUTE(SUBSTITUTE(C34,"?","~?"),"*","~*"))-1)&amp;" supporting pages",""))</f>
        <v/>
      </c>
      <c r="J34">
        <f>IF(B34="Pillar","Informational",IF(OR(B34="Cluster",B34="Supporting"),INDEX(Attributes!$D$3:$D$52,Q34)&amp;"",""))</f>
        <v/>
      </c>
      <c r="K34">
        <f>IF(B34="","",IF(B34="Pillar","Pillar guide (entity hub)",IF(B34="Cluster","Hub page for this attribute",IF(INDEX(Values!$C$3:$C$502,P34)="Yes","Entity page (profile of the sub-entity)",IFERROR(INDEX(Lists!$B$3:$B$6,MATCH(J34,Lists!$A$3:$A$6,0)),"Article")))))</f>
        <v/>
      </c>
      <c r="L34">
        <f>IF(B34="Pillar",Entity!$B$6&amp;"",IF(B34="Cluster",INDEX(Attributes!$I$3:$I$52,Q34)&amp;"",IF(B34="Supporting",INDEX(Values!$F$3:$F$502,P34)&amp;"","")))</f>
        <v/>
      </c>
      <c r="M34">
        <f>IF(B34="","",IF(L34&lt;&gt;"","Covered","Gap"))</f>
        <v/>
      </c>
      <c r="N34">
        <f>IF(B34="Pillar",SUMIFS(Values!$E$3:$E$502,Values!$I$3:$I$502,"Yes"),IF(B34="Cluster",SUMIFS(Values!$E$3:$E$502,Values!$A$3:$A$502,SUBSTITUTE(SUBSTITUTE(C34,"?","~?"),"*","~*"),Values!$I$3:$I$502,"Yes"),IF(B34="Supporting",N(INDEX(Values!$E$3:$E$502,P34)),"")))</f>
        <v/>
      </c>
      <c r="O34">
        <f>IF(B34="","",IF(B34="Pillar",100,IF(B34="Cluster",N(INDEX(Attributes!$E$3:$E$52,Q34))*25+IF(M34="Gap",10,0),N(INDEX(Attributes!$E$3:$E$52,Q34))*20+MIN(20,ROUND(LOG10(N(N34)+1)*5,0))+IF(M34="Gap",10,0)+IF(INDEX(Values!$D$3:$D$502,P34)="Yes",5,0))))</f>
        <v/>
      </c>
      <c r="P34">
        <f>IF(B34="Supporting",MATCH(A34-1-Entity!$B$14,Values!$J$3:$J$502,0),"")</f>
        <v/>
      </c>
      <c r="Q34">
        <f>IF(C34="","",MATCH(C34,Attributes!$A$3:$A$52,0))</f>
        <v/>
      </c>
      <c r="R34">
        <f>IF(B34="Pillar",SUBSTITUTE(Entity!$B$7,"{entity}",LOWER(Entity!$B$3)),IF(B34="Cluster",IF(INDEX(Attributes!$G$3:$G$52,Q34)&lt;&gt;"",INDEX(Attributes!$G$3:$G$52,Q34),SUBSTITUTE(SUBSTITUTE(Entity!$B$8,"{entity}",LOWER(Entity!$B$3)),"{attribute}",LOWER(C34))),IF(B34="Supporting",SUBSTITUTE(SUBSTITUTE(SUBSTITUTE(IF(INDEX(Attributes!$H$3:$H$52,Q34)&lt;&gt;"",INDEX(Attributes!$H$3:$H$52,Q34),Entity!$B$9),"{entity}",LOWER(Entity!$B$3)),"{value}",D34),"{attribute}",LOWER(C34)),"")))</f>
        <v/>
      </c>
    </row>
    <row r="35">
      <c r="A35">
        <f>ROW()-2</f>
        <v/>
      </c>
      <c r="B35">
        <f>IF(A35=1,"Pillar",IF(A35&lt;=1+Entity!$B$14,"Cluster",IF(A35&lt;=1+Entity!$B$14+Entity!$B$15,"Supporting","")))</f>
        <v/>
      </c>
      <c r="C35">
        <f>IF(B35="Cluster",INDEX(Attributes!$A$3:$A$52,MATCH(A35-1,Attributes!$P$3:$P$52,0)),IF(B35="Supporting",INDEX(Values!$A$3:$A$502,P35),""))</f>
        <v/>
      </c>
      <c r="D35">
        <f>IF(B35="Supporting",INDEX(Values!$B$3:$B$502,P35),"")</f>
        <v/>
      </c>
      <c r="E35">
        <f>IF(R35="","",UPPER(LEFT(R35,1))&amp;MID(R35,2,500))</f>
        <v/>
      </c>
      <c r="F35">
        <f>IF(E35="","",LOWER(SUBSTITUTE(SUBSTITUTE(SUBSTITUTE(SUBSTITUTE(SUBSTITUTE(SUBSTITUTE(SUBSTITUTE(TRIM(E35),":",""),",",""),"'",""),"&amp;","and"),"£",""),"  "," ")," ","-")))</f>
        <v/>
      </c>
      <c r="G35">
        <f>IF(B35="Cluster",$E$3,IF(B35="Supporting",INDEX($E$3:$E$553,MATCH(C35,$C$3:$C$553,0)),""))</f>
        <v/>
      </c>
      <c r="H35">
        <f>IF(B35="Supporting",IFERROR(INDEX($E$3:$E$553,1+Entity!$B$14+INDEX(Values!$O$3:$O$502,P35)),""),IF(B35="Cluster",IF(Entity!$B$14&lt;2,"",INDEX($E$3:$E$553,IF(A35-1=Entity!$B$14,2,A35+1))),""))</f>
        <v/>
      </c>
      <c r="I35">
        <f>IF(B35="Pillar",Entity!$B$14&amp;" cluster pages",IF(B35="Cluster",(COUNTIF($C$3:$C$553,SUBSTITUTE(SUBSTITUTE(C35,"?","~?"),"*","~*"))-1)&amp;" supporting pages",""))</f>
        <v/>
      </c>
      <c r="J35">
        <f>IF(B35="Pillar","Informational",IF(OR(B35="Cluster",B35="Supporting"),INDEX(Attributes!$D$3:$D$52,Q35)&amp;"",""))</f>
        <v/>
      </c>
      <c r="K35">
        <f>IF(B35="","",IF(B35="Pillar","Pillar guide (entity hub)",IF(B35="Cluster","Hub page for this attribute",IF(INDEX(Values!$C$3:$C$502,P35)="Yes","Entity page (profile of the sub-entity)",IFERROR(INDEX(Lists!$B$3:$B$6,MATCH(J35,Lists!$A$3:$A$6,0)),"Article")))))</f>
        <v/>
      </c>
      <c r="L35">
        <f>IF(B35="Pillar",Entity!$B$6&amp;"",IF(B35="Cluster",INDEX(Attributes!$I$3:$I$52,Q35)&amp;"",IF(B35="Supporting",INDEX(Values!$F$3:$F$502,P35)&amp;"","")))</f>
        <v/>
      </c>
      <c r="M35">
        <f>IF(B35="","",IF(L35&lt;&gt;"","Covered","Gap"))</f>
        <v/>
      </c>
      <c r="N35">
        <f>IF(B35="Pillar",SUMIFS(Values!$E$3:$E$502,Values!$I$3:$I$502,"Yes"),IF(B35="Cluster",SUMIFS(Values!$E$3:$E$502,Values!$A$3:$A$502,SUBSTITUTE(SUBSTITUTE(C35,"?","~?"),"*","~*"),Values!$I$3:$I$502,"Yes"),IF(B35="Supporting",N(INDEX(Values!$E$3:$E$502,P35)),"")))</f>
        <v/>
      </c>
      <c r="O35">
        <f>IF(B35="","",IF(B35="Pillar",100,IF(B35="Cluster",N(INDEX(Attributes!$E$3:$E$52,Q35))*25+IF(M35="Gap",10,0),N(INDEX(Attributes!$E$3:$E$52,Q35))*20+MIN(20,ROUND(LOG10(N(N35)+1)*5,0))+IF(M35="Gap",10,0)+IF(INDEX(Values!$D$3:$D$502,P35)="Yes",5,0))))</f>
        <v/>
      </c>
      <c r="P35">
        <f>IF(B35="Supporting",MATCH(A35-1-Entity!$B$14,Values!$J$3:$J$502,0),"")</f>
        <v/>
      </c>
      <c r="Q35">
        <f>IF(C35="","",MATCH(C35,Attributes!$A$3:$A$52,0))</f>
        <v/>
      </c>
      <c r="R35">
        <f>IF(B35="Pillar",SUBSTITUTE(Entity!$B$7,"{entity}",LOWER(Entity!$B$3)),IF(B35="Cluster",IF(INDEX(Attributes!$G$3:$G$52,Q35)&lt;&gt;"",INDEX(Attributes!$G$3:$G$52,Q35),SUBSTITUTE(SUBSTITUTE(Entity!$B$8,"{entity}",LOWER(Entity!$B$3)),"{attribute}",LOWER(C35))),IF(B35="Supporting",SUBSTITUTE(SUBSTITUTE(SUBSTITUTE(IF(INDEX(Attributes!$H$3:$H$52,Q35)&lt;&gt;"",INDEX(Attributes!$H$3:$H$52,Q35),Entity!$B$9),"{entity}",LOWER(Entity!$B$3)),"{value}",D35),"{attribute}",LOWER(C35)),"")))</f>
        <v/>
      </c>
    </row>
    <row r="36">
      <c r="A36">
        <f>ROW()-2</f>
        <v/>
      </c>
      <c r="B36">
        <f>IF(A36=1,"Pillar",IF(A36&lt;=1+Entity!$B$14,"Cluster",IF(A36&lt;=1+Entity!$B$14+Entity!$B$15,"Supporting","")))</f>
        <v/>
      </c>
      <c r="C36">
        <f>IF(B36="Cluster",INDEX(Attributes!$A$3:$A$52,MATCH(A36-1,Attributes!$P$3:$P$52,0)),IF(B36="Supporting",INDEX(Values!$A$3:$A$502,P36),""))</f>
        <v/>
      </c>
      <c r="D36">
        <f>IF(B36="Supporting",INDEX(Values!$B$3:$B$502,P36),"")</f>
        <v/>
      </c>
      <c r="E36">
        <f>IF(R36="","",UPPER(LEFT(R36,1))&amp;MID(R36,2,500))</f>
        <v/>
      </c>
      <c r="F36">
        <f>IF(E36="","",LOWER(SUBSTITUTE(SUBSTITUTE(SUBSTITUTE(SUBSTITUTE(SUBSTITUTE(SUBSTITUTE(SUBSTITUTE(TRIM(E36),":",""),",",""),"'",""),"&amp;","and"),"£",""),"  "," ")," ","-")))</f>
        <v/>
      </c>
      <c r="G36">
        <f>IF(B36="Cluster",$E$3,IF(B36="Supporting",INDEX($E$3:$E$553,MATCH(C36,$C$3:$C$553,0)),""))</f>
        <v/>
      </c>
      <c r="H36">
        <f>IF(B36="Supporting",IFERROR(INDEX($E$3:$E$553,1+Entity!$B$14+INDEX(Values!$O$3:$O$502,P36)),""),IF(B36="Cluster",IF(Entity!$B$14&lt;2,"",INDEX($E$3:$E$553,IF(A36-1=Entity!$B$14,2,A36+1))),""))</f>
        <v/>
      </c>
      <c r="I36">
        <f>IF(B36="Pillar",Entity!$B$14&amp;" cluster pages",IF(B36="Cluster",(COUNTIF($C$3:$C$553,SUBSTITUTE(SUBSTITUTE(C36,"?","~?"),"*","~*"))-1)&amp;" supporting pages",""))</f>
        <v/>
      </c>
      <c r="J36">
        <f>IF(B36="Pillar","Informational",IF(OR(B36="Cluster",B36="Supporting"),INDEX(Attributes!$D$3:$D$52,Q36)&amp;"",""))</f>
        <v/>
      </c>
      <c r="K36">
        <f>IF(B36="","",IF(B36="Pillar","Pillar guide (entity hub)",IF(B36="Cluster","Hub page for this attribute",IF(INDEX(Values!$C$3:$C$502,P36)="Yes","Entity page (profile of the sub-entity)",IFERROR(INDEX(Lists!$B$3:$B$6,MATCH(J36,Lists!$A$3:$A$6,0)),"Article")))))</f>
        <v/>
      </c>
      <c r="L36">
        <f>IF(B36="Pillar",Entity!$B$6&amp;"",IF(B36="Cluster",INDEX(Attributes!$I$3:$I$52,Q36)&amp;"",IF(B36="Supporting",INDEX(Values!$F$3:$F$502,P36)&amp;"","")))</f>
        <v/>
      </c>
      <c r="M36">
        <f>IF(B36="","",IF(L36&lt;&gt;"","Covered","Gap"))</f>
        <v/>
      </c>
      <c r="N36">
        <f>IF(B36="Pillar",SUMIFS(Values!$E$3:$E$502,Values!$I$3:$I$502,"Yes"),IF(B36="Cluster",SUMIFS(Values!$E$3:$E$502,Values!$A$3:$A$502,SUBSTITUTE(SUBSTITUTE(C36,"?","~?"),"*","~*"),Values!$I$3:$I$502,"Yes"),IF(B36="Supporting",N(INDEX(Values!$E$3:$E$502,P36)),"")))</f>
        <v/>
      </c>
      <c r="O36">
        <f>IF(B36="","",IF(B36="Pillar",100,IF(B36="Cluster",N(INDEX(Attributes!$E$3:$E$52,Q36))*25+IF(M36="Gap",10,0),N(INDEX(Attributes!$E$3:$E$52,Q36))*20+MIN(20,ROUND(LOG10(N(N36)+1)*5,0))+IF(M36="Gap",10,0)+IF(INDEX(Values!$D$3:$D$502,P36)="Yes",5,0))))</f>
        <v/>
      </c>
      <c r="P36">
        <f>IF(B36="Supporting",MATCH(A36-1-Entity!$B$14,Values!$J$3:$J$502,0),"")</f>
        <v/>
      </c>
      <c r="Q36">
        <f>IF(C36="","",MATCH(C36,Attributes!$A$3:$A$52,0))</f>
        <v/>
      </c>
      <c r="R36">
        <f>IF(B36="Pillar",SUBSTITUTE(Entity!$B$7,"{entity}",LOWER(Entity!$B$3)),IF(B36="Cluster",IF(INDEX(Attributes!$G$3:$G$52,Q36)&lt;&gt;"",INDEX(Attributes!$G$3:$G$52,Q36),SUBSTITUTE(SUBSTITUTE(Entity!$B$8,"{entity}",LOWER(Entity!$B$3)),"{attribute}",LOWER(C36))),IF(B36="Supporting",SUBSTITUTE(SUBSTITUTE(SUBSTITUTE(IF(INDEX(Attributes!$H$3:$H$52,Q36)&lt;&gt;"",INDEX(Attributes!$H$3:$H$52,Q36),Entity!$B$9),"{entity}",LOWER(Entity!$B$3)),"{value}",D36),"{attribute}",LOWER(C36)),"")))</f>
        <v/>
      </c>
    </row>
    <row r="37">
      <c r="A37">
        <f>ROW()-2</f>
        <v/>
      </c>
      <c r="B37">
        <f>IF(A37=1,"Pillar",IF(A37&lt;=1+Entity!$B$14,"Cluster",IF(A37&lt;=1+Entity!$B$14+Entity!$B$15,"Supporting","")))</f>
        <v/>
      </c>
      <c r="C37">
        <f>IF(B37="Cluster",INDEX(Attributes!$A$3:$A$52,MATCH(A37-1,Attributes!$P$3:$P$52,0)),IF(B37="Supporting",INDEX(Values!$A$3:$A$502,P37),""))</f>
        <v/>
      </c>
      <c r="D37">
        <f>IF(B37="Supporting",INDEX(Values!$B$3:$B$502,P37),"")</f>
        <v/>
      </c>
      <c r="E37">
        <f>IF(R37="","",UPPER(LEFT(R37,1))&amp;MID(R37,2,500))</f>
        <v/>
      </c>
      <c r="F37">
        <f>IF(E37="","",LOWER(SUBSTITUTE(SUBSTITUTE(SUBSTITUTE(SUBSTITUTE(SUBSTITUTE(SUBSTITUTE(SUBSTITUTE(TRIM(E37),":",""),",",""),"'",""),"&amp;","and"),"£",""),"  "," ")," ","-")))</f>
        <v/>
      </c>
      <c r="G37">
        <f>IF(B37="Cluster",$E$3,IF(B37="Supporting",INDEX($E$3:$E$553,MATCH(C37,$C$3:$C$553,0)),""))</f>
        <v/>
      </c>
      <c r="H37">
        <f>IF(B37="Supporting",IFERROR(INDEX($E$3:$E$553,1+Entity!$B$14+INDEX(Values!$O$3:$O$502,P37)),""),IF(B37="Cluster",IF(Entity!$B$14&lt;2,"",INDEX($E$3:$E$553,IF(A37-1=Entity!$B$14,2,A37+1))),""))</f>
        <v/>
      </c>
      <c r="I37">
        <f>IF(B37="Pillar",Entity!$B$14&amp;" cluster pages",IF(B37="Cluster",(COUNTIF($C$3:$C$553,SUBSTITUTE(SUBSTITUTE(C37,"?","~?"),"*","~*"))-1)&amp;" supporting pages",""))</f>
        <v/>
      </c>
      <c r="J37">
        <f>IF(B37="Pillar","Informational",IF(OR(B37="Cluster",B37="Supporting"),INDEX(Attributes!$D$3:$D$52,Q37)&amp;"",""))</f>
        <v/>
      </c>
      <c r="K37">
        <f>IF(B37="","",IF(B37="Pillar","Pillar guide (entity hub)",IF(B37="Cluster","Hub page for this attribute",IF(INDEX(Values!$C$3:$C$502,P37)="Yes","Entity page (profile of the sub-entity)",IFERROR(INDEX(Lists!$B$3:$B$6,MATCH(J37,Lists!$A$3:$A$6,0)),"Article")))))</f>
        <v/>
      </c>
      <c r="L37">
        <f>IF(B37="Pillar",Entity!$B$6&amp;"",IF(B37="Cluster",INDEX(Attributes!$I$3:$I$52,Q37)&amp;"",IF(B37="Supporting",INDEX(Values!$F$3:$F$502,P37)&amp;"","")))</f>
        <v/>
      </c>
      <c r="M37">
        <f>IF(B37="","",IF(L37&lt;&gt;"","Covered","Gap"))</f>
        <v/>
      </c>
      <c r="N37">
        <f>IF(B37="Pillar",SUMIFS(Values!$E$3:$E$502,Values!$I$3:$I$502,"Yes"),IF(B37="Cluster",SUMIFS(Values!$E$3:$E$502,Values!$A$3:$A$502,SUBSTITUTE(SUBSTITUTE(C37,"?","~?"),"*","~*"),Values!$I$3:$I$502,"Yes"),IF(B37="Supporting",N(INDEX(Values!$E$3:$E$502,P37)),"")))</f>
        <v/>
      </c>
      <c r="O37">
        <f>IF(B37="","",IF(B37="Pillar",100,IF(B37="Cluster",N(INDEX(Attributes!$E$3:$E$52,Q37))*25+IF(M37="Gap",10,0),N(INDEX(Attributes!$E$3:$E$52,Q37))*20+MIN(20,ROUND(LOG10(N(N37)+1)*5,0))+IF(M37="Gap",10,0)+IF(INDEX(Values!$D$3:$D$502,P37)="Yes",5,0))))</f>
        <v/>
      </c>
      <c r="P37">
        <f>IF(B37="Supporting",MATCH(A37-1-Entity!$B$14,Values!$J$3:$J$502,0),"")</f>
        <v/>
      </c>
      <c r="Q37">
        <f>IF(C37="","",MATCH(C37,Attributes!$A$3:$A$52,0))</f>
        <v/>
      </c>
      <c r="R37">
        <f>IF(B37="Pillar",SUBSTITUTE(Entity!$B$7,"{entity}",LOWER(Entity!$B$3)),IF(B37="Cluster",IF(INDEX(Attributes!$G$3:$G$52,Q37)&lt;&gt;"",INDEX(Attributes!$G$3:$G$52,Q37),SUBSTITUTE(SUBSTITUTE(Entity!$B$8,"{entity}",LOWER(Entity!$B$3)),"{attribute}",LOWER(C37))),IF(B37="Supporting",SUBSTITUTE(SUBSTITUTE(SUBSTITUTE(IF(INDEX(Attributes!$H$3:$H$52,Q37)&lt;&gt;"",INDEX(Attributes!$H$3:$H$52,Q37),Entity!$B$9),"{entity}",LOWER(Entity!$B$3)),"{value}",D37),"{attribute}",LOWER(C37)),"")))</f>
        <v/>
      </c>
    </row>
    <row r="38">
      <c r="A38">
        <f>ROW()-2</f>
        <v/>
      </c>
      <c r="B38">
        <f>IF(A38=1,"Pillar",IF(A38&lt;=1+Entity!$B$14,"Cluster",IF(A38&lt;=1+Entity!$B$14+Entity!$B$15,"Supporting","")))</f>
        <v/>
      </c>
      <c r="C38">
        <f>IF(B38="Cluster",INDEX(Attributes!$A$3:$A$52,MATCH(A38-1,Attributes!$P$3:$P$52,0)),IF(B38="Supporting",INDEX(Values!$A$3:$A$502,P38),""))</f>
        <v/>
      </c>
      <c r="D38">
        <f>IF(B38="Supporting",INDEX(Values!$B$3:$B$502,P38),"")</f>
        <v/>
      </c>
      <c r="E38">
        <f>IF(R38="","",UPPER(LEFT(R38,1))&amp;MID(R38,2,500))</f>
        <v/>
      </c>
      <c r="F38">
        <f>IF(E38="","",LOWER(SUBSTITUTE(SUBSTITUTE(SUBSTITUTE(SUBSTITUTE(SUBSTITUTE(SUBSTITUTE(SUBSTITUTE(TRIM(E38),":",""),",",""),"'",""),"&amp;","and"),"£",""),"  "," ")," ","-")))</f>
        <v/>
      </c>
      <c r="G38">
        <f>IF(B38="Cluster",$E$3,IF(B38="Supporting",INDEX($E$3:$E$553,MATCH(C38,$C$3:$C$553,0)),""))</f>
        <v/>
      </c>
      <c r="H38">
        <f>IF(B38="Supporting",IFERROR(INDEX($E$3:$E$553,1+Entity!$B$14+INDEX(Values!$O$3:$O$502,P38)),""),IF(B38="Cluster",IF(Entity!$B$14&lt;2,"",INDEX($E$3:$E$553,IF(A38-1=Entity!$B$14,2,A38+1))),""))</f>
        <v/>
      </c>
      <c r="I38">
        <f>IF(B38="Pillar",Entity!$B$14&amp;" cluster pages",IF(B38="Cluster",(COUNTIF($C$3:$C$553,SUBSTITUTE(SUBSTITUTE(C38,"?","~?"),"*","~*"))-1)&amp;" supporting pages",""))</f>
        <v/>
      </c>
      <c r="J38">
        <f>IF(B38="Pillar","Informational",IF(OR(B38="Cluster",B38="Supporting"),INDEX(Attributes!$D$3:$D$52,Q38)&amp;"",""))</f>
        <v/>
      </c>
      <c r="K38">
        <f>IF(B38="","",IF(B38="Pillar","Pillar guide (entity hub)",IF(B38="Cluster","Hub page for this attribute",IF(INDEX(Values!$C$3:$C$502,P38)="Yes","Entity page (profile of the sub-entity)",IFERROR(INDEX(Lists!$B$3:$B$6,MATCH(J38,Lists!$A$3:$A$6,0)),"Article")))))</f>
        <v/>
      </c>
      <c r="L38">
        <f>IF(B38="Pillar",Entity!$B$6&amp;"",IF(B38="Cluster",INDEX(Attributes!$I$3:$I$52,Q38)&amp;"",IF(B38="Supporting",INDEX(Values!$F$3:$F$502,P38)&amp;"","")))</f>
        <v/>
      </c>
      <c r="M38">
        <f>IF(B38="","",IF(L38&lt;&gt;"","Covered","Gap"))</f>
        <v/>
      </c>
      <c r="N38">
        <f>IF(B38="Pillar",SUMIFS(Values!$E$3:$E$502,Values!$I$3:$I$502,"Yes"),IF(B38="Cluster",SUMIFS(Values!$E$3:$E$502,Values!$A$3:$A$502,SUBSTITUTE(SUBSTITUTE(C38,"?","~?"),"*","~*"),Values!$I$3:$I$502,"Yes"),IF(B38="Supporting",N(INDEX(Values!$E$3:$E$502,P38)),"")))</f>
        <v/>
      </c>
      <c r="O38">
        <f>IF(B38="","",IF(B38="Pillar",100,IF(B38="Cluster",N(INDEX(Attributes!$E$3:$E$52,Q38))*25+IF(M38="Gap",10,0),N(INDEX(Attributes!$E$3:$E$52,Q38))*20+MIN(20,ROUND(LOG10(N(N38)+1)*5,0))+IF(M38="Gap",10,0)+IF(INDEX(Values!$D$3:$D$502,P38)="Yes",5,0))))</f>
        <v/>
      </c>
      <c r="P38">
        <f>IF(B38="Supporting",MATCH(A38-1-Entity!$B$14,Values!$J$3:$J$502,0),"")</f>
        <v/>
      </c>
      <c r="Q38">
        <f>IF(C38="","",MATCH(C38,Attributes!$A$3:$A$52,0))</f>
        <v/>
      </c>
      <c r="R38">
        <f>IF(B38="Pillar",SUBSTITUTE(Entity!$B$7,"{entity}",LOWER(Entity!$B$3)),IF(B38="Cluster",IF(INDEX(Attributes!$G$3:$G$52,Q38)&lt;&gt;"",INDEX(Attributes!$G$3:$G$52,Q38),SUBSTITUTE(SUBSTITUTE(Entity!$B$8,"{entity}",LOWER(Entity!$B$3)),"{attribute}",LOWER(C38))),IF(B38="Supporting",SUBSTITUTE(SUBSTITUTE(SUBSTITUTE(IF(INDEX(Attributes!$H$3:$H$52,Q38)&lt;&gt;"",INDEX(Attributes!$H$3:$H$52,Q38),Entity!$B$9),"{entity}",LOWER(Entity!$B$3)),"{value}",D38),"{attribute}",LOWER(C38)),"")))</f>
        <v/>
      </c>
    </row>
    <row r="39">
      <c r="A39">
        <f>ROW()-2</f>
        <v/>
      </c>
      <c r="B39">
        <f>IF(A39=1,"Pillar",IF(A39&lt;=1+Entity!$B$14,"Cluster",IF(A39&lt;=1+Entity!$B$14+Entity!$B$15,"Supporting","")))</f>
        <v/>
      </c>
      <c r="C39">
        <f>IF(B39="Cluster",INDEX(Attributes!$A$3:$A$52,MATCH(A39-1,Attributes!$P$3:$P$52,0)),IF(B39="Supporting",INDEX(Values!$A$3:$A$502,P39),""))</f>
        <v/>
      </c>
      <c r="D39">
        <f>IF(B39="Supporting",INDEX(Values!$B$3:$B$502,P39),"")</f>
        <v/>
      </c>
      <c r="E39">
        <f>IF(R39="","",UPPER(LEFT(R39,1))&amp;MID(R39,2,500))</f>
        <v/>
      </c>
      <c r="F39">
        <f>IF(E39="","",LOWER(SUBSTITUTE(SUBSTITUTE(SUBSTITUTE(SUBSTITUTE(SUBSTITUTE(SUBSTITUTE(SUBSTITUTE(TRIM(E39),":",""),",",""),"'",""),"&amp;","and"),"£",""),"  "," ")," ","-")))</f>
        <v/>
      </c>
      <c r="G39">
        <f>IF(B39="Cluster",$E$3,IF(B39="Supporting",INDEX($E$3:$E$553,MATCH(C39,$C$3:$C$553,0)),""))</f>
        <v/>
      </c>
      <c r="H39">
        <f>IF(B39="Supporting",IFERROR(INDEX($E$3:$E$553,1+Entity!$B$14+INDEX(Values!$O$3:$O$502,P39)),""),IF(B39="Cluster",IF(Entity!$B$14&lt;2,"",INDEX($E$3:$E$553,IF(A39-1=Entity!$B$14,2,A39+1))),""))</f>
        <v/>
      </c>
      <c r="I39">
        <f>IF(B39="Pillar",Entity!$B$14&amp;" cluster pages",IF(B39="Cluster",(COUNTIF($C$3:$C$553,SUBSTITUTE(SUBSTITUTE(C39,"?","~?"),"*","~*"))-1)&amp;" supporting pages",""))</f>
        <v/>
      </c>
      <c r="J39">
        <f>IF(B39="Pillar","Informational",IF(OR(B39="Cluster",B39="Supporting"),INDEX(Attributes!$D$3:$D$52,Q39)&amp;"",""))</f>
        <v/>
      </c>
      <c r="K39">
        <f>IF(B39="","",IF(B39="Pillar","Pillar guide (entity hub)",IF(B39="Cluster","Hub page for this attribute",IF(INDEX(Values!$C$3:$C$502,P39)="Yes","Entity page (profile of the sub-entity)",IFERROR(INDEX(Lists!$B$3:$B$6,MATCH(J39,Lists!$A$3:$A$6,0)),"Article")))))</f>
        <v/>
      </c>
      <c r="L39">
        <f>IF(B39="Pillar",Entity!$B$6&amp;"",IF(B39="Cluster",INDEX(Attributes!$I$3:$I$52,Q39)&amp;"",IF(B39="Supporting",INDEX(Values!$F$3:$F$502,P39)&amp;"","")))</f>
        <v/>
      </c>
      <c r="M39">
        <f>IF(B39="","",IF(L39&lt;&gt;"","Covered","Gap"))</f>
        <v/>
      </c>
      <c r="N39">
        <f>IF(B39="Pillar",SUMIFS(Values!$E$3:$E$502,Values!$I$3:$I$502,"Yes"),IF(B39="Cluster",SUMIFS(Values!$E$3:$E$502,Values!$A$3:$A$502,SUBSTITUTE(SUBSTITUTE(C39,"?","~?"),"*","~*"),Values!$I$3:$I$502,"Yes"),IF(B39="Supporting",N(INDEX(Values!$E$3:$E$502,P39)),"")))</f>
        <v/>
      </c>
      <c r="O39">
        <f>IF(B39="","",IF(B39="Pillar",100,IF(B39="Cluster",N(INDEX(Attributes!$E$3:$E$52,Q39))*25+IF(M39="Gap",10,0),N(INDEX(Attributes!$E$3:$E$52,Q39))*20+MIN(20,ROUND(LOG10(N(N39)+1)*5,0))+IF(M39="Gap",10,0)+IF(INDEX(Values!$D$3:$D$502,P39)="Yes",5,0))))</f>
        <v/>
      </c>
      <c r="P39">
        <f>IF(B39="Supporting",MATCH(A39-1-Entity!$B$14,Values!$J$3:$J$502,0),"")</f>
        <v/>
      </c>
      <c r="Q39">
        <f>IF(C39="","",MATCH(C39,Attributes!$A$3:$A$52,0))</f>
        <v/>
      </c>
      <c r="R39">
        <f>IF(B39="Pillar",SUBSTITUTE(Entity!$B$7,"{entity}",LOWER(Entity!$B$3)),IF(B39="Cluster",IF(INDEX(Attributes!$G$3:$G$52,Q39)&lt;&gt;"",INDEX(Attributes!$G$3:$G$52,Q39),SUBSTITUTE(SUBSTITUTE(Entity!$B$8,"{entity}",LOWER(Entity!$B$3)),"{attribute}",LOWER(C39))),IF(B39="Supporting",SUBSTITUTE(SUBSTITUTE(SUBSTITUTE(IF(INDEX(Attributes!$H$3:$H$52,Q39)&lt;&gt;"",INDEX(Attributes!$H$3:$H$52,Q39),Entity!$B$9),"{entity}",LOWER(Entity!$B$3)),"{value}",D39),"{attribute}",LOWER(C39)),"")))</f>
        <v/>
      </c>
    </row>
    <row r="40">
      <c r="A40">
        <f>ROW()-2</f>
        <v/>
      </c>
      <c r="B40">
        <f>IF(A40=1,"Pillar",IF(A40&lt;=1+Entity!$B$14,"Cluster",IF(A40&lt;=1+Entity!$B$14+Entity!$B$15,"Supporting","")))</f>
        <v/>
      </c>
      <c r="C40">
        <f>IF(B40="Cluster",INDEX(Attributes!$A$3:$A$52,MATCH(A40-1,Attributes!$P$3:$P$52,0)),IF(B40="Supporting",INDEX(Values!$A$3:$A$502,P40),""))</f>
        <v/>
      </c>
      <c r="D40">
        <f>IF(B40="Supporting",INDEX(Values!$B$3:$B$502,P40),"")</f>
        <v/>
      </c>
      <c r="E40">
        <f>IF(R40="","",UPPER(LEFT(R40,1))&amp;MID(R40,2,500))</f>
        <v/>
      </c>
      <c r="F40">
        <f>IF(E40="","",LOWER(SUBSTITUTE(SUBSTITUTE(SUBSTITUTE(SUBSTITUTE(SUBSTITUTE(SUBSTITUTE(SUBSTITUTE(TRIM(E40),":",""),",",""),"'",""),"&amp;","and"),"£",""),"  "," ")," ","-")))</f>
        <v/>
      </c>
      <c r="G40">
        <f>IF(B40="Cluster",$E$3,IF(B40="Supporting",INDEX($E$3:$E$553,MATCH(C40,$C$3:$C$553,0)),""))</f>
        <v/>
      </c>
      <c r="H40">
        <f>IF(B40="Supporting",IFERROR(INDEX($E$3:$E$553,1+Entity!$B$14+INDEX(Values!$O$3:$O$502,P40)),""),IF(B40="Cluster",IF(Entity!$B$14&lt;2,"",INDEX($E$3:$E$553,IF(A40-1=Entity!$B$14,2,A40+1))),""))</f>
        <v/>
      </c>
      <c r="I40">
        <f>IF(B40="Pillar",Entity!$B$14&amp;" cluster pages",IF(B40="Cluster",(COUNTIF($C$3:$C$553,SUBSTITUTE(SUBSTITUTE(C40,"?","~?"),"*","~*"))-1)&amp;" supporting pages",""))</f>
        <v/>
      </c>
      <c r="J40">
        <f>IF(B40="Pillar","Informational",IF(OR(B40="Cluster",B40="Supporting"),INDEX(Attributes!$D$3:$D$52,Q40)&amp;"",""))</f>
        <v/>
      </c>
      <c r="K40">
        <f>IF(B40="","",IF(B40="Pillar","Pillar guide (entity hub)",IF(B40="Cluster","Hub page for this attribute",IF(INDEX(Values!$C$3:$C$502,P40)="Yes","Entity page (profile of the sub-entity)",IFERROR(INDEX(Lists!$B$3:$B$6,MATCH(J40,Lists!$A$3:$A$6,0)),"Article")))))</f>
        <v/>
      </c>
      <c r="L40">
        <f>IF(B40="Pillar",Entity!$B$6&amp;"",IF(B40="Cluster",INDEX(Attributes!$I$3:$I$52,Q40)&amp;"",IF(B40="Supporting",INDEX(Values!$F$3:$F$502,P40)&amp;"","")))</f>
        <v/>
      </c>
      <c r="M40">
        <f>IF(B40="","",IF(L40&lt;&gt;"","Covered","Gap"))</f>
        <v/>
      </c>
      <c r="N40">
        <f>IF(B40="Pillar",SUMIFS(Values!$E$3:$E$502,Values!$I$3:$I$502,"Yes"),IF(B40="Cluster",SUMIFS(Values!$E$3:$E$502,Values!$A$3:$A$502,SUBSTITUTE(SUBSTITUTE(C40,"?","~?"),"*","~*"),Values!$I$3:$I$502,"Yes"),IF(B40="Supporting",N(INDEX(Values!$E$3:$E$502,P40)),"")))</f>
        <v/>
      </c>
      <c r="O40">
        <f>IF(B40="","",IF(B40="Pillar",100,IF(B40="Cluster",N(INDEX(Attributes!$E$3:$E$52,Q40))*25+IF(M40="Gap",10,0),N(INDEX(Attributes!$E$3:$E$52,Q40))*20+MIN(20,ROUND(LOG10(N(N40)+1)*5,0))+IF(M40="Gap",10,0)+IF(INDEX(Values!$D$3:$D$502,P40)="Yes",5,0))))</f>
        <v/>
      </c>
      <c r="P40">
        <f>IF(B40="Supporting",MATCH(A40-1-Entity!$B$14,Values!$J$3:$J$502,0),"")</f>
        <v/>
      </c>
      <c r="Q40">
        <f>IF(C40="","",MATCH(C40,Attributes!$A$3:$A$52,0))</f>
        <v/>
      </c>
      <c r="R40">
        <f>IF(B40="Pillar",SUBSTITUTE(Entity!$B$7,"{entity}",LOWER(Entity!$B$3)),IF(B40="Cluster",IF(INDEX(Attributes!$G$3:$G$52,Q40)&lt;&gt;"",INDEX(Attributes!$G$3:$G$52,Q40),SUBSTITUTE(SUBSTITUTE(Entity!$B$8,"{entity}",LOWER(Entity!$B$3)),"{attribute}",LOWER(C40))),IF(B40="Supporting",SUBSTITUTE(SUBSTITUTE(SUBSTITUTE(IF(INDEX(Attributes!$H$3:$H$52,Q40)&lt;&gt;"",INDEX(Attributes!$H$3:$H$52,Q40),Entity!$B$9),"{entity}",LOWER(Entity!$B$3)),"{value}",D40),"{attribute}",LOWER(C40)),"")))</f>
        <v/>
      </c>
    </row>
    <row r="41">
      <c r="A41">
        <f>ROW()-2</f>
        <v/>
      </c>
      <c r="B41">
        <f>IF(A41=1,"Pillar",IF(A41&lt;=1+Entity!$B$14,"Cluster",IF(A41&lt;=1+Entity!$B$14+Entity!$B$15,"Supporting","")))</f>
        <v/>
      </c>
      <c r="C41">
        <f>IF(B41="Cluster",INDEX(Attributes!$A$3:$A$52,MATCH(A41-1,Attributes!$P$3:$P$52,0)),IF(B41="Supporting",INDEX(Values!$A$3:$A$502,P41),""))</f>
        <v/>
      </c>
      <c r="D41">
        <f>IF(B41="Supporting",INDEX(Values!$B$3:$B$502,P41),"")</f>
        <v/>
      </c>
      <c r="E41">
        <f>IF(R41="","",UPPER(LEFT(R41,1))&amp;MID(R41,2,500))</f>
        <v/>
      </c>
      <c r="F41">
        <f>IF(E41="","",LOWER(SUBSTITUTE(SUBSTITUTE(SUBSTITUTE(SUBSTITUTE(SUBSTITUTE(SUBSTITUTE(SUBSTITUTE(TRIM(E41),":",""),",",""),"'",""),"&amp;","and"),"£",""),"  "," ")," ","-")))</f>
        <v/>
      </c>
      <c r="G41">
        <f>IF(B41="Cluster",$E$3,IF(B41="Supporting",INDEX($E$3:$E$553,MATCH(C41,$C$3:$C$553,0)),""))</f>
        <v/>
      </c>
      <c r="H41">
        <f>IF(B41="Supporting",IFERROR(INDEX($E$3:$E$553,1+Entity!$B$14+INDEX(Values!$O$3:$O$502,P41)),""),IF(B41="Cluster",IF(Entity!$B$14&lt;2,"",INDEX($E$3:$E$553,IF(A41-1=Entity!$B$14,2,A41+1))),""))</f>
        <v/>
      </c>
      <c r="I41">
        <f>IF(B41="Pillar",Entity!$B$14&amp;" cluster pages",IF(B41="Cluster",(COUNTIF($C$3:$C$553,SUBSTITUTE(SUBSTITUTE(C41,"?","~?"),"*","~*"))-1)&amp;" supporting pages",""))</f>
        <v/>
      </c>
      <c r="J41">
        <f>IF(B41="Pillar","Informational",IF(OR(B41="Cluster",B41="Supporting"),INDEX(Attributes!$D$3:$D$52,Q41)&amp;"",""))</f>
        <v/>
      </c>
      <c r="K41">
        <f>IF(B41="","",IF(B41="Pillar","Pillar guide (entity hub)",IF(B41="Cluster","Hub page for this attribute",IF(INDEX(Values!$C$3:$C$502,P41)="Yes","Entity page (profile of the sub-entity)",IFERROR(INDEX(Lists!$B$3:$B$6,MATCH(J41,Lists!$A$3:$A$6,0)),"Article")))))</f>
        <v/>
      </c>
      <c r="L41">
        <f>IF(B41="Pillar",Entity!$B$6&amp;"",IF(B41="Cluster",INDEX(Attributes!$I$3:$I$52,Q41)&amp;"",IF(B41="Supporting",INDEX(Values!$F$3:$F$502,P41)&amp;"","")))</f>
        <v/>
      </c>
      <c r="M41">
        <f>IF(B41="","",IF(L41&lt;&gt;"","Covered","Gap"))</f>
        <v/>
      </c>
      <c r="N41">
        <f>IF(B41="Pillar",SUMIFS(Values!$E$3:$E$502,Values!$I$3:$I$502,"Yes"),IF(B41="Cluster",SUMIFS(Values!$E$3:$E$502,Values!$A$3:$A$502,SUBSTITUTE(SUBSTITUTE(C41,"?","~?"),"*","~*"),Values!$I$3:$I$502,"Yes"),IF(B41="Supporting",N(INDEX(Values!$E$3:$E$502,P41)),"")))</f>
        <v/>
      </c>
      <c r="O41">
        <f>IF(B41="","",IF(B41="Pillar",100,IF(B41="Cluster",N(INDEX(Attributes!$E$3:$E$52,Q41))*25+IF(M41="Gap",10,0),N(INDEX(Attributes!$E$3:$E$52,Q41))*20+MIN(20,ROUND(LOG10(N(N41)+1)*5,0))+IF(M41="Gap",10,0)+IF(INDEX(Values!$D$3:$D$502,P41)="Yes",5,0))))</f>
        <v/>
      </c>
      <c r="P41">
        <f>IF(B41="Supporting",MATCH(A41-1-Entity!$B$14,Values!$J$3:$J$502,0),"")</f>
        <v/>
      </c>
      <c r="Q41">
        <f>IF(C41="","",MATCH(C41,Attributes!$A$3:$A$52,0))</f>
        <v/>
      </c>
      <c r="R41">
        <f>IF(B41="Pillar",SUBSTITUTE(Entity!$B$7,"{entity}",LOWER(Entity!$B$3)),IF(B41="Cluster",IF(INDEX(Attributes!$G$3:$G$52,Q41)&lt;&gt;"",INDEX(Attributes!$G$3:$G$52,Q41),SUBSTITUTE(SUBSTITUTE(Entity!$B$8,"{entity}",LOWER(Entity!$B$3)),"{attribute}",LOWER(C41))),IF(B41="Supporting",SUBSTITUTE(SUBSTITUTE(SUBSTITUTE(IF(INDEX(Attributes!$H$3:$H$52,Q41)&lt;&gt;"",INDEX(Attributes!$H$3:$H$52,Q41),Entity!$B$9),"{entity}",LOWER(Entity!$B$3)),"{value}",D41),"{attribute}",LOWER(C41)),"")))</f>
        <v/>
      </c>
    </row>
    <row r="42">
      <c r="A42">
        <f>ROW()-2</f>
        <v/>
      </c>
      <c r="B42">
        <f>IF(A42=1,"Pillar",IF(A42&lt;=1+Entity!$B$14,"Cluster",IF(A42&lt;=1+Entity!$B$14+Entity!$B$15,"Supporting","")))</f>
        <v/>
      </c>
      <c r="C42">
        <f>IF(B42="Cluster",INDEX(Attributes!$A$3:$A$52,MATCH(A42-1,Attributes!$P$3:$P$52,0)),IF(B42="Supporting",INDEX(Values!$A$3:$A$502,P42),""))</f>
        <v/>
      </c>
      <c r="D42">
        <f>IF(B42="Supporting",INDEX(Values!$B$3:$B$502,P42),"")</f>
        <v/>
      </c>
      <c r="E42">
        <f>IF(R42="","",UPPER(LEFT(R42,1))&amp;MID(R42,2,500))</f>
        <v/>
      </c>
      <c r="F42">
        <f>IF(E42="","",LOWER(SUBSTITUTE(SUBSTITUTE(SUBSTITUTE(SUBSTITUTE(SUBSTITUTE(SUBSTITUTE(SUBSTITUTE(TRIM(E42),":",""),",",""),"'",""),"&amp;","and"),"£",""),"  "," ")," ","-")))</f>
        <v/>
      </c>
      <c r="G42">
        <f>IF(B42="Cluster",$E$3,IF(B42="Supporting",INDEX($E$3:$E$553,MATCH(C42,$C$3:$C$553,0)),""))</f>
        <v/>
      </c>
      <c r="H42">
        <f>IF(B42="Supporting",IFERROR(INDEX($E$3:$E$553,1+Entity!$B$14+INDEX(Values!$O$3:$O$502,P42)),""),IF(B42="Cluster",IF(Entity!$B$14&lt;2,"",INDEX($E$3:$E$553,IF(A42-1=Entity!$B$14,2,A42+1))),""))</f>
        <v/>
      </c>
      <c r="I42">
        <f>IF(B42="Pillar",Entity!$B$14&amp;" cluster pages",IF(B42="Cluster",(COUNTIF($C$3:$C$553,SUBSTITUTE(SUBSTITUTE(C42,"?","~?"),"*","~*"))-1)&amp;" supporting pages",""))</f>
        <v/>
      </c>
      <c r="J42">
        <f>IF(B42="Pillar","Informational",IF(OR(B42="Cluster",B42="Supporting"),INDEX(Attributes!$D$3:$D$52,Q42)&amp;"",""))</f>
        <v/>
      </c>
      <c r="K42">
        <f>IF(B42="","",IF(B42="Pillar","Pillar guide (entity hub)",IF(B42="Cluster","Hub page for this attribute",IF(INDEX(Values!$C$3:$C$502,P42)="Yes","Entity page (profile of the sub-entity)",IFERROR(INDEX(Lists!$B$3:$B$6,MATCH(J42,Lists!$A$3:$A$6,0)),"Article")))))</f>
        <v/>
      </c>
      <c r="L42">
        <f>IF(B42="Pillar",Entity!$B$6&amp;"",IF(B42="Cluster",INDEX(Attributes!$I$3:$I$52,Q42)&amp;"",IF(B42="Supporting",INDEX(Values!$F$3:$F$502,P42)&amp;"","")))</f>
        <v/>
      </c>
      <c r="M42">
        <f>IF(B42="","",IF(L42&lt;&gt;"","Covered","Gap"))</f>
        <v/>
      </c>
      <c r="N42">
        <f>IF(B42="Pillar",SUMIFS(Values!$E$3:$E$502,Values!$I$3:$I$502,"Yes"),IF(B42="Cluster",SUMIFS(Values!$E$3:$E$502,Values!$A$3:$A$502,SUBSTITUTE(SUBSTITUTE(C42,"?","~?"),"*","~*"),Values!$I$3:$I$502,"Yes"),IF(B42="Supporting",N(INDEX(Values!$E$3:$E$502,P42)),"")))</f>
        <v/>
      </c>
      <c r="O42">
        <f>IF(B42="","",IF(B42="Pillar",100,IF(B42="Cluster",N(INDEX(Attributes!$E$3:$E$52,Q42))*25+IF(M42="Gap",10,0),N(INDEX(Attributes!$E$3:$E$52,Q42))*20+MIN(20,ROUND(LOG10(N(N42)+1)*5,0))+IF(M42="Gap",10,0)+IF(INDEX(Values!$D$3:$D$502,P42)="Yes",5,0))))</f>
        <v/>
      </c>
      <c r="P42">
        <f>IF(B42="Supporting",MATCH(A42-1-Entity!$B$14,Values!$J$3:$J$502,0),"")</f>
        <v/>
      </c>
      <c r="Q42">
        <f>IF(C42="","",MATCH(C42,Attributes!$A$3:$A$52,0))</f>
        <v/>
      </c>
      <c r="R42">
        <f>IF(B42="Pillar",SUBSTITUTE(Entity!$B$7,"{entity}",LOWER(Entity!$B$3)),IF(B42="Cluster",IF(INDEX(Attributes!$G$3:$G$52,Q42)&lt;&gt;"",INDEX(Attributes!$G$3:$G$52,Q42),SUBSTITUTE(SUBSTITUTE(Entity!$B$8,"{entity}",LOWER(Entity!$B$3)),"{attribute}",LOWER(C42))),IF(B42="Supporting",SUBSTITUTE(SUBSTITUTE(SUBSTITUTE(IF(INDEX(Attributes!$H$3:$H$52,Q42)&lt;&gt;"",INDEX(Attributes!$H$3:$H$52,Q42),Entity!$B$9),"{entity}",LOWER(Entity!$B$3)),"{value}",D42),"{attribute}",LOWER(C42)),"")))</f>
        <v/>
      </c>
    </row>
    <row r="43">
      <c r="A43">
        <f>ROW()-2</f>
        <v/>
      </c>
      <c r="B43">
        <f>IF(A43=1,"Pillar",IF(A43&lt;=1+Entity!$B$14,"Cluster",IF(A43&lt;=1+Entity!$B$14+Entity!$B$15,"Supporting","")))</f>
        <v/>
      </c>
      <c r="C43">
        <f>IF(B43="Cluster",INDEX(Attributes!$A$3:$A$52,MATCH(A43-1,Attributes!$P$3:$P$52,0)),IF(B43="Supporting",INDEX(Values!$A$3:$A$502,P43),""))</f>
        <v/>
      </c>
      <c r="D43">
        <f>IF(B43="Supporting",INDEX(Values!$B$3:$B$502,P43),"")</f>
        <v/>
      </c>
      <c r="E43">
        <f>IF(R43="","",UPPER(LEFT(R43,1))&amp;MID(R43,2,500))</f>
        <v/>
      </c>
      <c r="F43">
        <f>IF(E43="","",LOWER(SUBSTITUTE(SUBSTITUTE(SUBSTITUTE(SUBSTITUTE(SUBSTITUTE(SUBSTITUTE(SUBSTITUTE(TRIM(E43),":",""),",",""),"'",""),"&amp;","and"),"£",""),"  "," ")," ","-")))</f>
        <v/>
      </c>
      <c r="G43">
        <f>IF(B43="Cluster",$E$3,IF(B43="Supporting",INDEX($E$3:$E$553,MATCH(C43,$C$3:$C$553,0)),""))</f>
        <v/>
      </c>
      <c r="H43">
        <f>IF(B43="Supporting",IFERROR(INDEX($E$3:$E$553,1+Entity!$B$14+INDEX(Values!$O$3:$O$502,P43)),""),IF(B43="Cluster",IF(Entity!$B$14&lt;2,"",INDEX($E$3:$E$553,IF(A43-1=Entity!$B$14,2,A43+1))),""))</f>
        <v/>
      </c>
      <c r="I43">
        <f>IF(B43="Pillar",Entity!$B$14&amp;" cluster pages",IF(B43="Cluster",(COUNTIF($C$3:$C$553,SUBSTITUTE(SUBSTITUTE(C43,"?","~?"),"*","~*"))-1)&amp;" supporting pages",""))</f>
        <v/>
      </c>
      <c r="J43">
        <f>IF(B43="Pillar","Informational",IF(OR(B43="Cluster",B43="Supporting"),INDEX(Attributes!$D$3:$D$52,Q43)&amp;"",""))</f>
        <v/>
      </c>
      <c r="K43">
        <f>IF(B43="","",IF(B43="Pillar","Pillar guide (entity hub)",IF(B43="Cluster","Hub page for this attribute",IF(INDEX(Values!$C$3:$C$502,P43)="Yes","Entity page (profile of the sub-entity)",IFERROR(INDEX(Lists!$B$3:$B$6,MATCH(J43,Lists!$A$3:$A$6,0)),"Article")))))</f>
        <v/>
      </c>
      <c r="L43">
        <f>IF(B43="Pillar",Entity!$B$6&amp;"",IF(B43="Cluster",INDEX(Attributes!$I$3:$I$52,Q43)&amp;"",IF(B43="Supporting",INDEX(Values!$F$3:$F$502,P43)&amp;"","")))</f>
        <v/>
      </c>
      <c r="M43">
        <f>IF(B43="","",IF(L43&lt;&gt;"","Covered","Gap"))</f>
        <v/>
      </c>
      <c r="N43">
        <f>IF(B43="Pillar",SUMIFS(Values!$E$3:$E$502,Values!$I$3:$I$502,"Yes"),IF(B43="Cluster",SUMIFS(Values!$E$3:$E$502,Values!$A$3:$A$502,SUBSTITUTE(SUBSTITUTE(C43,"?","~?"),"*","~*"),Values!$I$3:$I$502,"Yes"),IF(B43="Supporting",N(INDEX(Values!$E$3:$E$502,P43)),"")))</f>
        <v/>
      </c>
      <c r="O43">
        <f>IF(B43="","",IF(B43="Pillar",100,IF(B43="Cluster",N(INDEX(Attributes!$E$3:$E$52,Q43))*25+IF(M43="Gap",10,0),N(INDEX(Attributes!$E$3:$E$52,Q43))*20+MIN(20,ROUND(LOG10(N(N43)+1)*5,0))+IF(M43="Gap",10,0)+IF(INDEX(Values!$D$3:$D$502,P43)="Yes",5,0))))</f>
        <v/>
      </c>
      <c r="P43">
        <f>IF(B43="Supporting",MATCH(A43-1-Entity!$B$14,Values!$J$3:$J$502,0),"")</f>
        <v/>
      </c>
      <c r="Q43">
        <f>IF(C43="","",MATCH(C43,Attributes!$A$3:$A$52,0))</f>
        <v/>
      </c>
      <c r="R43">
        <f>IF(B43="Pillar",SUBSTITUTE(Entity!$B$7,"{entity}",LOWER(Entity!$B$3)),IF(B43="Cluster",IF(INDEX(Attributes!$G$3:$G$52,Q43)&lt;&gt;"",INDEX(Attributes!$G$3:$G$52,Q43),SUBSTITUTE(SUBSTITUTE(Entity!$B$8,"{entity}",LOWER(Entity!$B$3)),"{attribute}",LOWER(C43))),IF(B43="Supporting",SUBSTITUTE(SUBSTITUTE(SUBSTITUTE(IF(INDEX(Attributes!$H$3:$H$52,Q43)&lt;&gt;"",INDEX(Attributes!$H$3:$H$52,Q43),Entity!$B$9),"{entity}",LOWER(Entity!$B$3)),"{value}",D43),"{attribute}",LOWER(C43)),"")))</f>
        <v/>
      </c>
    </row>
    <row r="44">
      <c r="A44">
        <f>ROW()-2</f>
        <v/>
      </c>
      <c r="B44">
        <f>IF(A44=1,"Pillar",IF(A44&lt;=1+Entity!$B$14,"Cluster",IF(A44&lt;=1+Entity!$B$14+Entity!$B$15,"Supporting","")))</f>
        <v/>
      </c>
      <c r="C44">
        <f>IF(B44="Cluster",INDEX(Attributes!$A$3:$A$52,MATCH(A44-1,Attributes!$P$3:$P$52,0)),IF(B44="Supporting",INDEX(Values!$A$3:$A$502,P44),""))</f>
        <v/>
      </c>
      <c r="D44">
        <f>IF(B44="Supporting",INDEX(Values!$B$3:$B$502,P44),"")</f>
        <v/>
      </c>
      <c r="E44">
        <f>IF(R44="","",UPPER(LEFT(R44,1))&amp;MID(R44,2,500))</f>
        <v/>
      </c>
      <c r="F44">
        <f>IF(E44="","",LOWER(SUBSTITUTE(SUBSTITUTE(SUBSTITUTE(SUBSTITUTE(SUBSTITUTE(SUBSTITUTE(SUBSTITUTE(TRIM(E44),":",""),",",""),"'",""),"&amp;","and"),"£",""),"  "," ")," ","-")))</f>
        <v/>
      </c>
      <c r="G44">
        <f>IF(B44="Cluster",$E$3,IF(B44="Supporting",INDEX($E$3:$E$553,MATCH(C44,$C$3:$C$553,0)),""))</f>
        <v/>
      </c>
      <c r="H44">
        <f>IF(B44="Supporting",IFERROR(INDEX($E$3:$E$553,1+Entity!$B$14+INDEX(Values!$O$3:$O$502,P44)),""),IF(B44="Cluster",IF(Entity!$B$14&lt;2,"",INDEX($E$3:$E$553,IF(A44-1=Entity!$B$14,2,A44+1))),""))</f>
        <v/>
      </c>
      <c r="I44">
        <f>IF(B44="Pillar",Entity!$B$14&amp;" cluster pages",IF(B44="Cluster",(COUNTIF($C$3:$C$553,SUBSTITUTE(SUBSTITUTE(C44,"?","~?"),"*","~*"))-1)&amp;" supporting pages",""))</f>
        <v/>
      </c>
      <c r="J44">
        <f>IF(B44="Pillar","Informational",IF(OR(B44="Cluster",B44="Supporting"),INDEX(Attributes!$D$3:$D$52,Q44)&amp;"",""))</f>
        <v/>
      </c>
      <c r="K44">
        <f>IF(B44="","",IF(B44="Pillar","Pillar guide (entity hub)",IF(B44="Cluster","Hub page for this attribute",IF(INDEX(Values!$C$3:$C$502,P44)="Yes","Entity page (profile of the sub-entity)",IFERROR(INDEX(Lists!$B$3:$B$6,MATCH(J44,Lists!$A$3:$A$6,0)),"Article")))))</f>
        <v/>
      </c>
      <c r="L44">
        <f>IF(B44="Pillar",Entity!$B$6&amp;"",IF(B44="Cluster",INDEX(Attributes!$I$3:$I$52,Q44)&amp;"",IF(B44="Supporting",INDEX(Values!$F$3:$F$502,P44)&amp;"","")))</f>
        <v/>
      </c>
      <c r="M44">
        <f>IF(B44="","",IF(L44&lt;&gt;"","Covered","Gap"))</f>
        <v/>
      </c>
      <c r="N44">
        <f>IF(B44="Pillar",SUMIFS(Values!$E$3:$E$502,Values!$I$3:$I$502,"Yes"),IF(B44="Cluster",SUMIFS(Values!$E$3:$E$502,Values!$A$3:$A$502,SUBSTITUTE(SUBSTITUTE(C44,"?","~?"),"*","~*"),Values!$I$3:$I$502,"Yes"),IF(B44="Supporting",N(INDEX(Values!$E$3:$E$502,P44)),"")))</f>
        <v/>
      </c>
      <c r="O44">
        <f>IF(B44="","",IF(B44="Pillar",100,IF(B44="Cluster",N(INDEX(Attributes!$E$3:$E$52,Q44))*25+IF(M44="Gap",10,0),N(INDEX(Attributes!$E$3:$E$52,Q44))*20+MIN(20,ROUND(LOG10(N(N44)+1)*5,0))+IF(M44="Gap",10,0)+IF(INDEX(Values!$D$3:$D$502,P44)="Yes",5,0))))</f>
        <v/>
      </c>
      <c r="P44">
        <f>IF(B44="Supporting",MATCH(A44-1-Entity!$B$14,Values!$J$3:$J$502,0),"")</f>
        <v/>
      </c>
      <c r="Q44">
        <f>IF(C44="","",MATCH(C44,Attributes!$A$3:$A$52,0))</f>
        <v/>
      </c>
      <c r="R44">
        <f>IF(B44="Pillar",SUBSTITUTE(Entity!$B$7,"{entity}",LOWER(Entity!$B$3)),IF(B44="Cluster",IF(INDEX(Attributes!$G$3:$G$52,Q44)&lt;&gt;"",INDEX(Attributes!$G$3:$G$52,Q44),SUBSTITUTE(SUBSTITUTE(Entity!$B$8,"{entity}",LOWER(Entity!$B$3)),"{attribute}",LOWER(C44))),IF(B44="Supporting",SUBSTITUTE(SUBSTITUTE(SUBSTITUTE(IF(INDEX(Attributes!$H$3:$H$52,Q44)&lt;&gt;"",INDEX(Attributes!$H$3:$H$52,Q44),Entity!$B$9),"{entity}",LOWER(Entity!$B$3)),"{value}",D44),"{attribute}",LOWER(C44)),"")))</f>
        <v/>
      </c>
    </row>
    <row r="45">
      <c r="A45">
        <f>ROW()-2</f>
        <v/>
      </c>
      <c r="B45">
        <f>IF(A45=1,"Pillar",IF(A45&lt;=1+Entity!$B$14,"Cluster",IF(A45&lt;=1+Entity!$B$14+Entity!$B$15,"Supporting","")))</f>
        <v/>
      </c>
      <c r="C45">
        <f>IF(B45="Cluster",INDEX(Attributes!$A$3:$A$52,MATCH(A45-1,Attributes!$P$3:$P$52,0)),IF(B45="Supporting",INDEX(Values!$A$3:$A$502,P45),""))</f>
        <v/>
      </c>
      <c r="D45">
        <f>IF(B45="Supporting",INDEX(Values!$B$3:$B$502,P45),"")</f>
        <v/>
      </c>
      <c r="E45">
        <f>IF(R45="","",UPPER(LEFT(R45,1))&amp;MID(R45,2,500))</f>
        <v/>
      </c>
      <c r="F45">
        <f>IF(E45="","",LOWER(SUBSTITUTE(SUBSTITUTE(SUBSTITUTE(SUBSTITUTE(SUBSTITUTE(SUBSTITUTE(SUBSTITUTE(TRIM(E45),":",""),",",""),"'",""),"&amp;","and"),"£",""),"  "," ")," ","-")))</f>
        <v/>
      </c>
      <c r="G45">
        <f>IF(B45="Cluster",$E$3,IF(B45="Supporting",INDEX($E$3:$E$553,MATCH(C45,$C$3:$C$553,0)),""))</f>
        <v/>
      </c>
      <c r="H45">
        <f>IF(B45="Supporting",IFERROR(INDEX($E$3:$E$553,1+Entity!$B$14+INDEX(Values!$O$3:$O$502,P45)),""),IF(B45="Cluster",IF(Entity!$B$14&lt;2,"",INDEX($E$3:$E$553,IF(A45-1=Entity!$B$14,2,A45+1))),""))</f>
        <v/>
      </c>
      <c r="I45">
        <f>IF(B45="Pillar",Entity!$B$14&amp;" cluster pages",IF(B45="Cluster",(COUNTIF($C$3:$C$553,SUBSTITUTE(SUBSTITUTE(C45,"?","~?"),"*","~*"))-1)&amp;" supporting pages",""))</f>
        <v/>
      </c>
      <c r="J45">
        <f>IF(B45="Pillar","Informational",IF(OR(B45="Cluster",B45="Supporting"),INDEX(Attributes!$D$3:$D$52,Q45)&amp;"",""))</f>
        <v/>
      </c>
      <c r="K45">
        <f>IF(B45="","",IF(B45="Pillar","Pillar guide (entity hub)",IF(B45="Cluster","Hub page for this attribute",IF(INDEX(Values!$C$3:$C$502,P45)="Yes","Entity page (profile of the sub-entity)",IFERROR(INDEX(Lists!$B$3:$B$6,MATCH(J45,Lists!$A$3:$A$6,0)),"Article")))))</f>
        <v/>
      </c>
      <c r="L45">
        <f>IF(B45="Pillar",Entity!$B$6&amp;"",IF(B45="Cluster",INDEX(Attributes!$I$3:$I$52,Q45)&amp;"",IF(B45="Supporting",INDEX(Values!$F$3:$F$502,P45)&amp;"","")))</f>
        <v/>
      </c>
      <c r="M45">
        <f>IF(B45="","",IF(L45&lt;&gt;"","Covered","Gap"))</f>
        <v/>
      </c>
      <c r="N45">
        <f>IF(B45="Pillar",SUMIFS(Values!$E$3:$E$502,Values!$I$3:$I$502,"Yes"),IF(B45="Cluster",SUMIFS(Values!$E$3:$E$502,Values!$A$3:$A$502,SUBSTITUTE(SUBSTITUTE(C45,"?","~?"),"*","~*"),Values!$I$3:$I$502,"Yes"),IF(B45="Supporting",N(INDEX(Values!$E$3:$E$502,P45)),"")))</f>
        <v/>
      </c>
      <c r="O45">
        <f>IF(B45="","",IF(B45="Pillar",100,IF(B45="Cluster",N(INDEX(Attributes!$E$3:$E$52,Q45))*25+IF(M45="Gap",10,0),N(INDEX(Attributes!$E$3:$E$52,Q45))*20+MIN(20,ROUND(LOG10(N(N45)+1)*5,0))+IF(M45="Gap",10,0)+IF(INDEX(Values!$D$3:$D$502,P45)="Yes",5,0))))</f>
        <v/>
      </c>
      <c r="P45">
        <f>IF(B45="Supporting",MATCH(A45-1-Entity!$B$14,Values!$J$3:$J$502,0),"")</f>
        <v/>
      </c>
      <c r="Q45">
        <f>IF(C45="","",MATCH(C45,Attributes!$A$3:$A$52,0))</f>
        <v/>
      </c>
      <c r="R45">
        <f>IF(B45="Pillar",SUBSTITUTE(Entity!$B$7,"{entity}",LOWER(Entity!$B$3)),IF(B45="Cluster",IF(INDEX(Attributes!$G$3:$G$52,Q45)&lt;&gt;"",INDEX(Attributes!$G$3:$G$52,Q45),SUBSTITUTE(SUBSTITUTE(Entity!$B$8,"{entity}",LOWER(Entity!$B$3)),"{attribute}",LOWER(C45))),IF(B45="Supporting",SUBSTITUTE(SUBSTITUTE(SUBSTITUTE(IF(INDEX(Attributes!$H$3:$H$52,Q45)&lt;&gt;"",INDEX(Attributes!$H$3:$H$52,Q45),Entity!$B$9),"{entity}",LOWER(Entity!$B$3)),"{value}",D45),"{attribute}",LOWER(C45)),"")))</f>
        <v/>
      </c>
    </row>
    <row r="46">
      <c r="A46">
        <f>ROW()-2</f>
        <v/>
      </c>
      <c r="B46">
        <f>IF(A46=1,"Pillar",IF(A46&lt;=1+Entity!$B$14,"Cluster",IF(A46&lt;=1+Entity!$B$14+Entity!$B$15,"Supporting","")))</f>
        <v/>
      </c>
      <c r="C46">
        <f>IF(B46="Cluster",INDEX(Attributes!$A$3:$A$52,MATCH(A46-1,Attributes!$P$3:$P$52,0)),IF(B46="Supporting",INDEX(Values!$A$3:$A$502,P46),""))</f>
        <v/>
      </c>
      <c r="D46">
        <f>IF(B46="Supporting",INDEX(Values!$B$3:$B$502,P46),"")</f>
        <v/>
      </c>
      <c r="E46">
        <f>IF(R46="","",UPPER(LEFT(R46,1))&amp;MID(R46,2,500))</f>
        <v/>
      </c>
      <c r="F46">
        <f>IF(E46="","",LOWER(SUBSTITUTE(SUBSTITUTE(SUBSTITUTE(SUBSTITUTE(SUBSTITUTE(SUBSTITUTE(SUBSTITUTE(TRIM(E46),":",""),",",""),"'",""),"&amp;","and"),"£",""),"  "," ")," ","-")))</f>
        <v/>
      </c>
      <c r="G46">
        <f>IF(B46="Cluster",$E$3,IF(B46="Supporting",INDEX($E$3:$E$553,MATCH(C46,$C$3:$C$553,0)),""))</f>
        <v/>
      </c>
      <c r="H46">
        <f>IF(B46="Supporting",IFERROR(INDEX($E$3:$E$553,1+Entity!$B$14+INDEX(Values!$O$3:$O$502,P46)),""),IF(B46="Cluster",IF(Entity!$B$14&lt;2,"",INDEX($E$3:$E$553,IF(A46-1=Entity!$B$14,2,A46+1))),""))</f>
        <v/>
      </c>
      <c r="I46">
        <f>IF(B46="Pillar",Entity!$B$14&amp;" cluster pages",IF(B46="Cluster",(COUNTIF($C$3:$C$553,SUBSTITUTE(SUBSTITUTE(C46,"?","~?"),"*","~*"))-1)&amp;" supporting pages",""))</f>
        <v/>
      </c>
      <c r="J46">
        <f>IF(B46="Pillar","Informational",IF(OR(B46="Cluster",B46="Supporting"),INDEX(Attributes!$D$3:$D$52,Q46)&amp;"",""))</f>
        <v/>
      </c>
      <c r="K46">
        <f>IF(B46="","",IF(B46="Pillar","Pillar guide (entity hub)",IF(B46="Cluster","Hub page for this attribute",IF(INDEX(Values!$C$3:$C$502,P46)="Yes","Entity page (profile of the sub-entity)",IFERROR(INDEX(Lists!$B$3:$B$6,MATCH(J46,Lists!$A$3:$A$6,0)),"Article")))))</f>
        <v/>
      </c>
      <c r="L46">
        <f>IF(B46="Pillar",Entity!$B$6&amp;"",IF(B46="Cluster",INDEX(Attributes!$I$3:$I$52,Q46)&amp;"",IF(B46="Supporting",INDEX(Values!$F$3:$F$502,P46)&amp;"","")))</f>
        <v/>
      </c>
      <c r="M46">
        <f>IF(B46="","",IF(L46&lt;&gt;"","Covered","Gap"))</f>
        <v/>
      </c>
      <c r="N46">
        <f>IF(B46="Pillar",SUMIFS(Values!$E$3:$E$502,Values!$I$3:$I$502,"Yes"),IF(B46="Cluster",SUMIFS(Values!$E$3:$E$502,Values!$A$3:$A$502,SUBSTITUTE(SUBSTITUTE(C46,"?","~?"),"*","~*"),Values!$I$3:$I$502,"Yes"),IF(B46="Supporting",N(INDEX(Values!$E$3:$E$502,P46)),"")))</f>
        <v/>
      </c>
      <c r="O46">
        <f>IF(B46="","",IF(B46="Pillar",100,IF(B46="Cluster",N(INDEX(Attributes!$E$3:$E$52,Q46))*25+IF(M46="Gap",10,0),N(INDEX(Attributes!$E$3:$E$52,Q46))*20+MIN(20,ROUND(LOG10(N(N46)+1)*5,0))+IF(M46="Gap",10,0)+IF(INDEX(Values!$D$3:$D$502,P46)="Yes",5,0))))</f>
        <v/>
      </c>
      <c r="P46">
        <f>IF(B46="Supporting",MATCH(A46-1-Entity!$B$14,Values!$J$3:$J$502,0),"")</f>
        <v/>
      </c>
      <c r="Q46">
        <f>IF(C46="","",MATCH(C46,Attributes!$A$3:$A$52,0))</f>
        <v/>
      </c>
      <c r="R46">
        <f>IF(B46="Pillar",SUBSTITUTE(Entity!$B$7,"{entity}",LOWER(Entity!$B$3)),IF(B46="Cluster",IF(INDEX(Attributes!$G$3:$G$52,Q46)&lt;&gt;"",INDEX(Attributes!$G$3:$G$52,Q46),SUBSTITUTE(SUBSTITUTE(Entity!$B$8,"{entity}",LOWER(Entity!$B$3)),"{attribute}",LOWER(C46))),IF(B46="Supporting",SUBSTITUTE(SUBSTITUTE(SUBSTITUTE(IF(INDEX(Attributes!$H$3:$H$52,Q46)&lt;&gt;"",INDEX(Attributes!$H$3:$H$52,Q46),Entity!$B$9),"{entity}",LOWER(Entity!$B$3)),"{value}",D46),"{attribute}",LOWER(C46)),"")))</f>
        <v/>
      </c>
    </row>
    <row r="47">
      <c r="A47">
        <f>ROW()-2</f>
        <v/>
      </c>
      <c r="B47">
        <f>IF(A47=1,"Pillar",IF(A47&lt;=1+Entity!$B$14,"Cluster",IF(A47&lt;=1+Entity!$B$14+Entity!$B$15,"Supporting","")))</f>
        <v/>
      </c>
      <c r="C47">
        <f>IF(B47="Cluster",INDEX(Attributes!$A$3:$A$52,MATCH(A47-1,Attributes!$P$3:$P$52,0)),IF(B47="Supporting",INDEX(Values!$A$3:$A$502,P47),""))</f>
        <v/>
      </c>
      <c r="D47">
        <f>IF(B47="Supporting",INDEX(Values!$B$3:$B$502,P47),"")</f>
        <v/>
      </c>
      <c r="E47">
        <f>IF(R47="","",UPPER(LEFT(R47,1))&amp;MID(R47,2,500))</f>
        <v/>
      </c>
      <c r="F47">
        <f>IF(E47="","",LOWER(SUBSTITUTE(SUBSTITUTE(SUBSTITUTE(SUBSTITUTE(SUBSTITUTE(SUBSTITUTE(SUBSTITUTE(TRIM(E47),":",""),",",""),"'",""),"&amp;","and"),"£",""),"  "," ")," ","-")))</f>
        <v/>
      </c>
      <c r="G47">
        <f>IF(B47="Cluster",$E$3,IF(B47="Supporting",INDEX($E$3:$E$553,MATCH(C47,$C$3:$C$553,0)),""))</f>
        <v/>
      </c>
      <c r="H47">
        <f>IF(B47="Supporting",IFERROR(INDEX($E$3:$E$553,1+Entity!$B$14+INDEX(Values!$O$3:$O$502,P47)),""),IF(B47="Cluster",IF(Entity!$B$14&lt;2,"",INDEX($E$3:$E$553,IF(A47-1=Entity!$B$14,2,A47+1))),""))</f>
        <v/>
      </c>
      <c r="I47">
        <f>IF(B47="Pillar",Entity!$B$14&amp;" cluster pages",IF(B47="Cluster",(COUNTIF($C$3:$C$553,SUBSTITUTE(SUBSTITUTE(C47,"?","~?"),"*","~*"))-1)&amp;" supporting pages",""))</f>
        <v/>
      </c>
      <c r="J47">
        <f>IF(B47="Pillar","Informational",IF(OR(B47="Cluster",B47="Supporting"),INDEX(Attributes!$D$3:$D$52,Q47)&amp;"",""))</f>
        <v/>
      </c>
      <c r="K47">
        <f>IF(B47="","",IF(B47="Pillar","Pillar guide (entity hub)",IF(B47="Cluster","Hub page for this attribute",IF(INDEX(Values!$C$3:$C$502,P47)="Yes","Entity page (profile of the sub-entity)",IFERROR(INDEX(Lists!$B$3:$B$6,MATCH(J47,Lists!$A$3:$A$6,0)),"Article")))))</f>
        <v/>
      </c>
      <c r="L47">
        <f>IF(B47="Pillar",Entity!$B$6&amp;"",IF(B47="Cluster",INDEX(Attributes!$I$3:$I$52,Q47)&amp;"",IF(B47="Supporting",INDEX(Values!$F$3:$F$502,P47)&amp;"","")))</f>
        <v/>
      </c>
      <c r="M47">
        <f>IF(B47="","",IF(L47&lt;&gt;"","Covered","Gap"))</f>
        <v/>
      </c>
      <c r="N47">
        <f>IF(B47="Pillar",SUMIFS(Values!$E$3:$E$502,Values!$I$3:$I$502,"Yes"),IF(B47="Cluster",SUMIFS(Values!$E$3:$E$502,Values!$A$3:$A$502,SUBSTITUTE(SUBSTITUTE(C47,"?","~?"),"*","~*"),Values!$I$3:$I$502,"Yes"),IF(B47="Supporting",N(INDEX(Values!$E$3:$E$502,P47)),"")))</f>
        <v/>
      </c>
      <c r="O47">
        <f>IF(B47="","",IF(B47="Pillar",100,IF(B47="Cluster",N(INDEX(Attributes!$E$3:$E$52,Q47))*25+IF(M47="Gap",10,0),N(INDEX(Attributes!$E$3:$E$52,Q47))*20+MIN(20,ROUND(LOG10(N(N47)+1)*5,0))+IF(M47="Gap",10,0)+IF(INDEX(Values!$D$3:$D$502,P47)="Yes",5,0))))</f>
        <v/>
      </c>
      <c r="P47">
        <f>IF(B47="Supporting",MATCH(A47-1-Entity!$B$14,Values!$J$3:$J$502,0),"")</f>
        <v/>
      </c>
      <c r="Q47">
        <f>IF(C47="","",MATCH(C47,Attributes!$A$3:$A$52,0))</f>
        <v/>
      </c>
      <c r="R47">
        <f>IF(B47="Pillar",SUBSTITUTE(Entity!$B$7,"{entity}",LOWER(Entity!$B$3)),IF(B47="Cluster",IF(INDEX(Attributes!$G$3:$G$52,Q47)&lt;&gt;"",INDEX(Attributes!$G$3:$G$52,Q47),SUBSTITUTE(SUBSTITUTE(Entity!$B$8,"{entity}",LOWER(Entity!$B$3)),"{attribute}",LOWER(C47))),IF(B47="Supporting",SUBSTITUTE(SUBSTITUTE(SUBSTITUTE(IF(INDEX(Attributes!$H$3:$H$52,Q47)&lt;&gt;"",INDEX(Attributes!$H$3:$H$52,Q47),Entity!$B$9),"{entity}",LOWER(Entity!$B$3)),"{value}",D47),"{attribute}",LOWER(C47)),"")))</f>
        <v/>
      </c>
    </row>
    <row r="48">
      <c r="A48">
        <f>ROW()-2</f>
        <v/>
      </c>
      <c r="B48">
        <f>IF(A48=1,"Pillar",IF(A48&lt;=1+Entity!$B$14,"Cluster",IF(A48&lt;=1+Entity!$B$14+Entity!$B$15,"Supporting","")))</f>
        <v/>
      </c>
      <c r="C48">
        <f>IF(B48="Cluster",INDEX(Attributes!$A$3:$A$52,MATCH(A48-1,Attributes!$P$3:$P$52,0)),IF(B48="Supporting",INDEX(Values!$A$3:$A$502,P48),""))</f>
        <v/>
      </c>
      <c r="D48">
        <f>IF(B48="Supporting",INDEX(Values!$B$3:$B$502,P48),"")</f>
        <v/>
      </c>
      <c r="E48">
        <f>IF(R48="","",UPPER(LEFT(R48,1))&amp;MID(R48,2,500))</f>
        <v/>
      </c>
      <c r="F48">
        <f>IF(E48="","",LOWER(SUBSTITUTE(SUBSTITUTE(SUBSTITUTE(SUBSTITUTE(SUBSTITUTE(SUBSTITUTE(SUBSTITUTE(TRIM(E48),":",""),",",""),"'",""),"&amp;","and"),"£",""),"  "," ")," ","-")))</f>
        <v/>
      </c>
      <c r="G48">
        <f>IF(B48="Cluster",$E$3,IF(B48="Supporting",INDEX($E$3:$E$553,MATCH(C48,$C$3:$C$553,0)),""))</f>
        <v/>
      </c>
      <c r="H48">
        <f>IF(B48="Supporting",IFERROR(INDEX($E$3:$E$553,1+Entity!$B$14+INDEX(Values!$O$3:$O$502,P48)),""),IF(B48="Cluster",IF(Entity!$B$14&lt;2,"",INDEX($E$3:$E$553,IF(A48-1=Entity!$B$14,2,A48+1))),""))</f>
        <v/>
      </c>
      <c r="I48">
        <f>IF(B48="Pillar",Entity!$B$14&amp;" cluster pages",IF(B48="Cluster",(COUNTIF($C$3:$C$553,SUBSTITUTE(SUBSTITUTE(C48,"?","~?"),"*","~*"))-1)&amp;" supporting pages",""))</f>
        <v/>
      </c>
      <c r="J48">
        <f>IF(B48="Pillar","Informational",IF(OR(B48="Cluster",B48="Supporting"),INDEX(Attributes!$D$3:$D$52,Q48)&amp;"",""))</f>
        <v/>
      </c>
      <c r="K48">
        <f>IF(B48="","",IF(B48="Pillar","Pillar guide (entity hub)",IF(B48="Cluster","Hub page for this attribute",IF(INDEX(Values!$C$3:$C$502,P48)="Yes","Entity page (profile of the sub-entity)",IFERROR(INDEX(Lists!$B$3:$B$6,MATCH(J48,Lists!$A$3:$A$6,0)),"Article")))))</f>
        <v/>
      </c>
      <c r="L48">
        <f>IF(B48="Pillar",Entity!$B$6&amp;"",IF(B48="Cluster",INDEX(Attributes!$I$3:$I$52,Q48)&amp;"",IF(B48="Supporting",INDEX(Values!$F$3:$F$502,P48)&amp;"","")))</f>
        <v/>
      </c>
      <c r="M48">
        <f>IF(B48="","",IF(L48&lt;&gt;"","Covered","Gap"))</f>
        <v/>
      </c>
      <c r="N48">
        <f>IF(B48="Pillar",SUMIFS(Values!$E$3:$E$502,Values!$I$3:$I$502,"Yes"),IF(B48="Cluster",SUMIFS(Values!$E$3:$E$502,Values!$A$3:$A$502,SUBSTITUTE(SUBSTITUTE(C48,"?","~?"),"*","~*"),Values!$I$3:$I$502,"Yes"),IF(B48="Supporting",N(INDEX(Values!$E$3:$E$502,P48)),"")))</f>
        <v/>
      </c>
      <c r="O48">
        <f>IF(B48="","",IF(B48="Pillar",100,IF(B48="Cluster",N(INDEX(Attributes!$E$3:$E$52,Q48))*25+IF(M48="Gap",10,0),N(INDEX(Attributes!$E$3:$E$52,Q48))*20+MIN(20,ROUND(LOG10(N(N48)+1)*5,0))+IF(M48="Gap",10,0)+IF(INDEX(Values!$D$3:$D$502,P48)="Yes",5,0))))</f>
        <v/>
      </c>
      <c r="P48">
        <f>IF(B48="Supporting",MATCH(A48-1-Entity!$B$14,Values!$J$3:$J$502,0),"")</f>
        <v/>
      </c>
      <c r="Q48">
        <f>IF(C48="","",MATCH(C48,Attributes!$A$3:$A$52,0))</f>
        <v/>
      </c>
      <c r="R48">
        <f>IF(B48="Pillar",SUBSTITUTE(Entity!$B$7,"{entity}",LOWER(Entity!$B$3)),IF(B48="Cluster",IF(INDEX(Attributes!$G$3:$G$52,Q48)&lt;&gt;"",INDEX(Attributes!$G$3:$G$52,Q48),SUBSTITUTE(SUBSTITUTE(Entity!$B$8,"{entity}",LOWER(Entity!$B$3)),"{attribute}",LOWER(C48))),IF(B48="Supporting",SUBSTITUTE(SUBSTITUTE(SUBSTITUTE(IF(INDEX(Attributes!$H$3:$H$52,Q48)&lt;&gt;"",INDEX(Attributes!$H$3:$H$52,Q48),Entity!$B$9),"{entity}",LOWER(Entity!$B$3)),"{value}",D48),"{attribute}",LOWER(C48)),"")))</f>
        <v/>
      </c>
    </row>
    <row r="49">
      <c r="A49">
        <f>ROW()-2</f>
        <v/>
      </c>
      <c r="B49">
        <f>IF(A49=1,"Pillar",IF(A49&lt;=1+Entity!$B$14,"Cluster",IF(A49&lt;=1+Entity!$B$14+Entity!$B$15,"Supporting","")))</f>
        <v/>
      </c>
      <c r="C49">
        <f>IF(B49="Cluster",INDEX(Attributes!$A$3:$A$52,MATCH(A49-1,Attributes!$P$3:$P$52,0)),IF(B49="Supporting",INDEX(Values!$A$3:$A$502,P49),""))</f>
        <v/>
      </c>
      <c r="D49">
        <f>IF(B49="Supporting",INDEX(Values!$B$3:$B$502,P49),"")</f>
        <v/>
      </c>
      <c r="E49">
        <f>IF(R49="","",UPPER(LEFT(R49,1))&amp;MID(R49,2,500))</f>
        <v/>
      </c>
      <c r="F49">
        <f>IF(E49="","",LOWER(SUBSTITUTE(SUBSTITUTE(SUBSTITUTE(SUBSTITUTE(SUBSTITUTE(SUBSTITUTE(SUBSTITUTE(TRIM(E49),":",""),",",""),"'",""),"&amp;","and"),"£",""),"  "," ")," ","-")))</f>
        <v/>
      </c>
      <c r="G49">
        <f>IF(B49="Cluster",$E$3,IF(B49="Supporting",INDEX($E$3:$E$553,MATCH(C49,$C$3:$C$553,0)),""))</f>
        <v/>
      </c>
      <c r="H49">
        <f>IF(B49="Supporting",IFERROR(INDEX($E$3:$E$553,1+Entity!$B$14+INDEX(Values!$O$3:$O$502,P49)),""),IF(B49="Cluster",IF(Entity!$B$14&lt;2,"",INDEX($E$3:$E$553,IF(A49-1=Entity!$B$14,2,A49+1))),""))</f>
        <v/>
      </c>
      <c r="I49">
        <f>IF(B49="Pillar",Entity!$B$14&amp;" cluster pages",IF(B49="Cluster",(COUNTIF($C$3:$C$553,SUBSTITUTE(SUBSTITUTE(C49,"?","~?"),"*","~*"))-1)&amp;" supporting pages",""))</f>
        <v/>
      </c>
      <c r="J49">
        <f>IF(B49="Pillar","Informational",IF(OR(B49="Cluster",B49="Supporting"),INDEX(Attributes!$D$3:$D$52,Q49)&amp;"",""))</f>
        <v/>
      </c>
      <c r="K49">
        <f>IF(B49="","",IF(B49="Pillar","Pillar guide (entity hub)",IF(B49="Cluster","Hub page for this attribute",IF(INDEX(Values!$C$3:$C$502,P49)="Yes","Entity page (profile of the sub-entity)",IFERROR(INDEX(Lists!$B$3:$B$6,MATCH(J49,Lists!$A$3:$A$6,0)),"Article")))))</f>
        <v/>
      </c>
      <c r="L49">
        <f>IF(B49="Pillar",Entity!$B$6&amp;"",IF(B49="Cluster",INDEX(Attributes!$I$3:$I$52,Q49)&amp;"",IF(B49="Supporting",INDEX(Values!$F$3:$F$502,P49)&amp;"","")))</f>
        <v/>
      </c>
      <c r="M49">
        <f>IF(B49="","",IF(L49&lt;&gt;"","Covered","Gap"))</f>
        <v/>
      </c>
      <c r="N49">
        <f>IF(B49="Pillar",SUMIFS(Values!$E$3:$E$502,Values!$I$3:$I$502,"Yes"),IF(B49="Cluster",SUMIFS(Values!$E$3:$E$502,Values!$A$3:$A$502,SUBSTITUTE(SUBSTITUTE(C49,"?","~?"),"*","~*"),Values!$I$3:$I$502,"Yes"),IF(B49="Supporting",N(INDEX(Values!$E$3:$E$502,P49)),"")))</f>
        <v/>
      </c>
      <c r="O49">
        <f>IF(B49="","",IF(B49="Pillar",100,IF(B49="Cluster",N(INDEX(Attributes!$E$3:$E$52,Q49))*25+IF(M49="Gap",10,0),N(INDEX(Attributes!$E$3:$E$52,Q49))*20+MIN(20,ROUND(LOG10(N(N49)+1)*5,0))+IF(M49="Gap",10,0)+IF(INDEX(Values!$D$3:$D$502,P49)="Yes",5,0))))</f>
        <v/>
      </c>
      <c r="P49">
        <f>IF(B49="Supporting",MATCH(A49-1-Entity!$B$14,Values!$J$3:$J$502,0),"")</f>
        <v/>
      </c>
      <c r="Q49">
        <f>IF(C49="","",MATCH(C49,Attributes!$A$3:$A$52,0))</f>
        <v/>
      </c>
      <c r="R49">
        <f>IF(B49="Pillar",SUBSTITUTE(Entity!$B$7,"{entity}",LOWER(Entity!$B$3)),IF(B49="Cluster",IF(INDEX(Attributes!$G$3:$G$52,Q49)&lt;&gt;"",INDEX(Attributes!$G$3:$G$52,Q49),SUBSTITUTE(SUBSTITUTE(Entity!$B$8,"{entity}",LOWER(Entity!$B$3)),"{attribute}",LOWER(C49))),IF(B49="Supporting",SUBSTITUTE(SUBSTITUTE(SUBSTITUTE(IF(INDEX(Attributes!$H$3:$H$52,Q49)&lt;&gt;"",INDEX(Attributes!$H$3:$H$52,Q49),Entity!$B$9),"{entity}",LOWER(Entity!$B$3)),"{value}",D49),"{attribute}",LOWER(C49)),"")))</f>
        <v/>
      </c>
    </row>
    <row r="50">
      <c r="A50">
        <f>ROW()-2</f>
        <v/>
      </c>
      <c r="B50">
        <f>IF(A50=1,"Pillar",IF(A50&lt;=1+Entity!$B$14,"Cluster",IF(A50&lt;=1+Entity!$B$14+Entity!$B$15,"Supporting","")))</f>
        <v/>
      </c>
      <c r="C50">
        <f>IF(B50="Cluster",INDEX(Attributes!$A$3:$A$52,MATCH(A50-1,Attributes!$P$3:$P$52,0)),IF(B50="Supporting",INDEX(Values!$A$3:$A$502,P50),""))</f>
        <v/>
      </c>
      <c r="D50">
        <f>IF(B50="Supporting",INDEX(Values!$B$3:$B$502,P50),"")</f>
        <v/>
      </c>
      <c r="E50">
        <f>IF(R50="","",UPPER(LEFT(R50,1))&amp;MID(R50,2,500))</f>
        <v/>
      </c>
      <c r="F50">
        <f>IF(E50="","",LOWER(SUBSTITUTE(SUBSTITUTE(SUBSTITUTE(SUBSTITUTE(SUBSTITUTE(SUBSTITUTE(SUBSTITUTE(TRIM(E50),":",""),",",""),"'",""),"&amp;","and"),"£",""),"  "," ")," ","-")))</f>
        <v/>
      </c>
      <c r="G50">
        <f>IF(B50="Cluster",$E$3,IF(B50="Supporting",INDEX($E$3:$E$553,MATCH(C50,$C$3:$C$553,0)),""))</f>
        <v/>
      </c>
      <c r="H50">
        <f>IF(B50="Supporting",IFERROR(INDEX($E$3:$E$553,1+Entity!$B$14+INDEX(Values!$O$3:$O$502,P50)),""),IF(B50="Cluster",IF(Entity!$B$14&lt;2,"",INDEX($E$3:$E$553,IF(A50-1=Entity!$B$14,2,A50+1))),""))</f>
        <v/>
      </c>
      <c r="I50">
        <f>IF(B50="Pillar",Entity!$B$14&amp;" cluster pages",IF(B50="Cluster",(COUNTIF($C$3:$C$553,SUBSTITUTE(SUBSTITUTE(C50,"?","~?"),"*","~*"))-1)&amp;" supporting pages",""))</f>
        <v/>
      </c>
      <c r="J50">
        <f>IF(B50="Pillar","Informational",IF(OR(B50="Cluster",B50="Supporting"),INDEX(Attributes!$D$3:$D$52,Q50)&amp;"",""))</f>
        <v/>
      </c>
      <c r="K50">
        <f>IF(B50="","",IF(B50="Pillar","Pillar guide (entity hub)",IF(B50="Cluster","Hub page for this attribute",IF(INDEX(Values!$C$3:$C$502,P50)="Yes","Entity page (profile of the sub-entity)",IFERROR(INDEX(Lists!$B$3:$B$6,MATCH(J50,Lists!$A$3:$A$6,0)),"Article")))))</f>
        <v/>
      </c>
      <c r="L50">
        <f>IF(B50="Pillar",Entity!$B$6&amp;"",IF(B50="Cluster",INDEX(Attributes!$I$3:$I$52,Q50)&amp;"",IF(B50="Supporting",INDEX(Values!$F$3:$F$502,P50)&amp;"","")))</f>
        <v/>
      </c>
      <c r="M50">
        <f>IF(B50="","",IF(L50&lt;&gt;"","Covered","Gap"))</f>
        <v/>
      </c>
      <c r="N50">
        <f>IF(B50="Pillar",SUMIFS(Values!$E$3:$E$502,Values!$I$3:$I$502,"Yes"),IF(B50="Cluster",SUMIFS(Values!$E$3:$E$502,Values!$A$3:$A$502,SUBSTITUTE(SUBSTITUTE(C50,"?","~?"),"*","~*"),Values!$I$3:$I$502,"Yes"),IF(B50="Supporting",N(INDEX(Values!$E$3:$E$502,P50)),"")))</f>
        <v/>
      </c>
      <c r="O50">
        <f>IF(B50="","",IF(B50="Pillar",100,IF(B50="Cluster",N(INDEX(Attributes!$E$3:$E$52,Q50))*25+IF(M50="Gap",10,0),N(INDEX(Attributes!$E$3:$E$52,Q50))*20+MIN(20,ROUND(LOG10(N(N50)+1)*5,0))+IF(M50="Gap",10,0)+IF(INDEX(Values!$D$3:$D$502,P50)="Yes",5,0))))</f>
        <v/>
      </c>
      <c r="P50">
        <f>IF(B50="Supporting",MATCH(A50-1-Entity!$B$14,Values!$J$3:$J$502,0),"")</f>
        <v/>
      </c>
      <c r="Q50">
        <f>IF(C50="","",MATCH(C50,Attributes!$A$3:$A$52,0))</f>
        <v/>
      </c>
      <c r="R50">
        <f>IF(B50="Pillar",SUBSTITUTE(Entity!$B$7,"{entity}",LOWER(Entity!$B$3)),IF(B50="Cluster",IF(INDEX(Attributes!$G$3:$G$52,Q50)&lt;&gt;"",INDEX(Attributes!$G$3:$G$52,Q50),SUBSTITUTE(SUBSTITUTE(Entity!$B$8,"{entity}",LOWER(Entity!$B$3)),"{attribute}",LOWER(C50))),IF(B50="Supporting",SUBSTITUTE(SUBSTITUTE(SUBSTITUTE(IF(INDEX(Attributes!$H$3:$H$52,Q50)&lt;&gt;"",INDEX(Attributes!$H$3:$H$52,Q50),Entity!$B$9),"{entity}",LOWER(Entity!$B$3)),"{value}",D50),"{attribute}",LOWER(C50)),"")))</f>
        <v/>
      </c>
    </row>
    <row r="51">
      <c r="A51">
        <f>ROW()-2</f>
        <v/>
      </c>
      <c r="B51">
        <f>IF(A51=1,"Pillar",IF(A51&lt;=1+Entity!$B$14,"Cluster",IF(A51&lt;=1+Entity!$B$14+Entity!$B$15,"Supporting","")))</f>
        <v/>
      </c>
      <c r="C51">
        <f>IF(B51="Cluster",INDEX(Attributes!$A$3:$A$52,MATCH(A51-1,Attributes!$P$3:$P$52,0)),IF(B51="Supporting",INDEX(Values!$A$3:$A$502,P51),""))</f>
        <v/>
      </c>
      <c r="D51">
        <f>IF(B51="Supporting",INDEX(Values!$B$3:$B$502,P51),"")</f>
        <v/>
      </c>
      <c r="E51">
        <f>IF(R51="","",UPPER(LEFT(R51,1))&amp;MID(R51,2,500))</f>
        <v/>
      </c>
      <c r="F51">
        <f>IF(E51="","",LOWER(SUBSTITUTE(SUBSTITUTE(SUBSTITUTE(SUBSTITUTE(SUBSTITUTE(SUBSTITUTE(SUBSTITUTE(TRIM(E51),":",""),",",""),"'",""),"&amp;","and"),"£",""),"  "," ")," ","-")))</f>
        <v/>
      </c>
      <c r="G51">
        <f>IF(B51="Cluster",$E$3,IF(B51="Supporting",INDEX($E$3:$E$553,MATCH(C51,$C$3:$C$553,0)),""))</f>
        <v/>
      </c>
      <c r="H51">
        <f>IF(B51="Supporting",IFERROR(INDEX($E$3:$E$553,1+Entity!$B$14+INDEX(Values!$O$3:$O$502,P51)),""),IF(B51="Cluster",IF(Entity!$B$14&lt;2,"",INDEX($E$3:$E$553,IF(A51-1=Entity!$B$14,2,A51+1))),""))</f>
        <v/>
      </c>
      <c r="I51">
        <f>IF(B51="Pillar",Entity!$B$14&amp;" cluster pages",IF(B51="Cluster",(COUNTIF($C$3:$C$553,SUBSTITUTE(SUBSTITUTE(C51,"?","~?"),"*","~*"))-1)&amp;" supporting pages",""))</f>
        <v/>
      </c>
      <c r="J51">
        <f>IF(B51="Pillar","Informational",IF(OR(B51="Cluster",B51="Supporting"),INDEX(Attributes!$D$3:$D$52,Q51)&amp;"",""))</f>
        <v/>
      </c>
      <c r="K51">
        <f>IF(B51="","",IF(B51="Pillar","Pillar guide (entity hub)",IF(B51="Cluster","Hub page for this attribute",IF(INDEX(Values!$C$3:$C$502,P51)="Yes","Entity page (profile of the sub-entity)",IFERROR(INDEX(Lists!$B$3:$B$6,MATCH(J51,Lists!$A$3:$A$6,0)),"Article")))))</f>
        <v/>
      </c>
      <c r="L51">
        <f>IF(B51="Pillar",Entity!$B$6&amp;"",IF(B51="Cluster",INDEX(Attributes!$I$3:$I$52,Q51)&amp;"",IF(B51="Supporting",INDEX(Values!$F$3:$F$502,P51)&amp;"","")))</f>
        <v/>
      </c>
      <c r="M51">
        <f>IF(B51="","",IF(L51&lt;&gt;"","Covered","Gap"))</f>
        <v/>
      </c>
      <c r="N51">
        <f>IF(B51="Pillar",SUMIFS(Values!$E$3:$E$502,Values!$I$3:$I$502,"Yes"),IF(B51="Cluster",SUMIFS(Values!$E$3:$E$502,Values!$A$3:$A$502,SUBSTITUTE(SUBSTITUTE(C51,"?","~?"),"*","~*"),Values!$I$3:$I$502,"Yes"),IF(B51="Supporting",N(INDEX(Values!$E$3:$E$502,P51)),"")))</f>
        <v/>
      </c>
      <c r="O51">
        <f>IF(B51="","",IF(B51="Pillar",100,IF(B51="Cluster",N(INDEX(Attributes!$E$3:$E$52,Q51))*25+IF(M51="Gap",10,0),N(INDEX(Attributes!$E$3:$E$52,Q51))*20+MIN(20,ROUND(LOG10(N(N51)+1)*5,0))+IF(M51="Gap",10,0)+IF(INDEX(Values!$D$3:$D$502,P51)="Yes",5,0))))</f>
        <v/>
      </c>
      <c r="P51">
        <f>IF(B51="Supporting",MATCH(A51-1-Entity!$B$14,Values!$J$3:$J$502,0),"")</f>
        <v/>
      </c>
      <c r="Q51">
        <f>IF(C51="","",MATCH(C51,Attributes!$A$3:$A$52,0))</f>
        <v/>
      </c>
      <c r="R51">
        <f>IF(B51="Pillar",SUBSTITUTE(Entity!$B$7,"{entity}",LOWER(Entity!$B$3)),IF(B51="Cluster",IF(INDEX(Attributes!$G$3:$G$52,Q51)&lt;&gt;"",INDEX(Attributes!$G$3:$G$52,Q51),SUBSTITUTE(SUBSTITUTE(Entity!$B$8,"{entity}",LOWER(Entity!$B$3)),"{attribute}",LOWER(C51))),IF(B51="Supporting",SUBSTITUTE(SUBSTITUTE(SUBSTITUTE(IF(INDEX(Attributes!$H$3:$H$52,Q51)&lt;&gt;"",INDEX(Attributes!$H$3:$H$52,Q51),Entity!$B$9),"{entity}",LOWER(Entity!$B$3)),"{value}",D51),"{attribute}",LOWER(C51)),"")))</f>
        <v/>
      </c>
    </row>
    <row r="52">
      <c r="A52">
        <f>ROW()-2</f>
        <v/>
      </c>
      <c r="B52">
        <f>IF(A52=1,"Pillar",IF(A52&lt;=1+Entity!$B$14,"Cluster",IF(A52&lt;=1+Entity!$B$14+Entity!$B$15,"Supporting","")))</f>
        <v/>
      </c>
      <c r="C52">
        <f>IF(B52="Cluster",INDEX(Attributes!$A$3:$A$52,MATCH(A52-1,Attributes!$P$3:$P$52,0)),IF(B52="Supporting",INDEX(Values!$A$3:$A$502,P52),""))</f>
        <v/>
      </c>
      <c r="D52">
        <f>IF(B52="Supporting",INDEX(Values!$B$3:$B$502,P52),"")</f>
        <v/>
      </c>
      <c r="E52">
        <f>IF(R52="","",UPPER(LEFT(R52,1))&amp;MID(R52,2,500))</f>
        <v/>
      </c>
      <c r="F52">
        <f>IF(E52="","",LOWER(SUBSTITUTE(SUBSTITUTE(SUBSTITUTE(SUBSTITUTE(SUBSTITUTE(SUBSTITUTE(SUBSTITUTE(TRIM(E52),":",""),",",""),"'",""),"&amp;","and"),"£",""),"  "," ")," ","-")))</f>
        <v/>
      </c>
      <c r="G52">
        <f>IF(B52="Cluster",$E$3,IF(B52="Supporting",INDEX($E$3:$E$553,MATCH(C52,$C$3:$C$553,0)),""))</f>
        <v/>
      </c>
      <c r="H52">
        <f>IF(B52="Supporting",IFERROR(INDEX($E$3:$E$553,1+Entity!$B$14+INDEX(Values!$O$3:$O$502,P52)),""),IF(B52="Cluster",IF(Entity!$B$14&lt;2,"",INDEX($E$3:$E$553,IF(A52-1=Entity!$B$14,2,A52+1))),""))</f>
        <v/>
      </c>
      <c r="I52">
        <f>IF(B52="Pillar",Entity!$B$14&amp;" cluster pages",IF(B52="Cluster",(COUNTIF($C$3:$C$553,SUBSTITUTE(SUBSTITUTE(C52,"?","~?"),"*","~*"))-1)&amp;" supporting pages",""))</f>
        <v/>
      </c>
      <c r="J52">
        <f>IF(B52="Pillar","Informational",IF(OR(B52="Cluster",B52="Supporting"),INDEX(Attributes!$D$3:$D$52,Q52)&amp;"",""))</f>
        <v/>
      </c>
      <c r="K52">
        <f>IF(B52="","",IF(B52="Pillar","Pillar guide (entity hub)",IF(B52="Cluster","Hub page for this attribute",IF(INDEX(Values!$C$3:$C$502,P52)="Yes","Entity page (profile of the sub-entity)",IFERROR(INDEX(Lists!$B$3:$B$6,MATCH(J52,Lists!$A$3:$A$6,0)),"Article")))))</f>
        <v/>
      </c>
      <c r="L52">
        <f>IF(B52="Pillar",Entity!$B$6&amp;"",IF(B52="Cluster",INDEX(Attributes!$I$3:$I$52,Q52)&amp;"",IF(B52="Supporting",INDEX(Values!$F$3:$F$502,P52)&amp;"","")))</f>
        <v/>
      </c>
      <c r="M52">
        <f>IF(B52="","",IF(L52&lt;&gt;"","Covered","Gap"))</f>
        <v/>
      </c>
      <c r="N52">
        <f>IF(B52="Pillar",SUMIFS(Values!$E$3:$E$502,Values!$I$3:$I$502,"Yes"),IF(B52="Cluster",SUMIFS(Values!$E$3:$E$502,Values!$A$3:$A$502,SUBSTITUTE(SUBSTITUTE(C52,"?","~?"),"*","~*"),Values!$I$3:$I$502,"Yes"),IF(B52="Supporting",N(INDEX(Values!$E$3:$E$502,P52)),"")))</f>
        <v/>
      </c>
      <c r="O52">
        <f>IF(B52="","",IF(B52="Pillar",100,IF(B52="Cluster",N(INDEX(Attributes!$E$3:$E$52,Q52))*25+IF(M52="Gap",10,0),N(INDEX(Attributes!$E$3:$E$52,Q52))*20+MIN(20,ROUND(LOG10(N(N52)+1)*5,0))+IF(M52="Gap",10,0)+IF(INDEX(Values!$D$3:$D$502,P52)="Yes",5,0))))</f>
        <v/>
      </c>
      <c r="P52">
        <f>IF(B52="Supporting",MATCH(A52-1-Entity!$B$14,Values!$J$3:$J$502,0),"")</f>
        <v/>
      </c>
      <c r="Q52">
        <f>IF(C52="","",MATCH(C52,Attributes!$A$3:$A$52,0))</f>
        <v/>
      </c>
      <c r="R52">
        <f>IF(B52="Pillar",SUBSTITUTE(Entity!$B$7,"{entity}",LOWER(Entity!$B$3)),IF(B52="Cluster",IF(INDEX(Attributes!$G$3:$G$52,Q52)&lt;&gt;"",INDEX(Attributes!$G$3:$G$52,Q52),SUBSTITUTE(SUBSTITUTE(Entity!$B$8,"{entity}",LOWER(Entity!$B$3)),"{attribute}",LOWER(C52))),IF(B52="Supporting",SUBSTITUTE(SUBSTITUTE(SUBSTITUTE(IF(INDEX(Attributes!$H$3:$H$52,Q52)&lt;&gt;"",INDEX(Attributes!$H$3:$H$52,Q52),Entity!$B$9),"{entity}",LOWER(Entity!$B$3)),"{value}",D52),"{attribute}",LOWER(C52)),"")))</f>
        <v/>
      </c>
    </row>
    <row r="53">
      <c r="A53">
        <f>ROW()-2</f>
        <v/>
      </c>
      <c r="B53">
        <f>IF(A53=1,"Pillar",IF(A53&lt;=1+Entity!$B$14,"Cluster",IF(A53&lt;=1+Entity!$B$14+Entity!$B$15,"Supporting","")))</f>
        <v/>
      </c>
      <c r="C53">
        <f>IF(B53="Cluster",INDEX(Attributes!$A$3:$A$52,MATCH(A53-1,Attributes!$P$3:$P$52,0)),IF(B53="Supporting",INDEX(Values!$A$3:$A$502,P53),""))</f>
        <v/>
      </c>
      <c r="D53">
        <f>IF(B53="Supporting",INDEX(Values!$B$3:$B$502,P53),"")</f>
        <v/>
      </c>
      <c r="E53">
        <f>IF(R53="","",UPPER(LEFT(R53,1))&amp;MID(R53,2,500))</f>
        <v/>
      </c>
      <c r="F53">
        <f>IF(E53="","",LOWER(SUBSTITUTE(SUBSTITUTE(SUBSTITUTE(SUBSTITUTE(SUBSTITUTE(SUBSTITUTE(SUBSTITUTE(TRIM(E53),":",""),",",""),"'",""),"&amp;","and"),"£",""),"  "," ")," ","-")))</f>
        <v/>
      </c>
      <c r="G53">
        <f>IF(B53="Cluster",$E$3,IF(B53="Supporting",INDEX($E$3:$E$553,MATCH(C53,$C$3:$C$553,0)),""))</f>
        <v/>
      </c>
      <c r="H53">
        <f>IF(B53="Supporting",IFERROR(INDEX($E$3:$E$553,1+Entity!$B$14+INDEX(Values!$O$3:$O$502,P53)),""),IF(B53="Cluster",IF(Entity!$B$14&lt;2,"",INDEX($E$3:$E$553,IF(A53-1=Entity!$B$14,2,A53+1))),""))</f>
        <v/>
      </c>
      <c r="I53">
        <f>IF(B53="Pillar",Entity!$B$14&amp;" cluster pages",IF(B53="Cluster",(COUNTIF($C$3:$C$553,SUBSTITUTE(SUBSTITUTE(C53,"?","~?"),"*","~*"))-1)&amp;" supporting pages",""))</f>
        <v/>
      </c>
      <c r="J53">
        <f>IF(B53="Pillar","Informational",IF(OR(B53="Cluster",B53="Supporting"),INDEX(Attributes!$D$3:$D$52,Q53)&amp;"",""))</f>
        <v/>
      </c>
      <c r="K53">
        <f>IF(B53="","",IF(B53="Pillar","Pillar guide (entity hub)",IF(B53="Cluster","Hub page for this attribute",IF(INDEX(Values!$C$3:$C$502,P53)="Yes","Entity page (profile of the sub-entity)",IFERROR(INDEX(Lists!$B$3:$B$6,MATCH(J53,Lists!$A$3:$A$6,0)),"Article")))))</f>
        <v/>
      </c>
      <c r="L53">
        <f>IF(B53="Pillar",Entity!$B$6&amp;"",IF(B53="Cluster",INDEX(Attributes!$I$3:$I$52,Q53)&amp;"",IF(B53="Supporting",INDEX(Values!$F$3:$F$502,P53)&amp;"","")))</f>
        <v/>
      </c>
      <c r="M53">
        <f>IF(B53="","",IF(L53&lt;&gt;"","Covered","Gap"))</f>
        <v/>
      </c>
      <c r="N53">
        <f>IF(B53="Pillar",SUMIFS(Values!$E$3:$E$502,Values!$I$3:$I$502,"Yes"),IF(B53="Cluster",SUMIFS(Values!$E$3:$E$502,Values!$A$3:$A$502,SUBSTITUTE(SUBSTITUTE(C53,"?","~?"),"*","~*"),Values!$I$3:$I$502,"Yes"),IF(B53="Supporting",N(INDEX(Values!$E$3:$E$502,P53)),"")))</f>
        <v/>
      </c>
      <c r="O53">
        <f>IF(B53="","",IF(B53="Pillar",100,IF(B53="Cluster",N(INDEX(Attributes!$E$3:$E$52,Q53))*25+IF(M53="Gap",10,0),N(INDEX(Attributes!$E$3:$E$52,Q53))*20+MIN(20,ROUND(LOG10(N(N53)+1)*5,0))+IF(M53="Gap",10,0)+IF(INDEX(Values!$D$3:$D$502,P53)="Yes",5,0))))</f>
        <v/>
      </c>
      <c r="P53">
        <f>IF(B53="Supporting",MATCH(A53-1-Entity!$B$14,Values!$J$3:$J$502,0),"")</f>
        <v/>
      </c>
      <c r="Q53">
        <f>IF(C53="","",MATCH(C53,Attributes!$A$3:$A$52,0))</f>
        <v/>
      </c>
      <c r="R53">
        <f>IF(B53="Pillar",SUBSTITUTE(Entity!$B$7,"{entity}",LOWER(Entity!$B$3)),IF(B53="Cluster",IF(INDEX(Attributes!$G$3:$G$52,Q53)&lt;&gt;"",INDEX(Attributes!$G$3:$G$52,Q53),SUBSTITUTE(SUBSTITUTE(Entity!$B$8,"{entity}",LOWER(Entity!$B$3)),"{attribute}",LOWER(C53))),IF(B53="Supporting",SUBSTITUTE(SUBSTITUTE(SUBSTITUTE(IF(INDEX(Attributes!$H$3:$H$52,Q53)&lt;&gt;"",INDEX(Attributes!$H$3:$H$52,Q53),Entity!$B$9),"{entity}",LOWER(Entity!$B$3)),"{value}",D53),"{attribute}",LOWER(C53)),"")))</f>
        <v/>
      </c>
    </row>
    <row r="54">
      <c r="A54">
        <f>ROW()-2</f>
        <v/>
      </c>
      <c r="B54">
        <f>IF(A54=1,"Pillar",IF(A54&lt;=1+Entity!$B$14,"Cluster",IF(A54&lt;=1+Entity!$B$14+Entity!$B$15,"Supporting","")))</f>
        <v/>
      </c>
      <c r="C54">
        <f>IF(B54="Cluster",INDEX(Attributes!$A$3:$A$52,MATCH(A54-1,Attributes!$P$3:$P$52,0)),IF(B54="Supporting",INDEX(Values!$A$3:$A$502,P54),""))</f>
        <v/>
      </c>
      <c r="D54">
        <f>IF(B54="Supporting",INDEX(Values!$B$3:$B$502,P54),"")</f>
        <v/>
      </c>
      <c r="E54">
        <f>IF(R54="","",UPPER(LEFT(R54,1))&amp;MID(R54,2,500))</f>
        <v/>
      </c>
      <c r="F54">
        <f>IF(E54="","",LOWER(SUBSTITUTE(SUBSTITUTE(SUBSTITUTE(SUBSTITUTE(SUBSTITUTE(SUBSTITUTE(SUBSTITUTE(TRIM(E54),":",""),",",""),"'",""),"&amp;","and"),"£",""),"  "," ")," ","-")))</f>
        <v/>
      </c>
      <c r="G54">
        <f>IF(B54="Cluster",$E$3,IF(B54="Supporting",INDEX($E$3:$E$553,MATCH(C54,$C$3:$C$553,0)),""))</f>
        <v/>
      </c>
      <c r="H54">
        <f>IF(B54="Supporting",IFERROR(INDEX($E$3:$E$553,1+Entity!$B$14+INDEX(Values!$O$3:$O$502,P54)),""),IF(B54="Cluster",IF(Entity!$B$14&lt;2,"",INDEX($E$3:$E$553,IF(A54-1=Entity!$B$14,2,A54+1))),""))</f>
        <v/>
      </c>
      <c r="I54">
        <f>IF(B54="Pillar",Entity!$B$14&amp;" cluster pages",IF(B54="Cluster",(COUNTIF($C$3:$C$553,SUBSTITUTE(SUBSTITUTE(C54,"?","~?"),"*","~*"))-1)&amp;" supporting pages",""))</f>
        <v/>
      </c>
      <c r="J54">
        <f>IF(B54="Pillar","Informational",IF(OR(B54="Cluster",B54="Supporting"),INDEX(Attributes!$D$3:$D$52,Q54)&amp;"",""))</f>
        <v/>
      </c>
      <c r="K54">
        <f>IF(B54="","",IF(B54="Pillar","Pillar guide (entity hub)",IF(B54="Cluster","Hub page for this attribute",IF(INDEX(Values!$C$3:$C$502,P54)="Yes","Entity page (profile of the sub-entity)",IFERROR(INDEX(Lists!$B$3:$B$6,MATCH(J54,Lists!$A$3:$A$6,0)),"Article")))))</f>
        <v/>
      </c>
      <c r="L54">
        <f>IF(B54="Pillar",Entity!$B$6&amp;"",IF(B54="Cluster",INDEX(Attributes!$I$3:$I$52,Q54)&amp;"",IF(B54="Supporting",INDEX(Values!$F$3:$F$502,P54)&amp;"","")))</f>
        <v/>
      </c>
      <c r="M54">
        <f>IF(B54="","",IF(L54&lt;&gt;"","Covered","Gap"))</f>
        <v/>
      </c>
      <c r="N54">
        <f>IF(B54="Pillar",SUMIFS(Values!$E$3:$E$502,Values!$I$3:$I$502,"Yes"),IF(B54="Cluster",SUMIFS(Values!$E$3:$E$502,Values!$A$3:$A$502,SUBSTITUTE(SUBSTITUTE(C54,"?","~?"),"*","~*"),Values!$I$3:$I$502,"Yes"),IF(B54="Supporting",N(INDEX(Values!$E$3:$E$502,P54)),"")))</f>
        <v/>
      </c>
      <c r="O54">
        <f>IF(B54="","",IF(B54="Pillar",100,IF(B54="Cluster",N(INDEX(Attributes!$E$3:$E$52,Q54))*25+IF(M54="Gap",10,0),N(INDEX(Attributes!$E$3:$E$52,Q54))*20+MIN(20,ROUND(LOG10(N(N54)+1)*5,0))+IF(M54="Gap",10,0)+IF(INDEX(Values!$D$3:$D$502,P54)="Yes",5,0))))</f>
        <v/>
      </c>
      <c r="P54">
        <f>IF(B54="Supporting",MATCH(A54-1-Entity!$B$14,Values!$J$3:$J$502,0),"")</f>
        <v/>
      </c>
      <c r="Q54">
        <f>IF(C54="","",MATCH(C54,Attributes!$A$3:$A$52,0))</f>
        <v/>
      </c>
      <c r="R54">
        <f>IF(B54="Pillar",SUBSTITUTE(Entity!$B$7,"{entity}",LOWER(Entity!$B$3)),IF(B54="Cluster",IF(INDEX(Attributes!$G$3:$G$52,Q54)&lt;&gt;"",INDEX(Attributes!$G$3:$G$52,Q54),SUBSTITUTE(SUBSTITUTE(Entity!$B$8,"{entity}",LOWER(Entity!$B$3)),"{attribute}",LOWER(C54))),IF(B54="Supporting",SUBSTITUTE(SUBSTITUTE(SUBSTITUTE(IF(INDEX(Attributes!$H$3:$H$52,Q54)&lt;&gt;"",INDEX(Attributes!$H$3:$H$52,Q54),Entity!$B$9),"{entity}",LOWER(Entity!$B$3)),"{value}",D54),"{attribute}",LOWER(C54)),"")))</f>
        <v/>
      </c>
    </row>
    <row r="55">
      <c r="A55">
        <f>ROW()-2</f>
        <v/>
      </c>
      <c r="B55">
        <f>IF(A55=1,"Pillar",IF(A55&lt;=1+Entity!$B$14,"Cluster",IF(A55&lt;=1+Entity!$B$14+Entity!$B$15,"Supporting","")))</f>
        <v/>
      </c>
      <c r="C55">
        <f>IF(B55="Cluster",INDEX(Attributes!$A$3:$A$52,MATCH(A55-1,Attributes!$P$3:$P$52,0)),IF(B55="Supporting",INDEX(Values!$A$3:$A$502,P55),""))</f>
        <v/>
      </c>
      <c r="D55">
        <f>IF(B55="Supporting",INDEX(Values!$B$3:$B$502,P55),"")</f>
        <v/>
      </c>
      <c r="E55">
        <f>IF(R55="","",UPPER(LEFT(R55,1))&amp;MID(R55,2,500))</f>
        <v/>
      </c>
      <c r="F55">
        <f>IF(E55="","",LOWER(SUBSTITUTE(SUBSTITUTE(SUBSTITUTE(SUBSTITUTE(SUBSTITUTE(SUBSTITUTE(SUBSTITUTE(TRIM(E55),":",""),",",""),"'",""),"&amp;","and"),"£",""),"  "," ")," ","-")))</f>
        <v/>
      </c>
      <c r="G55">
        <f>IF(B55="Cluster",$E$3,IF(B55="Supporting",INDEX($E$3:$E$553,MATCH(C55,$C$3:$C$553,0)),""))</f>
        <v/>
      </c>
      <c r="H55">
        <f>IF(B55="Supporting",IFERROR(INDEX($E$3:$E$553,1+Entity!$B$14+INDEX(Values!$O$3:$O$502,P55)),""),IF(B55="Cluster",IF(Entity!$B$14&lt;2,"",INDEX($E$3:$E$553,IF(A55-1=Entity!$B$14,2,A55+1))),""))</f>
        <v/>
      </c>
      <c r="I55">
        <f>IF(B55="Pillar",Entity!$B$14&amp;" cluster pages",IF(B55="Cluster",(COUNTIF($C$3:$C$553,SUBSTITUTE(SUBSTITUTE(C55,"?","~?"),"*","~*"))-1)&amp;" supporting pages",""))</f>
        <v/>
      </c>
      <c r="J55">
        <f>IF(B55="Pillar","Informational",IF(OR(B55="Cluster",B55="Supporting"),INDEX(Attributes!$D$3:$D$52,Q55)&amp;"",""))</f>
        <v/>
      </c>
      <c r="K55">
        <f>IF(B55="","",IF(B55="Pillar","Pillar guide (entity hub)",IF(B55="Cluster","Hub page for this attribute",IF(INDEX(Values!$C$3:$C$502,P55)="Yes","Entity page (profile of the sub-entity)",IFERROR(INDEX(Lists!$B$3:$B$6,MATCH(J55,Lists!$A$3:$A$6,0)),"Article")))))</f>
        <v/>
      </c>
      <c r="L55">
        <f>IF(B55="Pillar",Entity!$B$6&amp;"",IF(B55="Cluster",INDEX(Attributes!$I$3:$I$52,Q55)&amp;"",IF(B55="Supporting",INDEX(Values!$F$3:$F$502,P55)&amp;"","")))</f>
        <v/>
      </c>
      <c r="M55">
        <f>IF(B55="","",IF(L55&lt;&gt;"","Covered","Gap"))</f>
        <v/>
      </c>
      <c r="N55">
        <f>IF(B55="Pillar",SUMIFS(Values!$E$3:$E$502,Values!$I$3:$I$502,"Yes"),IF(B55="Cluster",SUMIFS(Values!$E$3:$E$502,Values!$A$3:$A$502,SUBSTITUTE(SUBSTITUTE(C55,"?","~?"),"*","~*"),Values!$I$3:$I$502,"Yes"),IF(B55="Supporting",N(INDEX(Values!$E$3:$E$502,P55)),"")))</f>
        <v/>
      </c>
      <c r="O55">
        <f>IF(B55="","",IF(B55="Pillar",100,IF(B55="Cluster",N(INDEX(Attributes!$E$3:$E$52,Q55))*25+IF(M55="Gap",10,0),N(INDEX(Attributes!$E$3:$E$52,Q55))*20+MIN(20,ROUND(LOG10(N(N55)+1)*5,0))+IF(M55="Gap",10,0)+IF(INDEX(Values!$D$3:$D$502,P55)="Yes",5,0))))</f>
        <v/>
      </c>
      <c r="P55">
        <f>IF(B55="Supporting",MATCH(A55-1-Entity!$B$14,Values!$J$3:$J$502,0),"")</f>
        <v/>
      </c>
      <c r="Q55">
        <f>IF(C55="","",MATCH(C55,Attributes!$A$3:$A$52,0))</f>
        <v/>
      </c>
      <c r="R55">
        <f>IF(B55="Pillar",SUBSTITUTE(Entity!$B$7,"{entity}",LOWER(Entity!$B$3)),IF(B55="Cluster",IF(INDEX(Attributes!$G$3:$G$52,Q55)&lt;&gt;"",INDEX(Attributes!$G$3:$G$52,Q55),SUBSTITUTE(SUBSTITUTE(Entity!$B$8,"{entity}",LOWER(Entity!$B$3)),"{attribute}",LOWER(C55))),IF(B55="Supporting",SUBSTITUTE(SUBSTITUTE(SUBSTITUTE(IF(INDEX(Attributes!$H$3:$H$52,Q55)&lt;&gt;"",INDEX(Attributes!$H$3:$H$52,Q55),Entity!$B$9),"{entity}",LOWER(Entity!$B$3)),"{value}",D55),"{attribute}",LOWER(C55)),"")))</f>
        <v/>
      </c>
    </row>
    <row r="56">
      <c r="A56">
        <f>ROW()-2</f>
        <v/>
      </c>
      <c r="B56">
        <f>IF(A56=1,"Pillar",IF(A56&lt;=1+Entity!$B$14,"Cluster",IF(A56&lt;=1+Entity!$B$14+Entity!$B$15,"Supporting","")))</f>
        <v/>
      </c>
      <c r="C56">
        <f>IF(B56="Cluster",INDEX(Attributes!$A$3:$A$52,MATCH(A56-1,Attributes!$P$3:$P$52,0)),IF(B56="Supporting",INDEX(Values!$A$3:$A$502,P56),""))</f>
        <v/>
      </c>
      <c r="D56">
        <f>IF(B56="Supporting",INDEX(Values!$B$3:$B$502,P56),"")</f>
        <v/>
      </c>
      <c r="E56">
        <f>IF(R56="","",UPPER(LEFT(R56,1))&amp;MID(R56,2,500))</f>
        <v/>
      </c>
      <c r="F56">
        <f>IF(E56="","",LOWER(SUBSTITUTE(SUBSTITUTE(SUBSTITUTE(SUBSTITUTE(SUBSTITUTE(SUBSTITUTE(SUBSTITUTE(TRIM(E56),":",""),",",""),"'",""),"&amp;","and"),"£",""),"  "," ")," ","-")))</f>
        <v/>
      </c>
      <c r="G56">
        <f>IF(B56="Cluster",$E$3,IF(B56="Supporting",INDEX($E$3:$E$553,MATCH(C56,$C$3:$C$553,0)),""))</f>
        <v/>
      </c>
      <c r="H56">
        <f>IF(B56="Supporting",IFERROR(INDEX($E$3:$E$553,1+Entity!$B$14+INDEX(Values!$O$3:$O$502,P56)),""),IF(B56="Cluster",IF(Entity!$B$14&lt;2,"",INDEX($E$3:$E$553,IF(A56-1=Entity!$B$14,2,A56+1))),""))</f>
        <v/>
      </c>
      <c r="I56">
        <f>IF(B56="Pillar",Entity!$B$14&amp;" cluster pages",IF(B56="Cluster",(COUNTIF($C$3:$C$553,SUBSTITUTE(SUBSTITUTE(C56,"?","~?"),"*","~*"))-1)&amp;" supporting pages",""))</f>
        <v/>
      </c>
      <c r="J56">
        <f>IF(B56="Pillar","Informational",IF(OR(B56="Cluster",B56="Supporting"),INDEX(Attributes!$D$3:$D$52,Q56)&amp;"",""))</f>
        <v/>
      </c>
      <c r="K56">
        <f>IF(B56="","",IF(B56="Pillar","Pillar guide (entity hub)",IF(B56="Cluster","Hub page for this attribute",IF(INDEX(Values!$C$3:$C$502,P56)="Yes","Entity page (profile of the sub-entity)",IFERROR(INDEX(Lists!$B$3:$B$6,MATCH(J56,Lists!$A$3:$A$6,0)),"Article")))))</f>
        <v/>
      </c>
      <c r="L56">
        <f>IF(B56="Pillar",Entity!$B$6&amp;"",IF(B56="Cluster",INDEX(Attributes!$I$3:$I$52,Q56)&amp;"",IF(B56="Supporting",INDEX(Values!$F$3:$F$502,P56)&amp;"","")))</f>
        <v/>
      </c>
      <c r="M56">
        <f>IF(B56="","",IF(L56&lt;&gt;"","Covered","Gap"))</f>
        <v/>
      </c>
      <c r="N56">
        <f>IF(B56="Pillar",SUMIFS(Values!$E$3:$E$502,Values!$I$3:$I$502,"Yes"),IF(B56="Cluster",SUMIFS(Values!$E$3:$E$502,Values!$A$3:$A$502,SUBSTITUTE(SUBSTITUTE(C56,"?","~?"),"*","~*"),Values!$I$3:$I$502,"Yes"),IF(B56="Supporting",N(INDEX(Values!$E$3:$E$502,P56)),"")))</f>
        <v/>
      </c>
      <c r="O56">
        <f>IF(B56="","",IF(B56="Pillar",100,IF(B56="Cluster",N(INDEX(Attributes!$E$3:$E$52,Q56))*25+IF(M56="Gap",10,0),N(INDEX(Attributes!$E$3:$E$52,Q56))*20+MIN(20,ROUND(LOG10(N(N56)+1)*5,0))+IF(M56="Gap",10,0)+IF(INDEX(Values!$D$3:$D$502,P56)="Yes",5,0))))</f>
        <v/>
      </c>
      <c r="P56">
        <f>IF(B56="Supporting",MATCH(A56-1-Entity!$B$14,Values!$J$3:$J$502,0),"")</f>
        <v/>
      </c>
      <c r="Q56">
        <f>IF(C56="","",MATCH(C56,Attributes!$A$3:$A$52,0))</f>
        <v/>
      </c>
      <c r="R56">
        <f>IF(B56="Pillar",SUBSTITUTE(Entity!$B$7,"{entity}",LOWER(Entity!$B$3)),IF(B56="Cluster",IF(INDEX(Attributes!$G$3:$G$52,Q56)&lt;&gt;"",INDEX(Attributes!$G$3:$G$52,Q56),SUBSTITUTE(SUBSTITUTE(Entity!$B$8,"{entity}",LOWER(Entity!$B$3)),"{attribute}",LOWER(C56))),IF(B56="Supporting",SUBSTITUTE(SUBSTITUTE(SUBSTITUTE(IF(INDEX(Attributes!$H$3:$H$52,Q56)&lt;&gt;"",INDEX(Attributes!$H$3:$H$52,Q56),Entity!$B$9),"{entity}",LOWER(Entity!$B$3)),"{value}",D56),"{attribute}",LOWER(C56)),"")))</f>
        <v/>
      </c>
    </row>
    <row r="57">
      <c r="A57">
        <f>ROW()-2</f>
        <v/>
      </c>
      <c r="B57">
        <f>IF(A57=1,"Pillar",IF(A57&lt;=1+Entity!$B$14,"Cluster",IF(A57&lt;=1+Entity!$B$14+Entity!$B$15,"Supporting","")))</f>
        <v/>
      </c>
      <c r="C57">
        <f>IF(B57="Cluster",INDEX(Attributes!$A$3:$A$52,MATCH(A57-1,Attributes!$P$3:$P$52,0)),IF(B57="Supporting",INDEX(Values!$A$3:$A$502,P57),""))</f>
        <v/>
      </c>
      <c r="D57">
        <f>IF(B57="Supporting",INDEX(Values!$B$3:$B$502,P57),"")</f>
        <v/>
      </c>
      <c r="E57">
        <f>IF(R57="","",UPPER(LEFT(R57,1))&amp;MID(R57,2,500))</f>
        <v/>
      </c>
      <c r="F57">
        <f>IF(E57="","",LOWER(SUBSTITUTE(SUBSTITUTE(SUBSTITUTE(SUBSTITUTE(SUBSTITUTE(SUBSTITUTE(SUBSTITUTE(TRIM(E57),":",""),",",""),"'",""),"&amp;","and"),"£",""),"  "," ")," ","-")))</f>
        <v/>
      </c>
      <c r="G57">
        <f>IF(B57="Cluster",$E$3,IF(B57="Supporting",INDEX($E$3:$E$553,MATCH(C57,$C$3:$C$553,0)),""))</f>
        <v/>
      </c>
      <c r="H57">
        <f>IF(B57="Supporting",IFERROR(INDEX($E$3:$E$553,1+Entity!$B$14+INDEX(Values!$O$3:$O$502,P57)),""),IF(B57="Cluster",IF(Entity!$B$14&lt;2,"",INDEX($E$3:$E$553,IF(A57-1=Entity!$B$14,2,A57+1))),""))</f>
        <v/>
      </c>
      <c r="I57">
        <f>IF(B57="Pillar",Entity!$B$14&amp;" cluster pages",IF(B57="Cluster",(COUNTIF($C$3:$C$553,SUBSTITUTE(SUBSTITUTE(C57,"?","~?"),"*","~*"))-1)&amp;" supporting pages",""))</f>
        <v/>
      </c>
      <c r="J57">
        <f>IF(B57="Pillar","Informational",IF(OR(B57="Cluster",B57="Supporting"),INDEX(Attributes!$D$3:$D$52,Q57)&amp;"",""))</f>
        <v/>
      </c>
      <c r="K57">
        <f>IF(B57="","",IF(B57="Pillar","Pillar guide (entity hub)",IF(B57="Cluster","Hub page for this attribute",IF(INDEX(Values!$C$3:$C$502,P57)="Yes","Entity page (profile of the sub-entity)",IFERROR(INDEX(Lists!$B$3:$B$6,MATCH(J57,Lists!$A$3:$A$6,0)),"Article")))))</f>
        <v/>
      </c>
      <c r="L57">
        <f>IF(B57="Pillar",Entity!$B$6&amp;"",IF(B57="Cluster",INDEX(Attributes!$I$3:$I$52,Q57)&amp;"",IF(B57="Supporting",INDEX(Values!$F$3:$F$502,P57)&amp;"","")))</f>
        <v/>
      </c>
      <c r="M57">
        <f>IF(B57="","",IF(L57&lt;&gt;"","Covered","Gap"))</f>
        <v/>
      </c>
      <c r="N57">
        <f>IF(B57="Pillar",SUMIFS(Values!$E$3:$E$502,Values!$I$3:$I$502,"Yes"),IF(B57="Cluster",SUMIFS(Values!$E$3:$E$502,Values!$A$3:$A$502,SUBSTITUTE(SUBSTITUTE(C57,"?","~?"),"*","~*"),Values!$I$3:$I$502,"Yes"),IF(B57="Supporting",N(INDEX(Values!$E$3:$E$502,P57)),"")))</f>
        <v/>
      </c>
      <c r="O57">
        <f>IF(B57="","",IF(B57="Pillar",100,IF(B57="Cluster",N(INDEX(Attributes!$E$3:$E$52,Q57))*25+IF(M57="Gap",10,0),N(INDEX(Attributes!$E$3:$E$52,Q57))*20+MIN(20,ROUND(LOG10(N(N57)+1)*5,0))+IF(M57="Gap",10,0)+IF(INDEX(Values!$D$3:$D$502,P57)="Yes",5,0))))</f>
        <v/>
      </c>
      <c r="P57">
        <f>IF(B57="Supporting",MATCH(A57-1-Entity!$B$14,Values!$J$3:$J$502,0),"")</f>
        <v/>
      </c>
      <c r="Q57">
        <f>IF(C57="","",MATCH(C57,Attributes!$A$3:$A$52,0))</f>
        <v/>
      </c>
      <c r="R57">
        <f>IF(B57="Pillar",SUBSTITUTE(Entity!$B$7,"{entity}",LOWER(Entity!$B$3)),IF(B57="Cluster",IF(INDEX(Attributes!$G$3:$G$52,Q57)&lt;&gt;"",INDEX(Attributes!$G$3:$G$52,Q57),SUBSTITUTE(SUBSTITUTE(Entity!$B$8,"{entity}",LOWER(Entity!$B$3)),"{attribute}",LOWER(C57))),IF(B57="Supporting",SUBSTITUTE(SUBSTITUTE(SUBSTITUTE(IF(INDEX(Attributes!$H$3:$H$52,Q57)&lt;&gt;"",INDEX(Attributes!$H$3:$H$52,Q57),Entity!$B$9),"{entity}",LOWER(Entity!$B$3)),"{value}",D57),"{attribute}",LOWER(C57)),"")))</f>
        <v/>
      </c>
    </row>
    <row r="58">
      <c r="A58">
        <f>ROW()-2</f>
        <v/>
      </c>
      <c r="B58">
        <f>IF(A58=1,"Pillar",IF(A58&lt;=1+Entity!$B$14,"Cluster",IF(A58&lt;=1+Entity!$B$14+Entity!$B$15,"Supporting","")))</f>
        <v/>
      </c>
      <c r="C58">
        <f>IF(B58="Cluster",INDEX(Attributes!$A$3:$A$52,MATCH(A58-1,Attributes!$P$3:$P$52,0)),IF(B58="Supporting",INDEX(Values!$A$3:$A$502,P58),""))</f>
        <v/>
      </c>
      <c r="D58">
        <f>IF(B58="Supporting",INDEX(Values!$B$3:$B$502,P58),"")</f>
        <v/>
      </c>
      <c r="E58">
        <f>IF(R58="","",UPPER(LEFT(R58,1))&amp;MID(R58,2,500))</f>
        <v/>
      </c>
      <c r="F58">
        <f>IF(E58="","",LOWER(SUBSTITUTE(SUBSTITUTE(SUBSTITUTE(SUBSTITUTE(SUBSTITUTE(SUBSTITUTE(SUBSTITUTE(TRIM(E58),":",""),",",""),"'",""),"&amp;","and"),"£",""),"  "," ")," ","-")))</f>
        <v/>
      </c>
      <c r="G58">
        <f>IF(B58="Cluster",$E$3,IF(B58="Supporting",INDEX($E$3:$E$553,MATCH(C58,$C$3:$C$553,0)),""))</f>
        <v/>
      </c>
      <c r="H58">
        <f>IF(B58="Supporting",IFERROR(INDEX($E$3:$E$553,1+Entity!$B$14+INDEX(Values!$O$3:$O$502,P58)),""),IF(B58="Cluster",IF(Entity!$B$14&lt;2,"",INDEX($E$3:$E$553,IF(A58-1=Entity!$B$14,2,A58+1))),""))</f>
        <v/>
      </c>
      <c r="I58">
        <f>IF(B58="Pillar",Entity!$B$14&amp;" cluster pages",IF(B58="Cluster",(COUNTIF($C$3:$C$553,SUBSTITUTE(SUBSTITUTE(C58,"?","~?"),"*","~*"))-1)&amp;" supporting pages",""))</f>
        <v/>
      </c>
      <c r="J58">
        <f>IF(B58="Pillar","Informational",IF(OR(B58="Cluster",B58="Supporting"),INDEX(Attributes!$D$3:$D$52,Q58)&amp;"",""))</f>
        <v/>
      </c>
      <c r="K58">
        <f>IF(B58="","",IF(B58="Pillar","Pillar guide (entity hub)",IF(B58="Cluster","Hub page for this attribute",IF(INDEX(Values!$C$3:$C$502,P58)="Yes","Entity page (profile of the sub-entity)",IFERROR(INDEX(Lists!$B$3:$B$6,MATCH(J58,Lists!$A$3:$A$6,0)),"Article")))))</f>
        <v/>
      </c>
      <c r="L58">
        <f>IF(B58="Pillar",Entity!$B$6&amp;"",IF(B58="Cluster",INDEX(Attributes!$I$3:$I$52,Q58)&amp;"",IF(B58="Supporting",INDEX(Values!$F$3:$F$502,P58)&amp;"","")))</f>
        <v/>
      </c>
      <c r="M58">
        <f>IF(B58="","",IF(L58&lt;&gt;"","Covered","Gap"))</f>
        <v/>
      </c>
      <c r="N58">
        <f>IF(B58="Pillar",SUMIFS(Values!$E$3:$E$502,Values!$I$3:$I$502,"Yes"),IF(B58="Cluster",SUMIFS(Values!$E$3:$E$502,Values!$A$3:$A$502,SUBSTITUTE(SUBSTITUTE(C58,"?","~?"),"*","~*"),Values!$I$3:$I$502,"Yes"),IF(B58="Supporting",N(INDEX(Values!$E$3:$E$502,P58)),"")))</f>
        <v/>
      </c>
      <c r="O58">
        <f>IF(B58="","",IF(B58="Pillar",100,IF(B58="Cluster",N(INDEX(Attributes!$E$3:$E$52,Q58))*25+IF(M58="Gap",10,0),N(INDEX(Attributes!$E$3:$E$52,Q58))*20+MIN(20,ROUND(LOG10(N(N58)+1)*5,0))+IF(M58="Gap",10,0)+IF(INDEX(Values!$D$3:$D$502,P58)="Yes",5,0))))</f>
        <v/>
      </c>
      <c r="P58">
        <f>IF(B58="Supporting",MATCH(A58-1-Entity!$B$14,Values!$J$3:$J$502,0),"")</f>
        <v/>
      </c>
      <c r="Q58">
        <f>IF(C58="","",MATCH(C58,Attributes!$A$3:$A$52,0))</f>
        <v/>
      </c>
      <c r="R58">
        <f>IF(B58="Pillar",SUBSTITUTE(Entity!$B$7,"{entity}",LOWER(Entity!$B$3)),IF(B58="Cluster",IF(INDEX(Attributes!$G$3:$G$52,Q58)&lt;&gt;"",INDEX(Attributes!$G$3:$G$52,Q58),SUBSTITUTE(SUBSTITUTE(Entity!$B$8,"{entity}",LOWER(Entity!$B$3)),"{attribute}",LOWER(C58))),IF(B58="Supporting",SUBSTITUTE(SUBSTITUTE(SUBSTITUTE(IF(INDEX(Attributes!$H$3:$H$52,Q58)&lt;&gt;"",INDEX(Attributes!$H$3:$H$52,Q58),Entity!$B$9),"{entity}",LOWER(Entity!$B$3)),"{value}",D58),"{attribute}",LOWER(C58)),"")))</f>
        <v/>
      </c>
    </row>
    <row r="59">
      <c r="A59">
        <f>ROW()-2</f>
        <v/>
      </c>
      <c r="B59">
        <f>IF(A59=1,"Pillar",IF(A59&lt;=1+Entity!$B$14,"Cluster",IF(A59&lt;=1+Entity!$B$14+Entity!$B$15,"Supporting","")))</f>
        <v/>
      </c>
      <c r="C59">
        <f>IF(B59="Cluster",INDEX(Attributes!$A$3:$A$52,MATCH(A59-1,Attributes!$P$3:$P$52,0)),IF(B59="Supporting",INDEX(Values!$A$3:$A$502,P59),""))</f>
        <v/>
      </c>
      <c r="D59">
        <f>IF(B59="Supporting",INDEX(Values!$B$3:$B$502,P59),"")</f>
        <v/>
      </c>
      <c r="E59">
        <f>IF(R59="","",UPPER(LEFT(R59,1))&amp;MID(R59,2,500))</f>
        <v/>
      </c>
      <c r="F59">
        <f>IF(E59="","",LOWER(SUBSTITUTE(SUBSTITUTE(SUBSTITUTE(SUBSTITUTE(SUBSTITUTE(SUBSTITUTE(SUBSTITUTE(TRIM(E59),":",""),",",""),"'",""),"&amp;","and"),"£",""),"  "," ")," ","-")))</f>
        <v/>
      </c>
      <c r="G59">
        <f>IF(B59="Cluster",$E$3,IF(B59="Supporting",INDEX($E$3:$E$553,MATCH(C59,$C$3:$C$553,0)),""))</f>
        <v/>
      </c>
      <c r="H59">
        <f>IF(B59="Supporting",IFERROR(INDEX($E$3:$E$553,1+Entity!$B$14+INDEX(Values!$O$3:$O$502,P59)),""),IF(B59="Cluster",IF(Entity!$B$14&lt;2,"",INDEX($E$3:$E$553,IF(A59-1=Entity!$B$14,2,A59+1))),""))</f>
        <v/>
      </c>
      <c r="I59">
        <f>IF(B59="Pillar",Entity!$B$14&amp;" cluster pages",IF(B59="Cluster",(COUNTIF($C$3:$C$553,SUBSTITUTE(SUBSTITUTE(C59,"?","~?"),"*","~*"))-1)&amp;" supporting pages",""))</f>
        <v/>
      </c>
      <c r="J59">
        <f>IF(B59="Pillar","Informational",IF(OR(B59="Cluster",B59="Supporting"),INDEX(Attributes!$D$3:$D$52,Q59)&amp;"",""))</f>
        <v/>
      </c>
      <c r="K59">
        <f>IF(B59="","",IF(B59="Pillar","Pillar guide (entity hub)",IF(B59="Cluster","Hub page for this attribute",IF(INDEX(Values!$C$3:$C$502,P59)="Yes","Entity page (profile of the sub-entity)",IFERROR(INDEX(Lists!$B$3:$B$6,MATCH(J59,Lists!$A$3:$A$6,0)),"Article")))))</f>
        <v/>
      </c>
      <c r="L59">
        <f>IF(B59="Pillar",Entity!$B$6&amp;"",IF(B59="Cluster",INDEX(Attributes!$I$3:$I$52,Q59)&amp;"",IF(B59="Supporting",INDEX(Values!$F$3:$F$502,P59)&amp;"","")))</f>
        <v/>
      </c>
      <c r="M59">
        <f>IF(B59="","",IF(L59&lt;&gt;"","Covered","Gap"))</f>
        <v/>
      </c>
      <c r="N59">
        <f>IF(B59="Pillar",SUMIFS(Values!$E$3:$E$502,Values!$I$3:$I$502,"Yes"),IF(B59="Cluster",SUMIFS(Values!$E$3:$E$502,Values!$A$3:$A$502,SUBSTITUTE(SUBSTITUTE(C59,"?","~?"),"*","~*"),Values!$I$3:$I$502,"Yes"),IF(B59="Supporting",N(INDEX(Values!$E$3:$E$502,P59)),"")))</f>
        <v/>
      </c>
      <c r="O59">
        <f>IF(B59="","",IF(B59="Pillar",100,IF(B59="Cluster",N(INDEX(Attributes!$E$3:$E$52,Q59))*25+IF(M59="Gap",10,0),N(INDEX(Attributes!$E$3:$E$52,Q59))*20+MIN(20,ROUND(LOG10(N(N59)+1)*5,0))+IF(M59="Gap",10,0)+IF(INDEX(Values!$D$3:$D$502,P59)="Yes",5,0))))</f>
        <v/>
      </c>
      <c r="P59">
        <f>IF(B59="Supporting",MATCH(A59-1-Entity!$B$14,Values!$J$3:$J$502,0),"")</f>
        <v/>
      </c>
      <c r="Q59">
        <f>IF(C59="","",MATCH(C59,Attributes!$A$3:$A$52,0))</f>
        <v/>
      </c>
      <c r="R59">
        <f>IF(B59="Pillar",SUBSTITUTE(Entity!$B$7,"{entity}",LOWER(Entity!$B$3)),IF(B59="Cluster",IF(INDEX(Attributes!$G$3:$G$52,Q59)&lt;&gt;"",INDEX(Attributes!$G$3:$G$52,Q59),SUBSTITUTE(SUBSTITUTE(Entity!$B$8,"{entity}",LOWER(Entity!$B$3)),"{attribute}",LOWER(C59))),IF(B59="Supporting",SUBSTITUTE(SUBSTITUTE(SUBSTITUTE(IF(INDEX(Attributes!$H$3:$H$52,Q59)&lt;&gt;"",INDEX(Attributes!$H$3:$H$52,Q59),Entity!$B$9),"{entity}",LOWER(Entity!$B$3)),"{value}",D59),"{attribute}",LOWER(C59)),"")))</f>
        <v/>
      </c>
    </row>
    <row r="60">
      <c r="A60">
        <f>ROW()-2</f>
        <v/>
      </c>
      <c r="B60">
        <f>IF(A60=1,"Pillar",IF(A60&lt;=1+Entity!$B$14,"Cluster",IF(A60&lt;=1+Entity!$B$14+Entity!$B$15,"Supporting","")))</f>
        <v/>
      </c>
      <c r="C60">
        <f>IF(B60="Cluster",INDEX(Attributes!$A$3:$A$52,MATCH(A60-1,Attributes!$P$3:$P$52,0)),IF(B60="Supporting",INDEX(Values!$A$3:$A$502,P60),""))</f>
        <v/>
      </c>
      <c r="D60">
        <f>IF(B60="Supporting",INDEX(Values!$B$3:$B$502,P60),"")</f>
        <v/>
      </c>
      <c r="E60">
        <f>IF(R60="","",UPPER(LEFT(R60,1))&amp;MID(R60,2,500))</f>
        <v/>
      </c>
      <c r="F60">
        <f>IF(E60="","",LOWER(SUBSTITUTE(SUBSTITUTE(SUBSTITUTE(SUBSTITUTE(SUBSTITUTE(SUBSTITUTE(SUBSTITUTE(TRIM(E60),":",""),",",""),"'",""),"&amp;","and"),"£",""),"  "," ")," ","-")))</f>
        <v/>
      </c>
      <c r="G60">
        <f>IF(B60="Cluster",$E$3,IF(B60="Supporting",INDEX($E$3:$E$553,MATCH(C60,$C$3:$C$553,0)),""))</f>
        <v/>
      </c>
      <c r="H60">
        <f>IF(B60="Supporting",IFERROR(INDEX($E$3:$E$553,1+Entity!$B$14+INDEX(Values!$O$3:$O$502,P60)),""),IF(B60="Cluster",IF(Entity!$B$14&lt;2,"",INDEX($E$3:$E$553,IF(A60-1=Entity!$B$14,2,A60+1))),""))</f>
        <v/>
      </c>
      <c r="I60">
        <f>IF(B60="Pillar",Entity!$B$14&amp;" cluster pages",IF(B60="Cluster",(COUNTIF($C$3:$C$553,SUBSTITUTE(SUBSTITUTE(C60,"?","~?"),"*","~*"))-1)&amp;" supporting pages",""))</f>
        <v/>
      </c>
      <c r="J60">
        <f>IF(B60="Pillar","Informational",IF(OR(B60="Cluster",B60="Supporting"),INDEX(Attributes!$D$3:$D$52,Q60)&amp;"",""))</f>
        <v/>
      </c>
      <c r="K60">
        <f>IF(B60="","",IF(B60="Pillar","Pillar guide (entity hub)",IF(B60="Cluster","Hub page for this attribute",IF(INDEX(Values!$C$3:$C$502,P60)="Yes","Entity page (profile of the sub-entity)",IFERROR(INDEX(Lists!$B$3:$B$6,MATCH(J60,Lists!$A$3:$A$6,0)),"Article")))))</f>
        <v/>
      </c>
      <c r="L60">
        <f>IF(B60="Pillar",Entity!$B$6&amp;"",IF(B60="Cluster",INDEX(Attributes!$I$3:$I$52,Q60)&amp;"",IF(B60="Supporting",INDEX(Values!$F$3:$F$502,P60)&amp;"","")))</f>
        <v/>
      </c>
      <c r="M60">
        <f>IF(B60="","",IF(L60&lt;&gt;"","Covered","Gap"))</f>
        <v/>
      </c>
      <c r="N60">
        <f>IF(B60="Pillar",SUMIFS(Values!$E$3:$E$502,Values!$I$3:$I$502,"Yes"),IF(B60="Cluster",SUMIFS(Values!$E$3:$E$502,Values!$A$3:$A$502,SUBSTITUTE(SUBSTITUTE(C60,"?","~?"),"*","~*"),Values!$I$3:$I$502,"Yes"),IF(B60="Supporting",N(INDEX(Values!$E$3:$E$502,P60)),"")))</f>
        <v/>
      </c>
      <c r="O60">
        <f>IF(B60="","",IF(B60="Pillar",100,IF(B60="Cluster",N(INDEX(Attributes!$E$3:$E$52,Q60))*25+IF(M60="Gap",10,0),N(INDEX(Attributes!$E$3:$E$52,Q60))*20+MIN(20,ROUND(LOG10(N(N60)+1)*5,0))+IF(M60="Gap",10,0)+IF(INDEX(Values!$D$3:$D$502,P60)="Yes",5,0))))</f>
        <v/>
      </c>
      <c r="P60">
        <f>IF(B60="Supporting",MATCH(A60-1-Entity!$B$14,Values!$J$3:$J$502,0),"")</f>
        <v/>
      </c>
      <c r="Q60">
        <f>IF(C60="","",MATCH(C60,Attributes!$A$3:$A$52,0))</f>
        <v/>
      </c>
      <c r="R60">
        <f>IF(B60="Pillar",SUBSTITUTE(Entity!$B$7,"{entity}",LOWER(Entity!$B$3)),IF(B60="Cluster",IF(INDEX(Attributes!$G$3:$G$52,Q60)&lt;&gt;"",INDEX(Attributes!$G$3:$G$52,Q60),SUBSTITUTE(SUBSTITUTE(Entity!$B$8,"{entity}",LOWER(Entity!$B$3)),"{attribute}",LOWER(C60))),IF(B60="Supporting",SUBSTITUTE(SUBSTITUTE(SUBSTITUTE(IF(INDEX(Attributes!$H$3:$H$52,Q60)&lt;&gt;"",INDEX(Attributes!$H$3:$H$52,Q60),Entity!$B$9),"{entity}",LOWER(Entity!$B$3)),"{value}",D60),"{attribute}",LOWER(C60)),"")))</f>
        <v/>
      </c>
    </row>
    <row r="61">
      <c r="A61">
        <f>ROW()-2</f>
        <v/>
      </c>
      <c r="B61">
        <f>IF(A61=1,"Pillar",IF(A61&lt;=1+Entity!$B$14,"Cluster",IF(A61&lt;=1+Entity!$B$14+Entity!$B$15,"Supporting","")))</f>
        <v/>
      </c>
      <c r="C61">
        <f>IF(B61="Cluster",INDEX(Attributes!$A$3:$A$52,MATCH(A61-1,Attributes!$P$3:$P$52,0)),IF(B61="Supporting",INDEX(Values!$A$3:$A$502,P61),""))</f>
        <v/>
      </c>
      <c r="D61">
        <f>IF(B61="Supporting",INDEX(Values!$B$3:$B$502,P61),"")</f>
        <v/>
      </c>
      <c r="E61">
        <f>IF(R61="","",UPPER(LEFT(R61,1))&amp;MID(R61,2,500))</f>
        <v/>
      </c>
      <c r="F61">
        <f>IF(E61="","",LOWER(SUBSTITUTE(SUBSTITUTE(SUBSTITUTE(SUBSTITUTE(SUBSTITUTE(SUBSTITUTE(SUBSTITUTE(TRIM(E61),":",""),",",""),"'",""),"&amp;","and"),"£",""),"  "," ")," ","-")))</f>
        <v/>
      </c>
      <c r="G61">
        <f>IF(B61="Cluster",$E$3,IF(B61="Supporting",INDEX($E$3:$E$553,MATCH(C61,$C$3:$C$553,0)),""))</f>
        <v/>
      </c>
      <c r="H61">
        <f>IF(B61="Supporting",IFERROR(INDEX($E$3:$E$553,1+Entity!$B$14+INDEX(Values!$O$3:$O$502,P61)),""),IF(B61="Cluster",IF(Entity!$B$14&lt;2,"",INDEX($E$3:$E$553,IF(A61-1=Entity!$B$14,2,A61+1))),""))</f>
        <v/>
      </c>
      <c r="I61">
        <f>IF(B61="Pillar",Entity!$B$14&amp;" cluster pages",IF(B61="Cluster",(COUNTIF($C$3:$C$553,SUBSTITUTE(SUBSTITUTE(C61,"?","~?"),"*","~*"))-1)&amp;" supporting pages",""))</f>
        <v/>
      </c>
      <c r="J61">
        <f>IF(B61="Pillar","Informational",IF(OR(B61="Cluster",B61="Supporting"),INDEX(Attributes!$D$3:$D$52,Q61)&amp;"",""))</f>
        <v/>
      </c>
      <c r="K61">
        <f>IF(B61="","",IF(B61="Pillar","Pillar guide (entity hub)",IF(B61="Cluster","Hub page for this attribute",IF(INDEX(Values!$C$3:$C$502,P61)="Yes","Entity page (profile of the sub-entity)",IFERROR(INDEX(Lists!$B$3:$B$6,MATCH(J61,Lists!$A$3:$A$6,0)),"Article")))))</f>
        <v/>
      </c>
      <c r="L61">
        <f>IF(B61="Pillar",Entity!$B$6&amp;"",IF(B61="Cluster",INDEX(Attributes!$I$3:$I$52,Q61)&amp;"",IF(B61="Supporting",INDEX(Values!$F$3:$F$502,P61)&amp;"","")))</f>
        <v/>
      </c>
      <c r="M61">
        <f>IF(B61="","",IF(L61&lt;&gt;"","Covered","Gap"))</f>
        <v/>
      </c>
      <c r="N61">
        <f>IF(B61="Pillar",SUMIFS(Values!$E$3:$E$502,Values!$I$3:$I$502,"Yes"),IF(B61="Cluster",SUMIFS(Values!$E$3:$E$502,Values!$A$3:$A$502,SUBSTITUTE(SUBSTITUTE(C61,"?","~?"),"*","~*"),Values!$I$3:$I$502,"Yes"),IF(B61="Supporting",N(INDEX(Values!$E$3:$E$502,P61)),"")))</f>
        <v/>
      </c>
      <c r="O61">
        <f>IF(B61="","",IF(B61="Pillar",100,IF(B61="Cluster",N(INDEX(Attributes!$E$3:$E$52,Q61))*25+IF(M61="Gap",10,0),N(INDEX(Attributes!$E$3:$E$52,Q61))*20+MIN(20,ROUND(LOG10(N(N61)+1)*5,0))+IF(M61="Gap",10,0)+IF(INDEX(Values!$D$3:$D$502,P61)="Yes",5,0))))</f>
        <v/>
      </c>
      <c r="P61">
        <f>IF(B61="Supporting",MATCH(A61-1-Entity!$B$14,Values!$J$3:$J$502,0),"")</f>
        <v/>
      </c>
      <c r="Q61">
        <f>IF(C61="","",MATCH(C61,Attributes!$A$3:$A$52,0))</f>
        <v/>
      </c>
      <c r="R61">
        <f>IF(B61="Pillar",SUBSTITUTE(Entity!$B$7,"{entity}",LOWER(Entity!$B$3)),IF(B61="Cluster",IF(INDEX(Attributes!$G$3:$G$52,Q61)&lt;&gt;"",INDEX(Attributes!$G$3:$G$52,Q61),SUBSTITUTE(SUBSTITUTE(Entity!$B$8,"{entity}",LOWER(Entity!$B$3)),"{attribute}",LOWER(C61))),IF(B61="Supporting",SUBSTITUTE(SUBSTITUTE(SUBSTITUTE(IF(INDEX(Attributes!$H$3:$H$52,Q61)&lt;&gt;"",INDEX(Attributes!$H$3:$H$52,Q61),Entity!$B$9),"{entity}",LOWER(Entity!$B$3)),"{value}",D61),"{attribute}",LOWER(C61)),"")))</f>
        <v/>
      </c>
    </row>
    <row r="62">
      <c r="A62">
        <f>ROW()-2</f>
        <v/>
      </c>
      <c r="B62">
        <f>IF(A62=1,"Pillar",IF(A62&lt;=1+Entity!$B$14,"Cluster",IF(A62&lt;=1+Entity!$B$14+Entity!$B$15,"Supporting","")))</f>
        <v/>
      </c>
      <c r="C62">
        <f>IF(B62="Cluster",INDEX(Attributes!$A$3:$A$52,MATCH(A62-1,Attributes!$P$3:$P$52,0)),IF(B62="Supporting",INDEX(Values!$A$3:$A$502,P62),""))</f>
        <v/>
      </c>
      <c r="D62">
        <f>IF(B62="Supporting",INDEX(Values!$B$3:$B$502,P62),"")</f>
        <v/>
      </c>
      <c r="E62">
        <f>IF(R62="","",UPPER(LEFT(R62,1))&amp;MID(R62,2,500))</f>
        <v/>
      </c>
      <c r="F62">
        <f>IF(E62="","",LOWER(SUBSTITUTE(SUBSTITUTE(SUBSTITUTE(SUBSTITUTE(SUBSTITUTE(SUBSTITUTE(SUBSTITUTE(TRIM(E62),":",""),",",""),"'",""),"&amp;","and"),"£",""),"  "," ")," ","-")))</f>
        <v/>
      </c>
      <c r="G62">
        <f>IF(B62="Cluster",$E$3,IF(B62="Supporting",INDEX($E$3:$E$553,MATCH(C62,$C$3:$C$553,0)),""))</f>
        <v/>
      </c>
      <c r="H62">
        <f>IF(B62="Supporting",IFERROR(INDEX($E$3:$E$553,1+Entity!$B$14+INDEX(Values!$O$3:$O$502,P62)),""),IF(B62="Cluster",IF(Entity!$B$14&lt;2,"",INDEX($E$3:$E$553,IF(A62-1=Entity!$B$14,2,A62+1))),""))</f>
        <v/>
      </c>
      <c r="I62">
        <f>IF(B62="Pillar",Entity!$B$14&amp;" cluster pages",IF(B62="Cluster",(COUNTIF($C$3:$C$553,SUBSTITUTE(SUBSTITUTE(C62,"?","~?"),"*","~*"))-1)&amp;" supporting pages",""))</f>
        <v/>
      </c>
      <c r="J62">
        <f>IF(B62="Pillar","Informational",IF(OR(B62="Cluster",B62="Supporting"),INDEX(Attributes!$D$3:$D$52,Q62)&amp;"",""))</f>
        <v/>
      </c>
      <c r="K62">
        <f>IF(B62="","",IF(B62="Pillar","Pillar guide (entity hub)",IF(B62="Cluster","Hub page for this attribute",IF(INDEX(Values!$C$3:$C$502,P62)="Yes","Entity page (profile of the sub-entity)",IFERROR(INDEX(Lists!$B$3:$B$6,MATCH(J62,Lists!$A$3:$A$6,0)),"Article")))))</f>
        <v/>
      </c>
      <c r="L62">
        <f>IF(B62="Pillar",Entity!$B$6&amp;"",IF(B62="Cluster",INDEX(Attributes!$I$3:$I$52,Q62)&amp;"",IF(B62="Supporting",INDEX(Values!$F$3:$F$502,P62)&amp;"","")))</f>
        <v/>
      </c>
      <c r="M62">
        <f>IF(B62="","",IF(L62&lt;&gt;"","Covered","Gap"))</f>
        <v/>
      </c>
      <c r="N62">
        <f>IF(B62="Pillar",SUMIFS(Values!$E$3:$E$502,Values!$I$3:$I$502,"Yes"),IF(B62="Cluster",SUMIFS(Values!$E$3:$E$502,Values!$A$3:$A$502,SUBSTITUTE(SUBSTITUTE(C62,"?","~?"),"*","~*"),Values!$I$3:$I$502,"Yes"),IF(B62="Supporting",N(INDEX(Values!$E$3:$E$502,P62)),"")))</f>
        <v/>
      </c>
      <c r="O62">
        <f>IF(B62="","",IF(B62="Pillar",100,IF(B62="Cluster",N(INDEX(Attributes!$E$3:$E$52,Q62))*25+IF(M62="Gap",10,0),N(INDEX(Attributes!$E$3:$E$52,Q62))*20+MIN(20,ROUND(LOG10(N(N62)+1)*5,0))+IF(M62="Gap",10,0)+IF(INDEX(Values!$D$3:$D$502,P62)="Yes",5,0))))</f>
        <v/>
      </c>
      <c r="P62">
        <f>IF(B62="Supporting",MATCH(A62-1-Entity!$B$14,Values!$J$3:$J$502,0),"")</f>
        <v/>
      </c>
      <c r="Q62">
        <f>IF(C62="","",MATCH(C62,Attributes!$A$3:$A$52,0))</f>
        <v/>
      </c>
      <c r="R62">
        <f>IF(B62="Pillar",SUBSTITUTE(Entity!$B$7,"{entity}",LOWER(Entity!$B$3)),IF(B62="Cluster",IF(INDEX(Attributes!$G$3:$G$52,Q62)&lt;&gt;"",INDEX(Attributes!$G$3:$G$52,Q62),SUBSTITUTE(SUBSTITUTE(Entity!$B$8,"{entity}",LOWER(Entity!$B$3)),"{attribute}",LOWER(C62))),IF(B62="Supporting",SUBSTITUTE(SUBSTITUTE(SUBSTITUTE(IF(INDEX(Attributes!$H$3:$H$52,Q62)&lt;&gt;"",INDEX(Attributes!$H$3:$H$52,Q62),Entity!$B$9),"{entity}",LOWER(Entity!$B$3)),"{value}",D62),"{attribute}",LOWER(C62)),"")))</f>
        <v/>
      </c>
    </row>
    <row r="63">
      <c r="A63">
        <f>ROW()-2</f>
        <v/>
      </c>
      <c r="B63">
        <f>IF(A63=1,"Pillar",IF(A63&lt;=1+Entity!$B$14,"Cluster",IF(A63&lt;=1+Entity!$B$14+Entity!$B$15,"Supporting","")))</f>
        <v/>
      </c>
      <c r="C63">
        <f>IF(B63="Cluster",INDEX(Attributes!$A$3:$A$52,MATCH(A63-1,Attributes!$P$3:$P$52,0)),IF(B63="Supporting",INDEX(Values!$A$3:$A$502,P63),""))</f>
        <v/>
      </c>
      <c r="D63">
        <f>IF(B63="Supporting",INDEX(Values!$B$3:$B$502,P63),"")</f>
        <v/>
      </c>
      <c r="E63">
        <f>IF(R63="","",UPPER(LEFT(R63,1))&amp;MID(R63,2,500))</f>
        <v/>
      </c>
      <c r="F63">
        <f>IF(E63="","",LOWER(SUBSTITUTE(SUBSTITUTE(SUBSTITUTE(SUBSTITUTE(SUBSTITUTE(SUBSTITUTE(SUBSTITUTE(TRIM(E63),":",""),",",""),"'",""),"&amp;","and"),"£",""),"  "," ")," ","-")))</f>
        <v/>
      </c>
      <c r="G63">
        <f>IF(B63="Cluster",$E$3,IF(B63="Supporting",INDEX($E$3:$E$553,MATCH(C63,$C$3:$C$553,0)),""))</f>
        <v/>
      </c>
      <c r="H63">
        <f>IF(B63="Supporting",IFERROR(INDEX($E$3:$E$553,1+Entity!$B$14+INDEX(Values!$O$3:$O$502,P63)),""),IF(B63="Cluster",IF(Entity!$B$14&lt;2,"",INDEX($E$3:$E$553,IF(A63-1=Entity!$B$14,2,A63+1))),""))</f>
        <v/>
      </c>
      <c r="I63">
        <f>IF(B63="Pillar",Entity!$B$14&amp;" cluster pages",IF(B63="Cluster",(COUNTIF($C$3:$C$553,SUBSTITUTE(SUBSTITUTE(C63,"?","~?"),"*","~*"))-1)&amp;" supporting pages",""))</f>
        <v/>
      </c>
      <c r="J63">
        <f>IF(B63="Pillar","Informational",IF(OR(B63="Cluster",B63="Supporting"),INDEX(Attributes!$D$3:$D$52,Q63)&amp;"",""))</f>
        <v/>
      </c>
      <c r="K63">
        <f>IF(B63="","",IF(B63="Pillar","Pillar guide (entity hub)",IF(B63="Cluster","Hub page for this attribute",IF(INDEX(Values!$C$3:$C$502,P63)="Yes","Entity page (profile of the sub-entity)",IFERROR(INDEX(Lists!$B$3:$B$6,MATCH(J63,Lists!$A$3:$A$6,0)),"Article")))))</f>
        <v/>
      </c>
      <c r="L63">
        <f>IF(B63="Pillar",Entity!$B$6&amp;"",IF(B63="Cluster",INDEX(Attributes!$I$3:$I$52,Q63)&amp;"",IF(B63="Supporting",INDEX(Values!$F$3:$F$502,P63)&amp;"","")))</f>
        <v/>
      </c>
      <c r="M63">
        <f>IF(B63="","",IF(L63&lt;&gt;"","Covered","Gap"))</f>
        <v/>
      </c>
      <c r="N63">
        <f>IF(B63="Pillar",SUMIFS(Values!$E$3:$E$502,Values!$I$3:$I$502,"Yes"),IF(B63="Cluster",SUMIFS(Values!$E$3:$E$502,Values!$A$3:$A$502,SUBSTITUTE(SUBSTITUTE(C63,"?","~?"),"*","~*"),Values!$I$3:$I$502,"Yes"),IF(B63="Supporting",N(INDEX(Values!$E$3:$E$502,P63)),"")))</f>
        <v/>
      </c>
      <c r="O63">
        <f>IF(B63="","",IF(B63="Pillar",100,IF(B63="Cluster",N(INDEX(Attributes!$E$3:$E$52,Q63))*25+IF(M63="Gap",10,0),N(INDEX(Attributes!$E$3:$E$52,Q63))*20+MIN(20,ROUND(LOG10(N(N63)+1)*5,0))+IF(M63="Gap",10,0)+IF(INDEX(Values!$D$3:$D$502,P63)="Yes",5,0))))</f>
        <v/>
      </c>
      <c r="P63">
        <f>IF(B63="Supporting",MATCH(A63-1-Entity!$B$14,Values!$J$3:$J$502,0),"")</f>
        <v/>
      </c>
      <c r="Q63">
        <f>IF(C63="","",MATCH(C63,Attributes!$A$3:$A$52,0))</f>
        <v/>
      </c>
      <c r="R63">
        <f>IF(B63="Pillar",SUBSTITUTE(Entity!$B$7,"{entity}",LOWER(Entity!$B$3)),IF(B63="Cluster",IF(INDEX(Attributes!$G$3:$G$52,Q63)&lt;&gt;"",INDEX(Attributes!$G$3:$G$52,Q63),SUBSTITUTE(SUBSTITUTE(Entity!$B$8,"{entity}",LOWER(Entity!$B$3)),"{attribute}",LOWER(C63))),IF(B63="Supporting",SUBSTITUTE(SUBSTITUTE(SUBSTITUTE(IF(INDEX(Attributes!$H$3:$H$52,Q63)&lt;&gt;"",INDEX(Attributes!$H$3:$H$52,Q63),Entity!$B$9),"{entity}",LOWER(Entity!$B$3)),"{value}",D63),"{attribute}",LOWER(C63)),"")))</f>
        <v/>
      </c>
    </row>
    <row r="64">
      <c r="A64">
        <f>ROW()-2</f>
        <v/>
      </c>
      <c r="B64">
        <f>IF(A64=1,"Pillar",IF(A64&lt;=1+Entity!$B$14,"Cluster",IF(A64&lt;=1+Entity!$B$14+Entity!$B$15,"Supporting","")))</f>
        <v/>
      </c>
      <c r="C64">
        <f>IF(B64="Cluster",INDEX(Attributes!$A$3:$A$52,MATCH(A64-1,Attributes!$P$3:$P$52,0)),IF(B64="Supporting",INDEX(Values!$A$3:$A$502,P64),""))</f>
        <v/>
      </c>
      <c r="D64">
        <f>IF(B64="Supporting",INDEX(Values!$B$3:$B$502,P64),"")</f>
        <v/>
      </c>
      <c r="E64">
        <f>IF(R64="","",UPPER(LEFT(R64,1))&amp;MID(R64,2,500))</f>
        <v/>
      </c>
      <c r="F64">
        <f>IF(E64="","",LOWER(SUBSTITUTE(SUBSTITUTE(SUBSTITUTE(SUBSTITUTE(SUBSTITUTE(SUBSTITUTE(SUBSTITUTE(TRIM(E64),":",""),",",""),"'",""),"&amp;","and"),"£",""),"  "," ")," ","-")))</f>
        <v/>
      </c>
      <c r="G64">
        <f>IF(B64="Cluster",$E$3,IF(B64="Supporting",INDEX($E$3:$E$553,MATCH(C64,$C$3:$C$553,0)),""))</f>
        <v/>
      </c>
      <c r="H64">
        <f>IF(B64="Supporting",IFERROR(INDEX($E$3:$E$553,1+Entity!$B$14+INDEX(Values!$O$3:$O$502,P64)),""),IF(B64="Cluster",IF(Entity!$B$14&lt;2,"",INDEX($E$3:$E$553,IF(A64-1=Entity!$B$14,2,A64+1))),""))</f>
        <v/>
      </c>
      <c r="I64">
        <f>IF(B64="Pillar",Entity!$B$14&amp;" cluster pages",IF(B64="Cluster",(COUNTIF($C$3:$C$553,SUBSTITUTE(SUBSTITUTE(C64,"?","~?"),"*","~*"))-1)&amp;" supporting pages",""))</f>
        <v/>
      </c>
      <c r="J64">
        <f>IF(B64="Pillar","Informational",IF(OR(B64="Cluster",B64="Supporting"),INDEX(Attributes!$D$3:$D$52,Q64)&amp;"",""))</f>
        <v/>
      </c>
      <c r="K64">
        <f>IF(B64="","",IF(B64="Pillar","Pillar guide (entity hub)",IF(B64="Cluster","Hub page for this attribute",IF(INDEX(Values!$C$3:$C$502,P64)="Yes","Entity page (profile of the sub-entity)",IFERROR(INDEX(Lists!$B$3:$B$6,MATCH(J64,Lists!$A$3:$A$6,0)),"Article")))))</f>
        <v/>
      </c>
      <c r="L64">
        <f>IF(B64="Pillar",Entity!$B$6&amp;"",IF(B64="Cluster",INDEX(Attributes!$I$3:$I$52,Q64)&amp;"",IF(B64="Supporting",INDEX(Values!$F$3:$F$502,P64)&amp;"","")))</f>
        <v/>
      </c>
      <c r="M64">
        <f>IF(B64="","",IF(L64&lt;&gt;"","Covered","Gap"))</f>
        <v/>
      </c>
      <c r="N64">
        <f>IF(B64="Pillar",SUMIFS(Values!$E$3:$E$502,Values!$I$3:$I$502,"Yes"),IF(B64="Cluster",SUMIFS(Values!$E$3:$E$502,Values!$A$3:$A$502,SUBSTITUTE(SUBSTITUTE(C64,"?","~?"),"*","~*"),Values!$I$3:$I$502,"Yes"),IF(B64="Supporting",N(INDEX(Values!$E$3:$E$502,P64)),"")))</f>
        <v/>
      </c>
      <c r="O64">
        <f>IF(B64="","",IF(B64="Pillar",100,IF(B64="Cluster",N(INDEX(Attributes!$E$3:$E$52,Q64))*25+IF(M64="Gap",10,0),N(INDEX(Attributes!$E$3:$E$52,Q64))*20+MIN(20,ROUND(LOG10(N(N64)+1)*5,0))+IF(M64="Gap",10,0)+IF(INDEX(Values!$D$3:$D$502,P64)="Yes",5,0))))</f>
        <v/>
      </c>
      <c r="P64">
        <f>IF(B64="Supporting",MATCH(A64-1-Entity!$B$14,Values!$J$3:$J$502,0),"")</f>
        <v/>
      </c>
      <c r="Q64">
        <f>IF(C64="","",MATCH(C64,Attributes!$A$3:$A$52,0))</f>
        <v/>
      </c>
      <c r="R64">
        <f>IF(B64="Pillar",SUBSTITUTE(Entity!$B$7,"{entity}",LOWER(Entity!$B$3)),IF(B64="Cluster",IF(INDEX(Attributes!$G$3:$G$52,Q64)&lt;&gt;"",INDEX(Attributes!$G$3:$G$52,Q64),SUBSTITUTE(SUBSTITUTE(Entity!$B$8,"{entity}",LOWER(Entity!$B$3)),"{attribute}",LOWER(C64))),IF(B64="Supporting",SUBSTITUTE(SUBSTITUTE(SUBSTITUTE(IF(INDEX(Attributes!$H$3:$H$52,Q64)&lt;&gt;"",INDEX(Attributes!$H$3:$H$52,Q64),Entity!$B$9),"{entity}",LOWER(Entity!$B$3)),"{value}",D64),"{attribute}",LOWER(C64)),"")))</f>
        <v/>
      </c>
    </row>
    <row r="65">
      <c r="A65">
        <f>ROW()-2</f>
        <v/>
      </c>
      <c r="B65">
        <f>IF(A65=1,"Pillar",IF(A65&lt;=1+Entity!$B$14,"Cluster",IF(A65&lt;=1+Entity!$B$14+Entity!$B$15,"Supporting","")))</f>
        <v/>
      </c>
      <c r="C65">
        <f>IF(B65="Cluster",INDEX(Attributes!$A$3:$A$52,MATCH(A65-1,Attributes!$P$3:$P$52,0)),IF(B65="Supporting",INDEX(Values!$A$3:$A$502,P65),""))</f>
        <v/>
      </c>
      <c r="D65">
        <f>IF(B65="Supporting",INDEX(Values!$B$3:$B$502,P65),"")</f>
        <v/>
      </c>
      <c r="E65">
        <f>IF(R65="","",UPPER(LEFT(R65,1))&amp;MID(R65,2,500))</f>
        <v/>
      </c>
      <c r="F65">
        <f>IF(E65="","",LOWER(SUBSTITUTE(SUBSTITUTE(SUBSTITUTE(SUBSTITUTE(SUBSTITUTE(SUBSTITUTE(SUBSTITUTE(TRIM(E65),":",""),",",""),"'",""),"&amp;","and"),"£",""),"  "," ")," ","-")))</f>
        <v/>
      </c>
      <c r="G65">
        <f>IF(B65="Cluster",$E$3,IF(B65="Supporting",INDEX($E$3:$E$553,MATCH(C65,$C$3:$C$553,0)),""))</f>
        <v/>
      </c>
      <c r="H65">
        <f>IF(B65="Supporting",IFERROR(INDEX($E$3:$E$553,1+Entity!$B$14+INDEX(Values!$O$3:$O$502,P65)),""),IF(B65="Cluster",IF(Entity!$B$14&lt;2,"",INDEX($E$3:$E$553,IF(A65-1=Entity!$B$14,2,A65+1))),""))</f>
        <v/>
      </c>
      <c r="I65">
        <f>IF(B65="Pillar",Entity!$B$14&amp;" cluster pages",IF(B65="Cluster",(COUNTIF($C$3:$C$553,SUBSTITUTE(SUBSTITUTE(C65,"?","~?"),"*","~*"))-1)&amp;" supporting pages",""))</f>
        <v/>
      </c>
      <c r="J65">
        <f>IF(B65="Pillar","Informational",IF(OR(B65="Cluster",B65="Supporting"),INDEX(Attributes!$D$3:$D$52,Q65)&amp;"",""))</f>
        <v/>
      </c>
      <c r="K65">
        <f>IF(B65="","",IF(B65="Pillar","Pillar guide (entity hub)",IF(B65="Cluster","Hub page for this attribute",IF(INDEX(Values!$C$3:$C$502,P65)="Yes","Entity page (profile of the sub-entity)",IFERROR(INDEX(Lists!$B$3:$B$6,MATCH(J65,Lists!$A$3:$A$6,0)),"Article")))))</f>
        <v/>
      </c>
      <c r="L65">
        <f>IF(B65="Pillar",Entity!$B$6&amp;"",IF(B65="Cluster",INDEX(Attributes!$I$3:$I$52,Q65)&amp;"",IF(B65="Supporting",INDEX(Values!$F$3:$F$502,P65)&amp;"","")))</f>
        <v/>
      </c>
      <c r="M65">
        <f>IF(B65="","",IF(L65&lt;&gt;"","Covered","Gap"))</f>
        <v/>
      </c>
      <c r="N65">
        <f>IF(B65="Pillar",SUMIFS(Values!$E$3:$E$502,Values!$I$3:$I$502,"Yes"),IF(B65="Cluster",SUMIFS(Values!$E$3:$E$502,Values!$A$3:$A$502,SUBSTITUTE(SUBSTITUTE(C65,"?","~?"),"*","~*"),Values!$I$3:$I$502,"Yes"),IF(B65="Supporting",N(INDEX(Values!$E$3:$E$502,P65)),"")))</f>
        <v/>
      </c>
      <c r="O65">
        <f>IF(B65="","",IF(B65="Pillar",100,IF(B65="Cluster",N(INDEX(Attributes!$E$3:$E$52,Q65))*25+IF(M65="Gap",10,0),N(INDEX(Attributes!$E$3:$E$52,Q65))*20+MIN(20,ROUND(LOG10(N(N65)+1)*5,0))+IF(M65="Gap",10,0)+IF(INDEX(Values!$D$3:$D$502,P65)="Yes",5,0))))</f>
        <v/>
      </c>
      <c r="P65">
        <f>IF(B65="Supporting",MATCH(A65-1-Entity!$B$14,Values!$J$3:$J$502,0),"")</f>
        <v/>
      </c>
      <c r="Q65">
        <f>IF(C65="","",MATCH(C65,Attributes!$A$3:$A$52,0))</f>
        <v/>
      </c>
      <c r="R65">
        <f>IF(B65="Pillar",SUBSTITUTE(Entity!$B$7,"{entity}",LOWER(Entity!$B$3)),IF(B65="Cluster",IF(INDEX(Attributes!$G$3:$G$52,Q65)&lt;&gt;"",INDEX(Attributes!$G$3:$G$52,Q65),SUBSTITUTE(SUBSTITUTE(Entity!$B$8,"{entity}",LOWER(Entity!$B$3)),"{attribute}",LOWER(C65))),IF(B65="Supporting",SUBSTITUTE(SUBSTITUTE(SUBSTITUTE(IF(INDEX(Attributes!$H$3:$H$52,Q65)&lt;&gt;"",INDEX(Attributes!$H$3:$H$52,Q65),Entity!$B$9),"{entity}",LOWER(Entity!$B$3)),"{value}",D65),"{attribute}",LOWER(C65)),"")))</f>
        <v/>
      </c>
    </row>
    <row r="66">
      <c r="A66">
        <f>ROW()-2</f>
        <v/>
      </c>
      <c r="B66">
        <f>IF(A66=1,"Pillar",IF(A66&lt;=1+Entity!$B$14,"Cluster",IF(A66&lt;=1+Entity!$B$14+Entity!$B$15,"Supporting","")))</f>
        <v/>
      </c>
      <c r="C66">
        <f>IF(B66="Cluster",INDEX(Attributes!$A$3:$A$52,MATCH(A66-1,Attributes!$P$3:$P$52,0)),IF(B66="Supporting",INDEX(Values!$A$3:$A$502,P66),""))</f>
        <v/>
      </c>
      <c r="D66">
        <f>IF(B66="Supporting",INDEX(Values!$B$3:$B$502,P66),"")</f>
        <v/>
      </c>
      <c r="E66">
        <f>IF(R66="","",UPPER(LEFT(R66,1))&amp;MID(R66,2,500))</f>
        <v/>
      </c>
      <c r="F66">
        <f>IF(E66="","",LOWER(SUBSTITUTE(SUBSTITUTE(SUBSTITUTE(SUBSTITUTE(SUBSTITUTE(SUBSTITUTE(SUBSTITUTE(TRIM(E66),":",""),",",""),"'",""),"&amp;","and"),"£",""),"  "," ")," ","-")))</f>
        <v/>
      </c>
      <c r="G66">
        <f>IF(B66="Cluster",$E$3,IF(B66="Supporting",INDEX($E$3:$E$553,MATCH(C66,$C$3:$C$553,0)),""))</f>
        <v/>
      </c>
      <c r="H66">
        <f>IF(B66="Supporting",IFERROR(INDEX($E$3:$E$553,1+Entity!$B$14+INDEX(Values!$O$3:$O$502,P66)),""),IF(B66="Cluster",IF(Entity!$B$14&lt;2,"",INDEX($E$3:$E$553,IF(A66-1=Entity!$B$14,2,A66+1))),""))</f>
        <v/>
      </c>
      <c r="I66">
        <f>IF(B66="Pillar",Entity!$B$14&amp;" cluster pages",IF(B66="Cluster",(COUNTIF($C$3:$C$553,SUBSTITUTE(SUBSTITUTE(C66,"?","~?"),"*","~*"))-1)&amp;" supporting pages",""))</f>
        <v/>
      </c>
      <c r="J66">
        <f>IF(B66="Pillar","Informational",IF(OR(B66="Cluster",B66="Supporting"),INDEX(Attributes!$D$3:$D$52,Q66)&amp;"",""))</f>
        <v/>
      </c>
      <c r="K66">
        <f>IF(B66="","",IF(B66="Pillar","Pillar guide (entity hub)",IF(B66="Cluster","Hub page for this attribute",IF(INDEX(Values!$C$3:$C$502,P66)="Yes","Entity page (profile of the sub-entity)",IFERROR(INDEX(Lists!$B$3:$B$6,MATCH(J66,Lists!$A$3:$A$6,0)),"Article")))))</f>
        <v/>
      </c>
      <c r="L66">
        <f>IF(B66="Pillar",Entity!$B$6&amp;"",IF(B66="Cluster",INDEX(Attributes!$I$3:$I$52,Q66)&amp;"",IF(B66="Supporting",INDEX(Values!$F$3:$F$502,P66)&amp;"","")))</f>
        <v/>
      </c>
      <c r="M66">
        <f>IF(B66="","",IF(L66&lt;&gt;"","Covered","Gap"))</f>
        <v/>
      </c>
      <c r="N66">
        <f>IF(B66="Pillar",SUMIFS(Values!$E$3:$E$502,Values!$I$3:$I$502,"Yes"),IF(B66="Cluster",SUMIFS(Values!$E$3:$E$502,Values!$A$3:$A$502,SUBSTITUTE(SUBSTITUTE(C66,"?","~?"),"*","~*"),Values!$I$3:$I$502,"Yes"),IF(B66="Supporting",N(INDEX(Values!$E$3:$E$502,P66)),"")))</f>
        <v/>
      </c>
      <c r="O66">
        <f>IF(B66="","",IF(B66="Pillar",100,IF(B66="Cluster",N(INDEX(Attributes!$E$3:$E$52,Q66))*25+IF(M66="Gap",10,0),N(INDEX(Attributes!$E$3:$E$52,Q66))*20+MIN(20,ROUND(LOG10(N(N66)+1)*5,0))+IF(M66="Gap",10,0)+IF(INDEX(Values!$D$3:$D$502,P66)="Yes",5,0))))</f>
        <v/>
      </c>
      <c r="P66">
        <f>IF(B66="Supporting",MATCH(A66-1-Entity!$B$14,Values!$J$3:$J$502,0),"")</f>
        <v/>
      </c>
      <c r="Q66">
        <f>IF(C66="","",MATCH(C66,Attributes!$A$3:$A$52,0))</f>
        <v/>
      </c>
      <c r="R66">
        <f>IF(B66="Pillar",SUBSTITUTE(Entity!$B$7,"{entity}",LOWER(Entity!$B$3)),IF(B66="Cluster",IF(INDEX(Attributes!$G$3:$G$52,Q66)&lt;&gt;"",INDEX(Attributes!$G$3:$G$52,Q66),SUBSTITUTE(SUBSTITUTE(Entity!$B$8,"{entity}",LOWER(Entity!$B$3)),"{attribute}",LOWER(C66))),IF(B66="Supporting",SUBSTITUTE(SUBSTITUTE(SUBSTITUTE(IF(INDEX(Attributes!$H$3:$H$52,Q66)&lt;&gt;"",INDEX(Attributes!$H$3:$H$52,Q66),Entity!$B$9),"{entity}",LOWER(Entity!$B$3)),"{value}",D66),"{attribute}",LOWER(C66)),"")))</f>
        <v/>
      </c>
    </row>
    <row r="67">
      <c r="A67">
        <f>ROW()-2</f>
        <v/>
      </c>
      <c r="B67">
        <f>IF(A67=1,"Pillar",IF(A67&lt;=1+Entity!$B$14,"Cluster",IF(A67&lt;=1+Entity!$B$14+Entity!$B$15,"Supporting","")))</f>
        <v/>
      </c>
      <c r="C67">
        <f>IF(B67="Cluster",INDEX(Attributes!$A$3:$A$52,MATCH(A67-1,Attributes!$P$3:$P$52,0)),IF(B67="Supporting",INDEX(Values!$A$3:$A$502,P67),""))</f>
        <v/>
      </c>
      <c r="D67">
        <f>IF(B67="Supporting",INDEX(Values!$B$3:$B$502,P67),"")</f>
        <v/>
      </c>
      <c r="E67">
        <f>IF(R67="","",UPPER(LEFT(R67,1))&amp;MID(R67,2,500))</f>
        <v/>
      </c>
      <c r="F67">
        <f>IF(E67="","",LOWER(SUBSTITUTE(SUBSTITUTE(SUBSTITUTE(SUBSTITUTE(SUBSTITUTE(SUBSTITUTE(SUBSTITUTE(TRIM(E67),":",""),",",""),"'",""),"&amp;","and"),"£",""),"  "," ")," ","-")))</f>
        <v/>
      </c>
      <c r="G67">
        <f>IF(B67="Cluster",$E$3,IF(B67="Supporting",INDEX($E$3:$E$553,MATCH(C67,$C$3:$C$553,0)),""))</f>
        <v/>
      </c>
      <c r="H67">
        <f>IF(B67="Supporting",IFERROR(INDEX($E$3:$E$553,1+Entity!$B$14+INDEX(Values!$O$3:$O$502,P67)),""),IF(B67="Cluster",IF(Entity!$B$14&lt;2,"",INDEX($E$3:$E$553,IF(A67-1=Entity!$B$14,2,A67+1))),""))</f>
        <v/>
      </c>
      <c r="I67">
        <f>IF(B67="Pillar",Entity!$B$14&amp;" cluster pages",IF(B67="Cluster",(COUNTIF($C$3:$C$553,SUBSTITUTE(SUBSTITUTE(C67,"?","~?"),"*","~*"))-1)&amp;" supporting pages",""))</f>
        <v/>
      </c>
      <c r="J67">
        <f>IF(B67="Pillar","Informational",IF(OR(B67="Cluster",B67="Supporting"),INDEX(Attributes!$D$3:$D$52,Q67)&amp;"",""))</f>
        <v/>
      </c>
      <c r="K67">
        <f>IF(B67="","",IF(B67="Pillar","Pillar guide (entity hub)",IF(B67="Cluster","Hub page for this attribute",IF(INDEX(Values!$C$3:$C$502,P67)="Yes","Entity page (profile of the sub-entity)",IFERROR(INDEX(Lists!$B$3:$B$6,MATCH(J67,Lists!$A$3:$A$6,0)),"Article")))))</f>
        <v/>
      </c>
      <c r="L67">
        <f>IF(B67="Pillar",Entity!$B$6&amp;"",IF(B67="Cluster",INDEX(Attributes!$I$3:$I$52,Q67)&amp;"",IF(B67="Supporting",INDEX(Values!$F$3:$F$502,P67)&amp;"","")))</f>
        <v/>
      </c>
      <c r="M67">
        <f>IF(B67="","",IF(L67&lt;&gt;"","Covered","Gap"))</f>
        <v/>
      </c>
      <c r="N67">
        <f>IF(B67="Pillar",SUMIFS(Values!$E$3:$E$502,Values!$I$3:$I$502,"Yes"),IF(B67="Cluster",SUMIFS(Values!$E$3:$E$502,Values!$A$3:$A$502,SUBSTITUTE(SUBSTITUTE(C67,"?","~?"),"*","~*"),Values!$I$3:$I$502,"Yes"),IF(B67="Supporting",N(INDEX(Values!$E$3:$E$502,P67)),"")))</f>
        <v/>
      </c>
      <c r="O67">
        <f>IF(B67="","",IF(B67="Pillar",100,IF(B67="Cluster",N(INDEX(Attributes!$E$3:$E$52,Q67))*25+IF(M67="Gap",10,0),N(INDEX(Attributes!$E$3:$E$52,Q67))*20+MIN(20,ROUND(LOG10(N(N67)+1)*5,0))+IF(M67="Gap",10,0)+IF(INDEX(Values!$D$3:$D$502,P67)="Yes",5,0))))</f>
        <v/>
      </c>
      <c r="P67">
        <f>IF(B67="Supporting",MATCH(A67-1-Entity!$B$14,Values!$J$3:$J$502,0),"")</f>
        <v/>
      </c>
      <c r="Q67">
        <f>IF(C67="","",MATCH(C67,Attributes!$A$3:$A$52,0))</f>
        <v/>
      </c>
      <c r="R67">
        <f>IF(B67="Pillar",SUBSTITUTE(Entity!$B$7,"{entity}",LOWER(Entity!$B$3)),IF(B67="Cluster",IF(INDEX(Attributes!$G$3:$G$52,Q67)&lt;&gt;"",INDEX(Attributes!$G$3:$G$52,Q67),SUBSTITUTE(SUBSTITUTE(Entity!$B$8,"{entity}",LOWER(Entity!$B$3)),"{attribute}",LOWER(C67))),IF(B67="Supporting",SUBSTITUTE(SUBSTITUTE(SUBSTITUTE(IF(INDEX(Attributes!$H$3:$H$52,Q67)&lt;&gt;"",INDEX(Attributes!$H$3:$H$52,Q67),Entity!$B$9),"{entity}",LOWER(Entity!$B$3)),"{value}",D67),"{attribute}",LOWER(C67)),"")))</f>
        <v/>
      </c>
    </row>
    <row r="68">
      <c r="A68">
        <f>ROW()-2</f>
        <v/>
      </c>
      <c r="B68">
        <f>IF(A68=1,"Pillar",IF(A68&lt;=1+Entity!$B$14,"Cluster",IF(A68&lt;=1+Entity!$B$14+Entity!$B$15,"Supporting","")))</f>
        <v/>
      </c>
      <c r="C68">
        <f>IF(B68="Cluster",INDEX(Attributes!$A$3:$A$52,MATCH(A68-1,Attributes!$P$3:$P$52,0)),IF(B68="Supporting",INDEX(Values!$A$3:$A$502,P68),""))</f>
        <v/>
      </c>
      <c r="D68">
        <f>IF(B68="Supporting",INDEX(Values!$B$3:$B$502,P68),"")</f>
        <v/>
      </c>
      <c r="E68">
        <f>IF(R68="","",UPPER(LEFT(R68,1))&amp;MID(R68,2,500))</f>
        <v/>
      </c>
      <c r="F68">
        <f>IF(E68="","",LOWER(SUBSTITUTE(SUBSTITUTE(SUBSTITUTE(SUBSTITUTE(SUBSTITUTE(SUBSTITUTE(SUBSTITUTE(TRIM(E68),":",""),",",""),"'",""),"&amp;","and"),"£",""),"  "," ")," ","-")))</f>
        <v/>
      </c>
      <c r="G68">
        <f>IF(B68="Cluster",$E$3,IF(B68="Supporting",INDEX($E$3:$E$553,MATCH(C68,$C$3:$C$553,0)),""))</f>
        <v/>
      </c>
      <c r="H68">
        <f>IF(B68="Supporting",IFERROR(INDEX($E$3:$E$553,1+Entity!$B$14+INDEX(Values!$O$3:$O$502,P68)),""),IF(B68="Cluster",IF(Entity!$B$14&lt;2,"",INDEX($E$3:$E$553,IF(A68-1=Entity!$B$14,2,A68+1))),""))</f>
        <v/>
      </c>
      <c r="I68">
        <f>IF(B68="Pillar",Entity!$B$14&amp;" cluster pages",IF(B68="Cluster",(COUNTIF($C$3:$C$553,SUBSTITUTE(SUBSTITUTE(C68,"?","~?"),"*","~*"))-1)&amp;" supporting pages",""))</f>
        <v/>
      </c>
      <c r="J68">
        <f>IF(B68="Pillar","Informational",IF(OR(B68="Cluster",B68="Supporting"),INDEX(Attributes!$D$3:$D$52,Q68)&amp;"",""))</f>
        <v/>
      </c>
      <c r="K68">
        <f>IF(B68="","",IF(B68="Pillar","Pillar guide (entity hub)",IF(B68="Cluster","Hub page for this attribute",IF(INDEX(Values!$C$3:$C$502,P68)="Yes","Entity page (profile of the sub-entity)",IFERROR(INDEX(Lists!$B$3:$B$6,MATCH(J68,Lists!$A$3:$A$6,0)),"Article")))))</f>
        <v/>
      </c>
      <c r="L68">
        <f>IF(B68="Pillar",Entity!$B$6&amp;"",IF(B68="Cluster",INDEX(Attributes!$I$3:$I$52,Q68)&amp;"",IF(B68="Supporting",INDEX(Values!$F$3:$F$502,P68)&amp;"","")))</f>
        <v/>
      </c>
      <c r="M68">
        <f>IF(B68="","",IF(L68&lt;&gt;"","Covered","Gap"))</f>
        <v/>
      </c>
      <c r="N68">
        <f>IF(B68="Pillar",SUMIFS(Values!$E$3:$E$502,Values!$I$3:$I$502,"Yes"),IF(B68="Cluster",SUMIFS(Values!$E$3:$E$502,Values!$A$3:$A$502,SUBSTITUTE(SUBSTITUTE(C68,"?","~?"),"*","~*"),Values!$I$3:$I$502,"Yes"),IF(B68="Supporting",N(INDEX(Values!$E$3:$E$502,P68)),"")))</f>
        <v/>
      </c>
      <c r="O68">
        <f>IF(B68="","",IF(B68="Pillar",100,IF(B68="Cluster",N(INDEX(Attributes!$E$3:$E$52,Q68))*25+IF(M68="Gap",10,0),N(INDEX(Attributes!$E$3:$E$52,Q68))*20+MIN(20,ROUND(LOG10(N(N68)+1)*5,0))+IF(M68="Gap",10,0)+IF(INDEX(Values!$D$3:$D$502,P68)="Yes",5,0))))</f>
        <v/>
      </c>
      <c r="P68">
        <f>IF(B68="Supporting",MATCH(A68-1-Entity!$B$14,Values!$J$3:$J$502,0),"")</f>
        <v/>
      </c>
      <c r="Q68">
        <f>IF(C68="","",MATCH(C68,Attributes!$A$3:$A$52,0))</f>
        <v/>
      </c>
      <c r="R68">
        <f>IF(B68="Pillar",SUBSTITUTE(Entity!$B$7,"{entity}",LOWER(Entity!$B$3)),IF(B68="Cluster",IF(INDEX(Attributes!$G$3:$G$52,Q68)&lt;&gt;"",INDEX(Attributes!$G$3:$G$52,Q68),SUBSTITUTE(SUBSTITUTE(Entity!$B$8,"{entity}",LOWER(Entity!$B$3)),"{attribute}",LOWER(C68))),IF(B68="Supporting",SUBSTITUTE(SUBSTITUTE(SUBSTITUTE(IF(INDEX(Attributes!$H$3:$H$52,Q68)&lt;&gt;"",INDEX(Attributes!$H$3:$H$52,Q68),Entity!$B$9),"{entity}",LOWER(Entity!$B$3)),"{value}",D68),"{attribute}",LOWER(C68)),"")))</f>
        <v/>
      </c>
    </row>
    <row r="69">
      <c r="A69">
        <f>ROW()-2</f>
        <v/>
      </c>
      <c r="B69">
        <f>IF(A69=1,"Pillar",IF(A69&lt;=1+Entity!$B$14,"Cluster",IF(A69&lt;=1+Entity!$B$14+Entity!$B$15,"Supporting","")))</f>
        <v/>
      </c>
      <c r="C69">
        <f>IF(B69="Cluster",INDEX(Attributes!$A$3:$A$52,MATCH(A69-1,Attributes!$P$3:$P$52,0)),IF(B69="Supporting",INDEX(Values!$A$3:$A$502,P69),""))</f>
        <v/>
      </c>
      <c r="D69">
        <f>IF(B69="Supporting",INDEX(Values!$B$3:$B$502,P69),"")</f>
        <v/>
      </c>
      <c r="E69">
        <f>IF(R69="","",UPPER(LEFT(R69,1))&amp;MID(R69,2,500))</f>
        <v/>
      </c>
      <c r="F69">
        <f>IF(E69="","",LOWER(SUBSTITUTE(SUBSTITUTE(SUBSTITUTE(SUBSTITUTE(SUBSTITUTE(SUBSTITUTE(SUBSTITUTE(TRIM(E69),":",""),",",""),"'",""),"&amp;","and"),"£",""),"  "," ")," ","-")))</f>
        <v/>
      </c>
      <c r="G69">
        <f>IF(B69="Cluster",$E$3,IF(B69="Supporting",INDEX($E$3:$E$553,MATCH(C69,$C$3:$C$553,0)),""))</f>
        <v/>
      </c>
      <c r="H69">
        <f>IF(B69="Supporting",IFERROR(INDEX($E$3:$E$553,1+Entity!$B$14+INDEX(Values!$O$3:$O$502,P69)),""),IF(B69="Cluster",IF(Entity!$B$14&lt;2,"",INDEX($E$3:$E$553,IF(A69-1=Entity!$B$14,2,A69+1))),""))</f>
        <v/>
      </c>
      <c r="I69">
        <f>IF(B69="Pillar",Entity!$B$14&amp;" cluster pages",IF(B69="Cluster",(COUNTIF($C$3:$C$553,SUBSTITUTE(SUBSTITUTE(C69,"?","~?"),"*","~*"))-1)&amp;" supporting pages",""))</f>
        <v/>
      </c>
      <c r="J69">
        <f>IF(B69="Pillar","Informational",IF(OR(B69="Cluster",B69="Supporting"),INDEX(Attributes!$D$3:$D$52,Q69)&amp;"",""))</f>
        <v/>
      </c>
      <c r="K69">
        <f>IF(B69="","",IF(B69="Pillar","Pillar guide (entity hub)",IF(B69="Cluster","Hub page for this attribute",IF(INDEX(Values!$C$3:$C$502,P69)="Yes","Entity page (profile of the sub-entity)",IFERROR(INDEX(Lists!$B$3:$B$6,MATCH(J69,Lists!$A$3:$A$6,0)),"Article")))))</f>
        <v/>
      </c>
      <c r="L69">
        <f>IF(B69="Pillar",Entity!$B$6&amp;"",IF(B69="Cluster",INDEX(Attributes!$I$3:$I$52,Q69)&amp;"",IF(B69="Supporting",INDEX(Values!$F$3:$F$502,P69)&amp;"","")))</f>
        <v/>
      </c>
      <c r="M69">
        <f>IF(B69="","",IF(L69&lt;&gt;"","Covered","Gap"))</f>
        <v/>
      </c>
      <c r="N69">
        <f>IF(B69="Pillar",SUMIFS(Values!$E$3:$E$502,Values!$I$3:$I$502,"Yes"),IF(B69="Cluster",SUMIFS(Values!$E$3:$E$502,Values!$A$3:$A$502,SUBSTITUTE(SUBSTITUTE(C69,"?","~?"),"*","~*"),Values!$I$3:$I$502,"Yes"),IF(B69="Supporting",N(INDEX(Values!$E$3:$E$502,P69)),"")))</f>
        <v/>
      </c>
      <c r="O69">
        <f>IF(B69="","",IF(B69="Pillar",100,IF(B69="Cluster",N(INDEX(Attributes!$E$3:$E$52,Q69))*25+IF(M69="Gap",10,0),N(INDEX(Attributes!$E$3:$E$52,Q69))*20+MIN(20,ROUND(LOG10(N(N69)+1)*5,0))+IF(M69="Gap",10,0)+IF(INDEX(Values!$D$3:$D$502,P69)="Yes",5,0))))</f>
        <v/>
      </c>
      <c r="P69">
        <f>IF(B69="Supporting",MATCH(A69-1-Entity!$B$14,Values!$J$3:$J$502,0),"")</f>
        <v/>
      </c>
      <c r="Q69">
        <f>IF(C69="","",MATCH(C69,Attributes!$A$3:$A$52,0))</f>
        <v/>
      </c>
      <c r="R69">
        <f>IF(B69="Pillar",SUBSTITUTE(Entity!$B$7,"{entity}",LOWER(Entity!$B$3)),IF(B69="Cluster",IF(INDEX(Attributes!$G$3:$G$52,Q69)&lt;&gt;"",INDEX(Attributes!$G$3:$G$52,Q69),SUBSTITUTE(SUBSTITUTE(Entity!$B$8,"{entity}",LOWER(Entity!$B$3)),"{attribute}",LOWER(C69))),IF(B69="Supporting",SUBSTITUTE(SUBSTITUTE(SUBSTITUTE(IF(INDEX(Attributes!$H$3:$H$52,Q69)&lt;&gt;"",INDEX(Attributes!$H$3:$H$52,Q69),Entity!$B$9),"{entity}",LOWER(Entity!$B$3)),"{value}",D69),"{attribute}",LOWER(C69)),"")))</f>
        <v/>
      </c>
    </row>
    <row r="70">
      <c r="A70">
        <f>ROW()-2</f>
        <v/>
      </c>
      <c r="B70">
        <f>IF(A70=1,"Pillar",IF(A70&lt;=1+Entity!$B$14,"Cluster",IF(A70&lt;=1+Entity!$B$14+Entity!$B$15,"Supporting","")))</f>
        <v/>
      </c>
      <c r="C70">
        <f>IF(B70="Cluster",INDEX(Attributes!$A$3:$A$52,MATCH(A70-1,Attributes!$P$3:$P$52,0)),IF(B70="Supporting",INDEX(Values!$A$3:$A$502,P70),""))</f>
        <v/>
      </c>
      <c r="D70">
        <f>IF(B70="Supporting",INDEX(Values!$B$3:$B$502,P70),"")</f>
        <v/>
      </c>
      <c r="E70">
        <f>IF(R70="","",UPPER(LEFT(R70,1))&amp;MID(R70,2,500))</f>
        <v/>
      </c>
      <c r="F70">
        <f>IF(E70="","",LOWER(SUBSTITUTE(SUBSTITUTE(SUBSTITUTE(SUBSTITUTE(SUBSTITUTE(SUBSTITUTE(SUBSTITUTE(TRIM(E70),":",""),",",""),"'",""),"&amp;","and"),"£",""),"  "," ")," ","-")))</f>
        <v/>
      </c>
      <c r="G70">
        <f>IF(B70="Cluster",$E$3,IF(B70="Supporting",INDEX($E$3:$E$553,MATCH(C70,$C$3:$C$553,0)),""))</f>
        <v/>
      </c>
      <c r="H70">
        <f>IF(B70="Supporting",IFERROR(INDEX($E$3:$E$553,1+Entity!$B$14+INDEX(Values!$O$3:$O$502,P70)),""),IF(B70="Cluster",IF(Entity!$B$14&lt;2,"",INDEX($E$3:$E$553,IF(A70-1=Entity!$B$14,2,A70+1))),""))</f>
        <v/>
      </c>
      <c r="I70">
        <f>IF(B70="Pillar",Entity!$B$14&amp;" cluster pages",IF(B70="Cluster",(COUNTIF($C$3:$C$553,SUBSTITUTE(SUBSTITUTE(C70,"?","~?"),"*","~*"))-1)&amp;" supporting pages",""))</f>
        <v/>
      </c>
      <c r="J70">
        <f>IF(B70="Pillar","Informational",IF(OR(B70="Cluster",B70="Supporting"),INDEX(Attributes!$D$3:$D$52,Q70)&amp;"",""))</f>
        <v/>
      </c>
      <c r="K70">
        <f>IF(B70="","",IF(B70="Pillar","Pillar guide (entity hub)",IF(B70="Cluster","Hub page for this attribute",IF(INDEX(Values!$C$3:$C$502,P70)="Yes","Entity page (profile of the sub-entity)",IFERROR(INDEX(Lists!$B$3:$B$6,MATCH(J70,Lists!$A$3:$A$6,0)),"Article")))))</f>
        <v/>
      </c>
      <c r="L70">
        <f>IF(B70="Pillar",Entity!$B$6&amp;"",IF(B70="Cluster",INDEX(Attributes!$I$3:$I$52,Q70)&amp;"",IF(B70="Supporting",INDEX(Values!$F$3:$F$502,P70)&amp;"","")))</f>
        <v/>
      </c>
      <c r="M70">
        <f>IF(B70="","",IF(L70&lt;&gt;"","Covered","Gap"))</f>
        <v/>
      </c>
      <c r="N70">
        <f>IF(B70="Pillar",SUMIFS(Values!$E$3:$E$502,Values!$I$3:$I$502,"Yes"),IF(B70="Cluster",SUMIFS(Values!$E$3:$E$502,Values!$A$3:$A$502,SUBSTITUTE(SUBSTITUTE(C70,"?","~?"),"*","~*"),Values!$I$3:$I$502,"Yes"),IF(B70="Supporting",N(INDEX(Values!$E$3:$E$502,P70)),"")))</f>
        <v/>
      </c>
      <c r="O70">
        <f>IF(B70="","",IF(B70="Pillar",100,IF(B70="Cluster",N(INDEX(Attributes!$E$3:$E$52,Q70))*25+IF(M70="Gap",10,0),N(INDEX(Attributes!$E$3:$E$52,Q70))*20+MIN(20,ROUND(LOG10(N(N70)+1)*5,0))+IF(M70="Gap",10,0)+IF(INDEX(Values!$D$3:$D$502,P70)="Yes",5,0))))</f>
        <v/>
      </c>
      <c r="P70">
        <f>IF(B70="Supporting",MATCH(A70-1-Entity!$B$14,Values!$J$3:$J$502,0),"")</f>
        <v/>
      </c>
      <c r="Q70">
        <f>IF(C70="","",MATCH(C70,Attributes!$A$3:$A$52,0))</f>
        <v/>
      </c>
      <c r="R70">
        <f>IF(B70="Pillar",SUBSTITUTE(Entity!$B$7,"{entity}",LOWER(Entity!$B$3)),IF(B70="Cluster",IF(INDEX(Attributes!$G$3:$G$52,Q70)&lt;&gt;"",INDEX(Attributes!$G$3:$G$52,Q70),SUBSTITUTE(SUBSTITUTE(Entity!$B$8,"{entity}",LOWER(Entity!$B$3)),"{attribute}",LOWER(C70))),IF(B70="Supporting",SUBSTITUTE(SUBSTITUTE(SUBSTITUTE(IF(INDEX(Attributes!$H$3:$H$52,Q70)&lt;&gt;"",INDEX(Attributes!$H$3:$H$52,Q70),Entity!$B$9),"{entity}",LOWER(Entity!$B$3)),"{value}",D70),"{attribute}",LOWER(C70)),"")))</f>
        <v/>
      </c>
    </row>
    <row r="71">
      <c r="A71">
        <f>ROW()-2</f>
        <v/>
      </c>
      <c r="B71">
        <f>IF(A71=1,"Pillar",IF(A71&lt;=1+Entity!$B$14,"Cluster",IF(A71&lt;=1+Entity!$B$14+Entity!$B$15,"Supporting","")))</f>
        <v/>
      </c>
      <c r="C71">
        <f>IF(B71="Cluster",INDEX(Attributes!$A$3:$A$52,MATCH(A71-1,Attributes!$P$3:$P$52,0)),IF(B71="Supporting",INDEX(Values!$A$3:$A$502,P71),""))</f>
        <v/>
      </c>
      <c r="D71">
        <f>IF(B71="Supporting",INDEX(Values!$B$3:$B$502,P71),"")</f>
        <v/>
      </c>
      <c r="E71">
        <f>IF(R71="","",UPPER(LEFT(R71,1))&amp;MID(R71,2,500))</f>
        <v/>
      </c>
      <c r="F71">
        <f>IF(E71="","",LOWER(SUBSTITUTE(SUBSTITUTE(SUBSTITUTE(SUBSTITUTE(SUBSTITUTE(SUBSTITUTE(SUBSTITUTE(TRIM(E71),":",""),",",""),"'",""),"&amp;","and"),"£",""),"  "," ")," ","-")))</f>
        <v/>
      </c>
      <c r="G71">
        <f>IF(B71="Cluster",$E$3,IF(B71="Supporting",INDEX($E$3:$E$553,MATCH(C71,$C$3:$C$553,0)),""))</f>
        <v/>
      </c>
      <c r="H71">
        <f>IF(B71="Supporting",IFERROR(INDEX($E$3:$E$553,1+Entity!$B$14+INDEX(Values!$O$3:$O$502,P71)),""),IF(B71="Cluster",IF(Entity!$B$14&lt;2,"",INDEX($E$3:$E$553,IF(A71-1=Entity!$B$14,2,A71+1))),""))</f>
        <v/>
      </c>
      <c r="I71">
        <f>IF(B71="Pillar",Entity!$B$14&amp;" cluster pages",IF(B71="Cluster",(COUNTIF($C$3:$C$553,SUBSTITUTE(SUBSTITUTE(C71,"?","~?"),"*","~*"))-1)&amp;" supporting pages",""))</f>
        <v/>
      </c>
      <c r="J71">
        <f>IF(B71="Pillar","Informational",IF(OR(B71="Cluster",B71="Supporting"),INDEX(Attributes!$D$3:$D$52,Q71)&amp;"",""))</f>
        <v/>
      </c>
      <c r="K71">
        <f>IF(B71="","",IF(B71="Pillar","Pillar guide (entity hub)",IF(B71="Cluster","Hub page for this attribute",IF(INDEX(Values!$C$3:$C$502,P71)="Yes","Entity page (profile of the sub-entity)",IFERROR(INDEX(Lists!$B$3:$B$6,MATCH(J71,Lists!$A$3:$A$6,0)),"Article")))))</f>
        <v/>
      </c>
      <c r="L71">
        <f>IF(B71="Pillar",Entity!$B$6&amp;"",IF(B71="Cluster",INDEX(Attributes!$I$3:$I$52,Q71)&amp;"",IF(B71="Supporting",INDEX(Values!$F$3:$F$502,P71)&amp;"","")))</f>
        <v/>
      </c>
      <c r="M71">
        <f>IF(B71="","",IF(L71&lt;&gt;"","Covered","Gap"))</f>
        <v/>
      </c>
      <c r="N71">
        <f>IF(B71="Pillar",SUMIFS(Values!$E$3:$E$502,Values!$I$3:$I$502,"Yes"),IF(B71="Cluster",SUMIFS(Values!$E$3:$E$502,Values!$A$3:$A$502,SUBSTITUTE(SUBSTITUTE(C71,"?","~?"),"*","~*"),Values!$I$3:$I$502,"Yes"),IF(B71="Supporting",N(INDEX(Values!$E$3:$E$502,P71)),"")))</f>
        <v/>
      </c>
      <c r="O71">
        <f>IF(B71="","",IF(B71="Pillar",100,IF(B71="Cluster",N(INDEX(Attributes!$E$3:$E$52,Q71))*25+IF(M71="Gap",10,0),N(INDEX(Attributes!$E$3:$E$52,Q71))*20+MIN(20,ROUND(LOG10(N(N71)+1)*5,0))+IF(M71="Gap",10,0)+IF(INDEX(Values!$D$3:$D$502,P71)="Yes",5,0))))</f>
        <v/>
      </c>
      <c r="P71">
        <f>IF(B71="Supporting",MATCH(A71-1-Entity!$B$14,Values!$J$3:$J$502,0),"")</f>
        <v/>
      </c>
      <c r="Q71">
        <f>IF(C71="","",MATCH(C71,Attributes!$A$3:$A$52,0))</f>
        <v/>
      </c>
      <c r="R71">
        <f>IF(B71="Pillar",SUBSTITUTE(Entity!$B$7,"{entity}",LOWER(Entity!$B$3)),IF(B71="Cluster",IF(INDEX(Attributes!$G$3:$G$52,Q71)&lt;&gt;"",INDEX(Attributes!$G$3:$G$52,Q71),SUBSTITUTE(SUBSTITUTE(Entity!$B$8,"{entity}",LOWER(Entity!$B$3)),"{attribute}",LOWER(C71))),IF(B71="Supporting",SUBSTITUTE(SUBSTITUTE(SUBSTITUTE(IF(INDEX(Attributes!$H$3:$H$52,Q71)&lt;&gt;"",INDEX(Attributes!$H$3:$H$52,Q71),Entity!$B$9),"{entity}",LOWER(Entity!$B$3)),"{value}",D71),"{attribute}",LOWER(C71)),"")))</f>
        <v/>
      </c>
    </row>
    <row r="72">
      <c r="A72">
        <f>ROW()-2</f>
        <v/>
      </c>
      <c r="B72">
        <f>IF(A72=1,"Pillar",IF(A72&lt;=1+Entity!$B$14,"Cluster",IF(A72&lt;=1+Entity!$B$14+Entity!$B$15,"Supporting","")))</f>
        <v/>
      </c>
      <c r="C72">
        <f>IF(B72="Cluster",INDEX(Attributes!$A$3:$A$52,MATCH(A72-1,Attributes!$P$3:$P$52,0)),IF(B72="Supporting",INDEX(Values!$A$3:$A$502,P72),""))</f>
        <v/>
      </c>
      <c r="D72">
        <f>IF(B72="Supporting",INDEX(Values!$B$3:$B$502,P72),"")</f>
        <v/>
      </c>
      <c r="E72">
        <f>IF(R72="","",UPPER(LEFT(R72,1))&amp;MID(R72,2,500))</f>
        <v/>
      </c>
      <c r="F72">
        <f>IF(E72="","",LOWER(SUBSTITUTE(SUBSTITUTE(SUBSTITUTE(SUBSTITUTE(SUBSTITUTE(SUBSTITUTE(SUBSTITUTE(TRIM(E72),":",""),",",""),"'",""),"&amp;","and"),"£",""),"  "," ")," ","-")))</f>
        <v/>
      </c>
      <c r="G72">
        <f>IF(B72="Cluster",$E$3,IF(B72="Supporting",INDEX($E$3:$E$553,MATCH(C72,$C$3:$C$553,0)),""))</f>
        <v/>
      </c>
      <c r="H72">
        <f>IF(B72="Supporting",IFERROR(INDEX($E$3:$E$553,1+Entity!$B$14+INDEX(Values!$O$3:$O$502,P72)),""),IF(B72="Cluster",IF(Entity!$B$14&lt;2,"",INDEX($E$3:$E$553,IF(A72-1=Entity!$B$14,2,A72+1))),""))</f>
        <v/>
      </c>
      <c r="I72">
        <f>IF(B72="Pillar",Entity!$B$14&amp;" cluster pages",IF(B72="Cluster",(COUNTIF($C$3:$C$553,SUBSTITUTE(SUBSTITUTE(C72,"?","~?"),"*","~*"))-1)&amp;" supporting pages",""))</f>
        <v/>
      </c>
      <c r="J72">
        <f>IF(B72="Pillar","Informational",IF(OR(B72="Cluster",B72="Supporting"),INDEX(Attributes!$D$3:$D$52,Q72)&amp;"",""))</f>
        <v/>
      </c>
      <c r="K72">
        <f>IF(B72="","",IF(B72="Pillar","Pillar guide (entity hub)",IF(B72="Cluster","Hub page for this attribute",IF(INDEX(Values!$C$3:$C$502,P72)="Yes","Entity page (profile of the sub-entity)",IFERROR(INDEX(Lists!$B$3:$B$6,MATCH(J72,Lists!$A$3:$A$6,0)),"Article")))))</f>
        <v/>
      </c>
      <c r="L72">
        <f>IF(B72="Pillar",Entity!$B$6&amp;"",IF(B72="Cluster",INDEX(Attributes!$I$3:$I$52,Q72)&amp;"",IF(B72="Supporting",INDEX(Values!$F$3:$F$502,P72)&amp;"","")))</f>
        <v/>
      </c>
      <c r="M72">
        <f>IF(B72="","",IF(L72&lt;&gt;"","Covered","Gap"))</f>
        <v/>
      </c>
      <c r="N72">
        <f>IF(B72="Pillar",SUMIFS(Values!$E$3:$E$502,Values!$I$3:$I$502,"Yes"),IF(B72="Cluster",SUMIFS(Values!$E$3:$E$502,Values!$A$3:$A$502,SUBSTITUTE(SUBSTITUTE(C72,"?","~?"),"*","~*"),Values!$I$3:$I$502,"Yes"),IF(B72="Supporting",N(INDEX(Values!$E$3:$E$502,P72)),"")))</f>
        <v/>
      </c>
      <c r="O72">
        <f>IF(B72="","",IF(B72="Pillar",100,IF(B72="Cluster",N(INDEX(Attributes!$E$3:$E$52,Q72))*25+IF(M72="Gap",10,0),N(INDEX(Attributes!$E$3:$E$52,Q72))*20+MIN(20,ROUND(LOG10(N(N72)+1)*5,0))+IF(M72="Gap",10,0)+IF(INDEX(Values!$D$3:$D$502,P72)="Yes",5,0))))</f>
        <v/>
      </c>
      <c r="P72">
        <f>IF(B72="Supporting",MATCH(A72-1-Entity!$B$14,Values!$J$3:$J$502,0),"")</f>
        <v/>
      </c>
      <c r="Q72">
        <f>IF(C72="","",MATCH(C72,Attributes!$A$3:$A$52,0))</f>
        <v/>
      </c>
      <c r="R72">
        <f>IF(B72="Pillar",SUBSTITUTE(Entity!$B$7,"{entity}",LOWER(Entity!$B$3)),IF(B72="Cluster",IF(INDEX(Attributes!$G$3:$G$52,Q72)&lt;&gt;"",INDEX(Attributes!$G$3:$G$52,Q72),SUBSTITUTE(SUBSTITUTE(Entity!$B$8,"{entity}",LOWER(Entity!$B$3)),"{attribute}",LOWER(C72))),IF(B72="Supporting",SUBSTITUTE(SUBSTITUTE(SUBSTITUTE(IF(INDEX(Attributes!$H$3:$H$52,Q72)&lt;&gt;"",INDEX(Attributes!$H$3:$H$52,Q72),Entity!$B$9),"{entity}",LOWER(Entity!$B$3)),"{value}",D72),"{attribute}",LOWER(C72)),"")))</f>
        <v/>
      </c>
    </row>
    <row r="73">
      <c r="A73">
        <f>ROW()-2</f>
        <v/>
      </c>
      <c r="B73">
        <f>IF(A73=1,"Pillar",IF(A73&lt;=1+Entity!$B$14,"Cluster",IF(A73&lt;=1+Entity!$B$14+Entity!$B$15,"Supporting","")))</f>
        <v/>
      </c>
      <c r="C73">
        <f>IF(B73="Cluster",INDEX(Attributes!$A$3:$A$52,MATCH(A73-1,Attributes!$P$3:$P$52,0)),IF(B73="Supporting",INDEX(Values!$A$3:$A$502,P73),""))</f>
        <v/>
      </c>
      <c r="D73">
        <f>IF(B73="Supporting",INDEX(Values!$B$3:$B$502,P73),"")</f>
        <v/>
      </c>
      <c r="E73">
        <f>IF(R73="","",UPPER(LEFT(R73,1))&amp;MID(R73,2,500))</f>
        <v/>
      </c>
      <c r="F73">
        <f>IF(E73="","",LOWER(SUBSTITUTE(SUBSTITUTE(SUBSTITUTE(SUBSTITUTE(SUBSTITUTE(SUBSTITUTE(SUBSTITUTE(TRIM(E73),":",""),",",""),"'",""),"&amp;","and"),"£",""),"  "," ")," ","-")))</f>
        <v/>
      </c>
      <c r="G73">
        <f>IF(B73="Cluster",$E$3,IF(B73="Supporting",INDEX($E$3:$E$553,MATCH(C73,$C$3:$C$553,0)),""))</f>
        <v/>
      </c>
      <c r="H73">
        <f>IF(B73="Supporting",IFERROR(INDEX($E$3:$E$553,1+Entity!$B$14+INDEX(Values!$O$3:$O$502,P73)),""),IF(B73="Cluster",IF(Entity!$B$14&lt;2,"",INDEX($E$3:$E$553,IF(A73-1=Entity!$B$14,2,A73+1))),""))</f>
        <v/>
      </c>
      <c r="I73">
        <f>IF(B73="Pillar",Entity!$B$14&amp;" cluster pages",IF(B73="Cluster",(COUNTIF($C$3:$C$553,SUBSTITUTE(SUBSTITUTE(C73,"?","~?"),"*","~*"))-1)&amp;" supporting pages",""))</f>
        <v/>
      </c>
      <c r="J73">
        <f>IF(B73="Pillar","Informational",IF(OR(B73="Cluster",B73="Supporting"),INDEX(Attributes!$D$3:$D$52,Q73)&amp;"",""))</f>
        <v/>
      </c>
      <c r="K73">
        <f>IF(B73="","",IF(B73="Pillar","Pillar guide (entity hub)",IF(B73="Cluster","Hub page for this attribute",IF(INDEX(Values!$C$3:$C$502,P73)="Yes","Entity page (profile of the sub-entity)",IFERROR(INDEX(Lists!$B$3:$B$6,MATCH(J73,Lists!$A$3:$A$6,0)),"Article")))))</f>
        <v/>
      </c>
      <c r="L73">
        <f>IF(B73="Pillar",Entity!$B$6&amp;"",IF(B73="Cluster",INDEX(Attributes!$I$3:$I$52,Q73)&amp;"",IF(B73="Supporting",INDEX(Values!$F$3:$F$502,P73)&amp;"","")))</f>
        <v/>
      </c>
      <c r="M73">
        <f>IF(B73="","",IF(L73&lt;&gt;"","Covered","Gap"))</f>
        <v/>
      </c>
      <c r="N73">
        <f>IF(B73="Pillar",SUMIFS(Values!$E$3:$E$502,Values!$I$3:$I$502,"Yes"),IF(B73="Cluster",SUMIFS(Values!$E$3:$E$502,Values!$A$3:$A$502,SUBSTITUTE(SUBSTITUTE(C73,"?","~?"),"*","~*"),Values!$I$3:$I$502,"Yes"),IF(B73="Supporting",N(INDEX(Values!$E$3:$E$502,P73)),"")))</f>
        <v/>
      </c>
      <c r="O73">
        <f>IF(B73="","",IF(B73="Pillar",100,IF(B73="Cluster",N(INDEX(Attributes!$E$3:$E$52,Q73))*25+IF(M73="Gap",10,0),N(INDEX(Attributes!$E$3:$E$52,Q73))*20+MIN(20,ROUND(LOG10(N(N73)+1)*5,0))+IF(M73="Gap",10,0)+IF(INDEX(Values!$D$3:$D$502,P73)="Yes",5,0))))</f>
        <v/>
      </c>
      <c r="P73">
        <f>IF(B73="Supporting",MATCH(A73-1-Entity!$B$14,Values!$J$3:$J$502,0),"")</f>
        <v/>
      </c>
      <c r="Q73">
        <f>IF(C73="","",MATCH(C73,Attributes!$A$3:$A$52,0))</f>
        <v/>
      </c>
      <c r="R73">
        <f>IF(B73="Pillar",SUBSTITUTE(Entity!$B$7,"{entity}",LOWER(Entity!$B$3)),IF(B73="Cluster",IF(INDEX(Attributes!$G$3:$G$52,Q73)&lt;&gt;"",INDEX(Attributes!$G$3:$G$52,Q73),SUBSTITUTE(SUBSTITUTE(Entity!$B$8,"{entity}",LOWER(Entity!$B$3)),"{attribute}",LOWER(C73))),IF(B73="Supporting",SUBSTITUTE(SUBSTITUTE(SUBSTITUTE(IF(INDEX(Attributes!$H$3:$H$52,Q73)&lt;&gt;"",INDEX(Attributes!$H$3:$H$52,Q73),Entity!$B$9),"{entity}",LOWER(Entity!$B$3)),"{value}",D73),"{attribute}",LOWER(C73)),"")))</f>
        <v/>
      </c>
    </row>
    <row r="74">
      <c r="A74">
        <f>ROW()-2</f>
        <v/>
      </c>
      <c r="B74">
        <f>IF(A74=1,"Pillar",IF(A74&lt;=1+Entity!$B$14,"Cluster",IF(A74&lt;=1+Entity!$B$14+Entity!$B$15,"Supporting","")))</f>
        <v/>
      </c>
      <c r="C74">
        <f>IF(B74="Cluster",INDEX(Attributes!$A$3:$A$52,MATCH(A74-1,Attributes!$P$3:$P$52,0)),IF(B74="Supporting",INDEX(Values!$A$3:$A$502,P74),""))</f>
        <v/>
      </c>
      <c r="D74">
        <f>IF(B74="Supporting",INDEX(Values!$B$3:$B$502,P74),"")</f>
        <v/>
      </c>
      <c r="E74">
        <f>IF(R74="","",UPPER(LEFT(R74,1))&amp;MID(R74,2,500))</f>
        <v/>
      </c>
      <c r="F74">
        <f>IF(E74="","",LOWER(SUBSTITUTE(SUBSTITUTE(SUBSTITUTE(SUBSTITUTE(SUBSTITUTE(SUBSTITUTE(SUBSTITUTE(TRIM(E74),":",""),",",""),"'",""),"&amp;","and"),"£",""),"  "," ")," ","-")))</f>
        <v/>
      </c>
      <c r="G74">
        <f>IF(B74="Cluster",$E$3,IF(B74="Supporting",INDEX($E$3:$E$553,MATCH(C74,$C$3:$C$553,0)),""))</f>
        <v/>
      </c>
      <c r="H74">
        <f>IF(B74="Supporting",IFERROR(INDEX($E$3:$E$553,1+Entity!$B$14+INDEX(Values!$O$3:$O$502,P74)),""),IF(B74="Cluster",IF(Entity!$B$14&lt;2,"",INDEX($E$3:$E$553,IF(A74-1=Entity!$B$14,2,A74+1))),""))</f>
        <v/>
      </c>
      <c r="I74">
        <f>IF(B74="Pillar",Entity!$B$14&amp;" cluster pages",IF(B74="Cluster",(COUNTIF($C$3:$C$553,SUBSTITUTE(SUBSTITUTE(C74,"?","~?"),"*","~*"))-1)&amp;" supporting pages",""))</f>
        <v/>
      </c>
      <c r="J74">
        <f>IF(B74="Pillar","Informational",IF(OR(B74="Cluster",B74="Supporting"),INDEX(Attributes!$D$3:$D$52,Q74)&amp;"",""))</f>
        <v/>
      </c>
      <c r="K74">
        <f>IF(B74="","",IF(B74="Pillar","Pillar guide (entity hub)",IF(B74="Cluster","Hub page for this attribute",IF(INDEX(Values!$C$3:$C$502,P74)="Yes","Entity page (profile of the sub-entity)",IFERROR(INDEX(Lists!$B$3:$B$6,MATCH(J74,Lists!$A$3:$A$6,0)),"Article")))))</f>
        <v/>
      </c>
      <c r="L74">
        <f>IF(B74="Pillar",Entity!$B$6&amp;"",IF(B74="Cluster",INDEX(Attributes!$I$3:$I$52,Q74)&amp;"",IF(B74="Supporting",INDEX(Values!$F$3:$F$502,P74)&amp;"","")))</f>
        <v/>
      </c>
      <c r="M74">
        <f>IF(B74="","",IF(L74&lt;&gt;"","Covered","Gap"))</f>
        <v/>
      </c>
      <c r="N74">
        <f>IF(B74="Pillar",SUMIFS(Values!$E$3:$E$502,Values!$I$3:$I$502,"Yes"),IF(B74="Cluster",SUMIFS(Values!$E$3:$E$502,Values!$A$3:$A$502,SUBSTITUTE(SUBSTITUTE(C74,"?","~?"),"*","~*"),Values!$I$3:$I$502,"Yes"),IF(B74="Supporting",N(INDEX(Values!$E$3:$E$502,P74)),"")))</f>
        <v/>
      </c>
      <c r="O74">
        <f>IF(B74="","",IF(B74="Pillar",100,IF(B74="Cluster",N(INDEX(Attributes!$E$3:$E$52,Q74))*25+IF(M74="Gap",10,0),N(INDEX(Attributes!$E$3:$E$52,Q74))*20+MIN(20,ROUND(LOG10(N(N74)+1)*5,0))+IF(M74="Gap",10,0)+IF(INDEX(Values!$D$3:$D$502,P74)="Yes",5,0))))</f>
        <v/>
      </c>
      <c r="P74">
        <f>IF(B74="Supporting",MATCH(A74-1-Entity!$B$14,Values!$J$3:$J$502,0),"")</f>
        <v/>
      </c>
      <c r="Q74">
        <f>IF(C74="","",MATCH(C74,Attributes!$A$3:$A$52,0))</f>
        <v/>
      </c>
      <c r="R74">
        <f>IF(B74="Pillar",SUBSTITUTE(Entity!$B$7,"{entity}",LOWER(Entity!$B$3)),IF(B74="Cluster",IF(INDEX(Attributes!$G$3:$G$52,Q74)&lt;&gt;"",INDEX(Attributes!$G$3:$G$52,Q74),SUBSTITUTE(SUBSTITUTE(Entity!$B$8,"{entity}",LOWER(Entity!$B$3)),"{attribute}",LOWER(C74))),IF(B74="Supporting",SUBSTITUTE(SUBSTITUTE(SUBSTITUTE(IF(INDEX(Attributes!$H$3:$H$52,Q74)&lt;&gt;"",INDEX(Attributes!$H$3:$H$52,Q74),Entity!$B$9),"{entity}",LOWER(Entity!$B$3)),"{value}",D74),"{attribute}",LOWER(C74)),"")))</f>
        <v/>
      </c>
    </row>
    <row r="75">
      <c r="A75">
        <f>ROW()-2</f>
        <v/>
      </c>
      <c r="B75">
        <f>IF(A75=1,"Pillar",IF(A75&lt;=1+Entity!$B$14,"Cluster",IF(A75&lt;=1+Entity!$B$14+Entity!$B$15,"Supporting","")))</f>
        <v/>
      </c>
      <c r="C75">
        <f>IF(B75="Cluster",INDEX(Attributes!$A$3:$A$52,MATCH(A75-1,Attributes!$P$3:$P$52,0)),IF(B75="Supporting",INDEX(Values!$A$3:$A$502,P75),""))</f>
        <v/>
      </c>
      <c r="D75">
        <f>IF(B75="Supporting",INDEX(Values!$B$3:$B$502,P75),"")</f>
        <v/>
      </c>
      <c r="E75">
        <f>IF(R75="","",UPPER(LEFT(R75,1))&amp;MID(R75,2,500))</f>
        <v/>
      </c>
      <c r="F75">
        <f>IF(E75="","",LOWER(SUBSTITUTE(SUBSTITUTE(SUBSTITUTE(SUBSTITUTE(SUBSTITUTE(SUBSTITUTE(SUBSTITUTE(TRIM(E75),":",""),",",""),"'",""),"&amp;","and"),"£",""),"  "," ")," ","-")))</f>
        <v/>
      </c>
      <c r="G75">
        <f>IF(B75="Cluster",$E$3,IF(B75="Supporting",INDEX($E$3:$E$553,MATCH(C75,$C$3:$C$553,0)),""))</f>
        <v/>
      </c>
      <c r="H75">
        <f>IF(B75="Supporting",IFERROR(INDEX($E$3:$E$553,1+Entity!$B$14+INDEX(Values!$O$3:$O$502,P75)),""),IF(B75="Cluster",IF(Entity!$B$14&lt;2,"",INDEX($E$3:$E$553,IF(A75-1=Entity!$B$14,2,A75+1))),""))</f>
        <v/>
      </c>
      <c r="I75">
        <f>IF(B75="Pillar",Entity!$B$14&amp;" cluster pages",IF(B75="Cluster",(COUNTIF($C$3:$C$553,SUBSTITUTE(SUBSTITUTE(C75,"?","~?"),"*","~*"))-1)&amp;" supporting pages",""))</f>
        <v/>
      </c>
      <c r="J75">
        <f>IF(B75="Pillar","Informational",IF(OR(B75="Cluster",B75="Supporting"),INDEX(Attributes!$D$3:$D$52,Q75)&amp;"",""))</f>
        <v/>
      </c>
      <c r="K75">
        <f>IF(B75="","",IF(B75="Pillar","Pillar guide (entity hub)",IF(B75="Cluster","Hub page for this attribute",IF(INDEX(Values!$C$3:$C$502,P75)="Yes","Entity page (profile of the sub-entity)",IFERROR(INDEX(Lists!$B$3:$B$6,MATCH(J75,Lists!$A$3:$A$6,0)),"Article")))))</f>
        <v/>
      </c>
      <c r="L75">
        <f>IF(B75="Pillar",Entity!$B$6&amp;"",IF(B75="Cluster",INDEX(Attributes!$I$3:$I$52,Q75)&amp;"",IF(B75="Supporting",INDEX(Values!$F$3:$F$502,P75)&amp;"","")))</f>
        <v/>
      </c>
      <c r="M75">
        <f>IF(B75="","",IF(L75&lt;&gt;"","Covered","Gap"))</f>
        <v/>
      </c>
      <c r="N75">
        <f>IF(B75="Pillar",SUMIFS(Values!$E$3:$E$502,Values!$I$3:$I$502,"Yes"),IF(B75="Cluster",SUMIFS(Values!$E$3:$E$502,Values!$A$3:$A$502,SUBSTITUTE(SUBSTITUTE(C75,"?","~?"),"*","~*"),Values!$I$3:$I$502,"Yes"),IF(B75="Supporting",N(INDEX(Values!$E$3:$E$502,P75)),"")))</f>
        <v/>
      </c>
      <c r="O75">
        <f>IF(B75="","",IF(B75="Pillar",100,IF(B75="Cluster",N(INDEX(Attributes!$E$3:$E$52,Q75))*25+IF(M75="Gap",10,0),N(INDEX(Attributes!$E$3:$E$52,Q75))*20+MIN(20,ROUND(LOG10(N(N75)+1)*5,0))+IF(M75="Gap",10,0)+IF(INDEX(Values!$D$3:$D$502,P75)="Yes",5,0))))</f>
        <v/>
      </c>
      <c r="P75">
        <f>IF(B75="Supporting",MATCH(A75-1-Entity!$B$14,Values!$J$3:$J$502,0),"")</f>
        <v/>
      </c>
      <c r="Q75">
        <f>IF(C75="","",MATCH(C75,Attributes!$A$3:$A$52,0))</f>
        <v/>
      </c>
      <c r="R75">
        <f>IF(B75="Pillar",SUBSTITUTE(Entity!$B$7,"{entity}",LOWER(Entity!$B$3)),IF(B75="Cluster",IF(INDEX(Attributes!$G$3:$G$52,Q75)&lt;&gt;"",INDEX(Attributes!$G$3:$G$52,Q75),SUBSTITUTE(SUBSTITUTE(Entity!$B$8,"{entity}",LOWER(Entity!$B$3)),"{attribute}",LOWER(C75))),IF(B75="Supporting",SUBSTITUTE(SUBSTITUTE(SUBSTITUTE(IF(INDEX(Attributes!$H$3:$H$52,Q75)&lt;&gt;"",INDEX(Attributes!$H$3:$H$52,Q75),Entity!$B$9),"{entity}",LOWER(Entity!$B$3)),"{value}",D75),"{attribute}",LOWER(C75)),"")))</f>
        <v/>
      </c>
    </row>
    <row r="76">
      <c r="A76">
        <f>ROW()-2</f>
        <v/>
      </c>
      <c r="B76">
        <f>IF(A76=1,"Pillar",IF(A76&lt;=1+Entity!$B$14,"Cluster",IF(A76&lt;=1+Entity!$B$14+Entity!$B$15,"Supporting","")))</f>
        <v/>
      </c>
      <c r="C76">
        <f>IF(B76="Cluster",INDEX(Attributes!$A$3:$A$52,MATCH(A76-1,Attributes!$P$3:$P$52,0)),IF(B76="Supporting",INDEX(Values!$A$3:$A$502,P76),""))</f>
        <v/>
      </c>
      <c r="D76">
        <f>IF(B76="Supporting",INDEX(Values!$B$3:$B$502,P76),"")</f>
        <v/>
      </c>
      <c r="E76">
        <f>IF(R76="","",UPPER(LEFT(R76,1))&amp;MID(R76,2,500))</f>
        <v/>
      </c>
      <c r="F76">
        <f>IF(E76="","",LOWER(SUBSTITUTE(SUBSTITUTE(SUBSTITUTE(SUBSTITUTE(SUBSTITUTE(SUBSTITUTE(SUBSTITUTE(TRIM(E76),":",""),",",""),"'",""),"&amp;","and"),"£",""),"  "," ")," ","-")))</f>
        <v/>
      </c>
      <c r="G76">
        <f>IF(B76="Cluster",$E$3,IF(B76="Supporting",INDEX($E$3:$E$553,MATCH(C76,$C$3:$C$553,0)),""))</f>
        <v/>
      </c>
      <c r="H76">
        <f>IF(B76="Supporting",IFERROR(INDEX($E$3:$E$553,1+Entity!$B$14+INDEX(Values!$O$3:$O$502,P76)),""),IF(B76="Cluster",IF(Entity!$B$14&lt;2,"",INDEX($E$3:$E$553,IF(A76-1=Entity!$B$14,2,A76+1))),""))</f>
        <v/>
      </c>
      <c r="I76">
        <f>IF(B76="Pillar",Entity!$B$14&amp;" cluster pages",IF(B76="Cluster",(COUNTIF($C$3:$C$553,SUBSTITUTE(SUBSTITUTE(C76,"?","~?"),"*","~*"))-1)&amp;" supporting pages",""))</f>
        <v/>
      </c>
      <c r="J76">
        <f>IF(B76="Pillar","Informational",IF(OR(B76="Cluster",B76="Supporting"),INDEX(Attributes!$D$3:$D$52,Q76)&amp;"",""))</f>
        <v/>
      </c>
      <c r="K76">
        <f>IF(B76="","",IF(B76="Pillar","Pillar guide (entity hub)",IF(B76="Cluster","Hub page for this attribute",IF(INDEX(Values!$C$3:$C$502,P76)="Yes","Entity page (profile of the sub-entity)",IFERROR(INDEX(Lists!$B$3:$B$6,MATCH(J76,Lists!$A$3:$A$6,0)),"Article")))))</f>
        <v/>
      </c>
      <c r="L76">
        <f>IF(B76="Pillar",Entity!$B$6&amp;"",IF(B76="Cluster",INDEX(Attributes!$I$3:$I$52,Q76)&amp;"",IF(B76="Supporting",INDEX(Values!$F$3:$F$502,P76)&amp;"","")))</f>
        <v/>
      </c>
      <c r="M76">
        <f>IF(B76="","",IF(L76&lt;&gt;"","Covered","Gap"))</f>
        <v/>
      </c>
      <c r="N76">
        <f>IF(B76="Pillar",SUMIFS(Values!$E$3:$E$502,Values!$I$3:$I$502,"Yes"),IF(B76="Cluster",SUMIFS(Values!$E$3:$E$502,Values!$A$3:$A$502,SUBSTITUTE(SUBSTITUTE(C76,"?","~?"),"*","~*"),Values!$I$3:$I$502,"Yes"),IF(B76="Supporting",N(INDEX(Values!$E$3:$E$502,P76)),"")))</f>
        <v/>
      </c>
      <c r="O76">
        <f>IF(B76="","",IF(B76="Pillar",100,IF(B76="Cluster",N(INDEX(Attributes!$E$3:$E$52,Q76))*25+IF(M76="Gap",10,0),N(INDEX(Attributes!$E$3:$E$52,Q76))*20+MIN(20,ROUND(LOG10(N(N76)+1)*5,0))+IF(M76="Gap",10,0)+IF(INDEX(Values!$D$3:$D$502,P76)="Yes",5,0))))</f>
        <v/>
      </c>
      <c r="P76">
        <f>IF(B76="Supporting",MATCH(A76-1-Entity!$B$14,Values!$J$3:$J$502,0),"")</f>
        <v/>
      </c>
      <c r="Q76">
        <f>IF(C76="","",MATCH(C76,Attributes!$A$3:$A$52,0))</f>
        <v/>
      </c>
      <c r="R76">
        <f>IF(B76="Pillar",SUBSTITUTE(Entity!$B$7,"{entity}",LOWER(Entity!$B$3)),IF(B76="Cluster",IF(INDEX(Attributes!$G$3:$G$52,Q76)&lt;&gt;"",INDEX(Attributes!$G$3:$G$52,Q76),SUBSTITUTE(SUBSTITUTE(Entity!$B$8,"{entity}",LOWER(Entity!$B$3)),"{attribute}",LOWER(C76))),IF(B76="Supporting",SUBSTITUTE(SUBSTITUTE(SUBSTITUTE(IF(INDEX(Attributes!$H$3:$H$52,Q76)&lt;&gt;"",INDEX(Attributes!$H$3:$H$52,Q76),Entity!$B$9),"{entity}",LOWER(Entity!$B$3)),"{value}",D76),"{attribute}",LOWER(C76)),"")))</f>
        <v/>
      </c>
    </row>
    <row r="77">
      <c r="A77">
        <f>ROW()-2</f>
        <v/>
      </c>
      <c r="B77">
        <f>IF(A77=1,"Pillar",IF(A77&lt;=1+Entity!$B$14,"Cluster",IF(A77&lt;=1+Entity!$B$14+Entity!$B$15,"Supporting","")))</f>
        <v/>
      </c>
      <c r="C77">
        <f>IF(B77="Cluster",INDEX(Attributes!$A$3:$A$52,MATCH(A77-1,Attributes!$P$3:$P$52,0)),IF(B77="Supporting",INDEX(Values!$A$3:$A$502,P77),""))</f>
        <v/>
      </c>
      <c r="D77">
        <f>IF(B77="Supporting",INDEX(Values!$B$3:$B$502,P77),"")</f>
        <v/>
      </c>
      <c r="E77">
        <f>IF(R77="","",UPPER(LEFT(R77,1))&amp;MID(R77,2,500))</f>
        <v/>
      </c>
      <c r="F77">
        <f>IF(E77="","",LOWER(SUBSTITUTE(SUBSTITUTE(SUBSTITUTE(SUBSTITUTE(SUBSTITUTE(SUBSTITUTE(SUBSTITUTE(TRIM(E77),":",""),",",""),"'",""),"&amp;","and"),"£",""),"  "," ")," ","-")))</f>
        <v/>
      </c>
      <c r="G77">
        <f>IF(B77="Cluster",$E$3,IF(B77="Supporting",INDEX($E$3:$E$553,MATCH(C77,$C$3:$C$553,0)),""))</f>
        <v/>
      </c>
      <c r="H77">
        <f>IF(B77="Supporting",IFERROR(INDEX($E$3:$E$553,1+Entity!$B$14+INDEX(Values!$O$3:$O$502,P77)),""),IF(B77="Cluster",IF(Entity!$B$14&lt;2,"",INDEX($E$3:$E$553,IF(A77-1=Entity!$B$14,2,A77+1))),""))</f>
        <v/>
      </c>
      <c r="I77">
        <f>IF(B77="Pillar",Entity!$B$14&amp;" cluster pages",IF(B77="Cluster",(COUNTIF($C$3:$C$553,SUBSTITUTE(SUBSTITUTE(C77,"?","~?"),"*","~*"))-1)&amp;" supporting pages",""))</f>
        <v/>
      </c>
      <c r="J77">
        <f>IF(B77="Pillar","Informational",IF(OR(B77="Cluster",B77="Supporting"),INDEX(Attributes!$D$3:$D$52,Q77)&amp;"",""))</f>
        <v/>
      </c>
      <c r="K77">
        <f>IF(B77="","",IF(B77="Pillar","Pillar guide (entity hub)",IF(B77="Cluster","Hub page for this attribute",IF(INDEX(Values!$C$3:$C$502,P77)="Yes","Entity page (profile of the sub-entity)",IFERROR(INDEX(Lists!$B$3:$B$6,MATCH(J77,Lists!$A$3:$A$6,0)),"Article")))))</f>
        <v/>
      </c>
      <c r="L77">
        <f>IF(B77="Pillar",Entity!$B$6&amp;"",IF(B77="Cluster",INDEX(Attributes!$I$3:$I$52,Q77)&amp;"",IF(B77="Supporting",INDEX(Values!$F$3:$F$502,P77)&amp;"","")))</f>
        <v/>
      </c>
      <c r="M77">
        <f>IF(B77="","",IF(L77&lt;&gt;"","Covered","Gap"))</f>
        <v/>
      </c>
      <c r="N77">
        <f>IF(B77="Pillar",SUMIFS(Values!$E$3:$E$502,Values!$I$3:$I$502,"Yes"),IF(B77="Cluster",SUMIFS(Values!$E$3:$E$502,Values!$A$3:$A$502,SUBSTITUTE(SUBSTITUTE(C77,"?","~?"),"*","~*"),Values!$I$3:$I$502,"Yes"),IF(B77="Supporting",N(INDEX(Values!$E$3:$E$502,P77)),"")))</f>
        <v/>
      </c>
      <c r="O77">
        <f>IF(B77="","",IF(B77="Pillar",100,IF(B77="Cluster",N(INDEX(Attributes!$E$3:$E$52,Q77))*25+IF(M77="Gap",10,0),N(INDEX(Attributes!$E$3:$E$52,Q77))*20+MIN(20,ROUND(LOG10(N(N77)+1)*5,0))+IF(M77="Gap",10,0)+IF(INDEX(Values!$D$3:$D$502,P77)="Yes",5,0))))</f>
        <v/>
      </c>
      <c r="P77">
        <f>IF(B77="Supporting",MATCH(A77-1-Entity!$B$14,Values!$J$3:$J$502,0),"")</f>
        <v/>
      </c>
      <c r="Q77">
        <f>IF(C77="","",MATCH(C77,Attributes!$A$3:$A$52,0))</f>
        <v/>
      </c>
      <c r="R77">
        <f>IF(B77="Pillar",SUBSTITUTE(Entity!$B$7,"{entity}",LOWER(Entity!$B$3)),IF(B77="Cluster",IF(INDEX(Attributes!$G$3:$G$52,Q77)&lt;&gt;"",INDEX(Attributes!$G$3:$G$52,Q77),SUBSTITUTE(SUBSTITUTE(Entity!$B$8,"{entity}",LOWER(Entity!$B$3)),"{attribute}",LOWER(C77))),IF(B77="Supporting",SUBSTITUTE(SUBSTITUTE(SUBSTITUTE(IF(INDEX(Attributes!$H$3:$H$52,Q77)&lt;&gt;"",INDEX(Attributes!$H$3:$H$52,Q77),Entity!$B$9),"{entity}",LOWER(Entity!$B$3)),"{value}",D77),"{attribute}",LOWER(C77)),"")))</f>
        <v/>
      </c>
    </row>
    <row r="78">
      <c r="A78">
        <f>ROW()-2</f>
        <v/>
      </c>
      <c r="B78">
        <f>IF(A78=1,"Pillar",IF(A78&lt;=1+Entity!$B$14,"Cluster",IF(A78&lt;=1+Entity!$B$14+Entity!$B$15,"Supporting","")))</f>
        <v/>
      </c>
      <c r="C78">
        <f>IF(B78="Cluster",INDEX(Attributes!$A$3:$A$52,MATCH(A78-1,Attributes!$P$3:$P$52,0)),IF(B78="Supporting",INDEX(Values!$A$3:$A$502,P78),""))</f>
        <v/>
      </c>
      <c r="D78">
        <f>IF(B78="Supporting",INDEX(Values!$B$3:$B$502,P78),"")</f>
        <v/>
      </c>
      <c r="E78">
        <f>IF(R78="","",UPPER(LEFT(R78,1))&amp;MID(R78,2,500))</f>
        <v/>
      </c>
      <c r="F78">
        <f>IF(E78="","",LOWER(SUBSTITUTE(SUBSTITUTE(SUBSTITUTE(SUBSTITUTE(SUBSTITUTE(SUBSTITUTE(SUBSTITUTE(TRIM(E78),":",""),",",""),"'",""),"&amp;","and"),"£",""),"  "," ")," ","-")))</f>
        <v/>
      </c>
      <c r="G78">
        <f>IF(B78="Cluster",$E$3,IF(B78="Supporting",INDEX($E$3:$E$553,MATCH(C78,$C$3:$C$553,0)),""))</f>
        <v/>
      </c>
      <c r="H78">
        <f>IF(B78="Supporting",IFERROR(INDEX($E$3:$E$553,1+Entity!$B$14+INDEX(Values!$O$3:$O$502,P78)),""),IF(B78="Cluster",IF(Entity!$B$14&lt;2,"",INDEX($E$3:$E$553,IF(A78-1=Entity!$B$14,2,A78+1))),""))</f>
        <v/>
      </c>
      <c r="I78">
        <f>IF(B78="Pillar",Entity!$B$14&amp;" cluster pages",IF(B78="Cluster",(COUNTIF($C$3:$C$553,SUBSTITUTE(SUBSTITUTE(C78,"?","~?"),"*","~*"))-1)&amp;" supporting pages",""))</f>
        <v/>
      </c>
      <c r="J78">
        <f>IF(B78="Pillar","Informational",IF(OR(B78="Cluster",B78="Supporting"),INDEX(Attributes!$D$3:$D$52,Q78)&amp;"",""))</f>
        <v/>
      </c>
      <c r="K78">
        <f>IF(B78="","",IF(B78="Pillar","Pillar guide (entity hub)",IF(B78="Cluster","Hub page for this attribute",IF(INDEX(Values!$C$3:$C$502,P78)="Yes","Entity page (profile of the sub-entity)",IFERROR(INDEX(Lists!$B$3:$B$6,MATCH(J78,Lists!$A$3:$A$6,0)),"Article")))))</f>
        <v/>
      </c>
      <c r="L78">
        <f>IF(B78="Pillar",Entity!$B$6&amp;"",IF(B78="Cluster",INDEX(Attributes!$I$3:$I$52,Q78)&amp;"",IF(B78="Supporting",INDEX(Values!$F$3:$F$502,P78)&amp;"","")))</f>
        <v/>
      </c>
      <c r="M78">
        <f>IF(B78="","",IF(L78&lt;&gt;"","Covered","Gap"))</f>
        <v/>
      </c>
      <c r="N78">
        <f>IF(B78="Pillar",SUMIFS(Values!$E$3:$E$502,Values!$I$3:$I$502,"Yes"),IF(B78="Cluster",SUMIFS(Values!$E$3:$E$502,Values!$A$3:$A$502,SUBSTITUTE(SUBSTITUTE(C78,"?","~?"),"*","~*"),Values!$I$3:$I$502,"Yes"),IF(B78="Supporting",N(INDEX(Values!$E$3:$E$502,P78)),"")))</f>
        <v/>
      </c>
      <c r="O78">
        <f>IF(B78="","",IF(B78="Pillar",100,IF(B78="Cluster",N(INDEX(Attributes!$E$3:$E$52,Q78))*25+IF(M78="Gap",10,0),N(INDEX(Attributes!$E$3:$E$52,Q78))*20+MIN(20,ROUND(LOG10(N(N78)+1)*5,0))+IF(M78="Gap",10,0)+IF(INDEX(Values!$D$3:$D$502,P78)="Yes",5,0))))</f>
        <v/>
      </c>
      <c r="P78">
        <f>IF(B78="Supporting",MATCH(A78-1-Entity!$B$14,Values!$J$3:$J$502,0),"")</f>
        <v/>
      </c>
      <c r="Q78">
        <f>IF(C78="","",MATCH(C78,Attributes!$A$3:$A$52,0))</f>
        <v/>
      </c>
      <c r="R78">
        <f>IF(B78="Pillar",SUBSTITUTE(Entity!$B$7,"{entity}",LOWER(Entity!$B$3)),IF(B78="Cluster",IF(INDEX(Attributes!$G$3:$G$52,Q78)&lt;&gt;"",INDEX(Attributes!$G$3:$G$52,Q78),SUBSTITUTE(SUBSTITUTE(Entity!$B$8,"{entity}",LOWER(Entity!$B$3)),"{attribute}",LOWER(C78))),IF(B78="Supporting",SUBSTITUTE(SUBSTITUTE(SUBSTITUTE(IF(INDEX(Attributes!$H$3:$H$52,Q78)&lt;&gt;"",INDEX(Attributes!$H$3:$H$52,Q78),Entity!$B$9),"{entity}",LOWER(Entity!$B$3)),"{value}",D78),"{attribute}",LOWER(C78)),"")))</f>
        <v/>
      </c>
    </row>
    <row r="79">
      <c r="A79">
        <f>ROW()-2</f>
        <v/>
      </c>
      <c r="B79">
        <f>IF(A79=1,"Pillar",IF(A79&lt;=1+Entity!$B$14,"Cluster",IF(A79&lt;=1+Entity!$B$14+Entity!$B$15,"Supporting","")))</f>
        <v/>
      </c>
      <c r="C79">
        <f>IF(B79="Cluster",INDEX(Attributes!$A$3:$A$52,MATCH(A79-1,Attributes!$P$3:$P$52,0)),IF(B79="Supporting",INDEX(Values!$A$3:$A$502,P79),""))</f>
        <v/>
      </c>
      <c r="D79">
        <f>IF(B79="Supporting",INDEX(Values!$B$3:$B$502,P79),"")</f>
        <v/>
      </c>
      <c r="E79">
        <f>IF(R79="","",UPPER(LEFT(R79,1))&amp;MID(R79,2,500))</f>
        <v/>
      </c>
      <c r="F79">
        <f>IF(E79="","",LOWER(SUBSTITUTE(SUBSTITUTE(SUBSTITUTE(SUBSTITUTE(SUBSTITUTE(SUBSTITUTE(SUBSTITUTE(TRIM(E79),":",""),",",""),"'",""),"&amp;","and"),"£",""),"  "," ")," ","-")))</f>
        <v/>
      </c>
      <c r="G79">
        <f>IF(B79="Cluster",$E$3,IF(B79="Supporting",INDEX($E$3:$E$553,MATCH(C79,$C$3:$C$553,0)),""))</f>
        <v/>
      </c>
      <c r="H79">
        <f>IF(B79="Supporting",IFERROR(INDEX($E$3:$E$553,1+Entity!$B$14+INDEX(Values!$O$3:$O$502,P79)),""),IF(B79="Cluster",IF(Entity!$B$14&lt;2,"",INDEX($E$3:$E$553,IF(A79-1=Entity!$B$14,2,A79+1))),""))</f>
        <v/>
      </c>
      <c r="I79">
        <f>IF(B79="Pillar",Entity!$B$14&amp;" cluster pages",IF(B79="Cluster",(COUNTIF($C$3:$C$553,SUBSTITUTE(SUBSTITUTE(C79,"?","~?"),"*","~*"))-1)&amp;" supporting pages",""))</f>
        <v/>
      </c>
      <c r="J79">
        <f>IF(B79="Pillar","Informational",IF(OR(B79="Cluster",B79="Supporting"),INDEX(Attributes!$D$3:$D$52,Q79)&amp;"",""))</f>
        <v/>
      </c>
      <c r="K79">
        <f>IF(B79="","",IF(B79="Pillar","Pillar guide (entity hub)",IF(B79="Cluster","Hub page for this attribute",IF(INDEX(Values!$C$3:$C$502,P79)="Yes","Entity page (profile of the sub-entity)",IFERROR(INDEX(Lists!$B$3:$B$6,MATCH(J79,Lists!$A$3:$A$6,0)),"Article")))))</f>
        <v/>
      </c>
      <c r="L79">
        <f>IF(B79="Pillar",Entity!$B$6&amp;"",IF(B79="Cluster",INDEX(Attributes!$I$3:$I$52,Q79)&amp;"",IF(B79="Supporting",INDEX(Values!$F$3:$F$502,P79)&amp;"","")))</f>
        <v/>
      </c>
      <c r="M79">
        <f>IF(B79="","",IF(L79&lt;&gt;"","Covered","Gap"))</f>
        <v/>
      </c>
      <c r="N79">
        <f>IF(B79="Pillar",SUMIFS(Values!$E$3:$E$502,Values!$I$3:$I$502,"Yes"),IF(B79="Cluster",SUMIFS(Values!$E$3:$E$502,Values!$A$3:$A$502,SUBSTITUTE(SUBSTITUTE(C79,"?","~?"),"*","~*"),Values!$I$3:$I$502,"Yes"),IF(B79="Supporting",N(INDEX(Values!$E$3:$E$502,P79)),"")))</f>
        <v/>
      </c>
      <c r="O79">
        <f>IF(B79="","",IF(B79="Pillar",100,IF(B79="Cluster",N(INDEX(Attributes!$E$3:$E$52,Q79))*25+IF(M79="Gap",10,0),N(INDEX(Attributes!$E$3:$E$52,Q79))*20+MIN(20,ROUND(LOG10(N(N79)+1)*5,0))+IF(M79="Gap",10,0)+IF(INDEX(Values!$D$3:$D$502,P79)="Yes",5,0))))</f>
        <v/>
      </c>
      <c r="P79">
        <f>IF(B79="Supporting",MATCH(A79-1-Entity!$B$14,Values!$J$3:$J$502,0),"")</f>
        <v/>
      </c>
      <c r="Q79">
        <f>IF(C79="","",MATCH(C79,Attributes!$A$3:$A$52,0))</f>
        <v/>
      </c>
      <c r="R79">
        <f>IF(B79="Pillar",SUBSTITUTE(Entity!$B$7,"{entity}",LOWER(Entity!$B$3)),IF(B79="Cluster",IF(INDEX(Attributes!$G$3:$G$52,Q79)&lt;&gt;"",INDEX(Attributes!$G$3:$G$52,Q79),SUBSTITUTE(SUBSTITUTE(Entity!$B$8,"{entity}",LOWER(Entity!$B$3)),"{attribute}",LOWER(C79))),IF(B79="Supporting",SUBSTITUTE(SUBSTITUTE(SUBSTITUTE(IF(INDEX(Attributes!$H$3:$H$52,Q79)&lt;&gt;"",INDEX(Attributes!$H$3:$H$52,Q79),Entity!$B$9),"{entity}",LOWER(Entity!$B$3)),"{value}",D79),"{attribute}",LOWER(C79)),"")))</f>
        <v/>
      </c>
    </row>
    <row r="80">
      <c r="A80">
        <f>ROW()-2</f>
        <v/>
      </c>
      <c r="B80">
        <f>IF(A80=1,"Pillar",IF(A80&lt;=1+Entity!$B$14,"Cluster",IF(A80&lt;=1+Entity!$B$14+Entity!$B$15,"Supporting","")))</f>
        <v/>
      </c>
      <c r="C80">
        <f>IF(B80="Cluster",INDEX(Attributes!$A$3:$A$52,MATCH(A80-1,Attributes!$P$3:$P$52,0)),IF(B80="Supporting",INDEX(Values!$A$3:$A$502,P80),""))</f>
        <v/>
      </c>
      <c r="D80">
        <f>IF(B80="Supporting",INDEX(Values!$B$3:$B$502,P80),"")</f>
        <v/>
      </c>
      <c r="E80">
        <f>IF(R80="","",UPPER(LEFT(R80,1))&amp;MID(R80,2,500))</f>
        <v/>
      </c>
      <c r="F80">
        <f>IF(E80="","",LOWER(SUBSTITUTE(SUBSTITUTE(SUBSTITUTE(SUBSTITUTE(SUBSTITUTE(SUBSTITUTE(SUBSTITUTE(TRIM(E80),":",""),",",""),"'",""),"&amp;","and"),"£",""),"  "," ")," ","-")))</f>
        <v/>
      </c>
      <c r="G80">
        <f>IF(B80="Cluster",$E$3,IF(B80="Supporting",INDEX($E$3:$E$553,MATCH(C80,$C$3:$C$553,0)),""))</f>
        <v/>
      </c>
      <c r="H80">
        <f>IF(B80="Supporting",IFERROR(INDEX($E$3:$E$553,1+Entity!$B$14+INDEX(Values!$O$3:$O$502,P80)),""),IF(B80="Cluster",IF(Entity!$B$14&lt;2,"",INDEX($E$3:$E$553,IF(A80-1=Entity!$B$14,2,A80+1))),""))</f>
        <v/>
      </c>
      <c r="I80">
        <f>IF(B80="Pillar",Entity!$B$14&amp;" cluster pages",IF(B80="Cluster",(COUNTIF($C$3:$C$553,SUBSTITUTE(SUBSTITUTE(C80,"?","~?"),"*","~*"))-1)&amp;" supporting pages",""))</f>
        <v/>
      </c>
      <c r="J80">
        <f>IF(B80="Pillar","Informational",IF(OR(B80="Cluster",B80="Supporting"),INDEX(Attributes!$D$3:$D$52,Q80)&amp;"",""))</f>
        <v/>
      </c>
      <c r="K80">
        <f>IF(B80="","",IF(B80="Pillar","Pillar guide (entity hub)",IF(B80="Cluster","Hub page for this attribute",IF(INDEX(Values!$C$3:$C$502,P80)="Yes","Entity page (profile of the sub-entity)",IFERROR(INDEX(Lists!$B$3:$B$6,MATCH(J80,Lists!$A$3:$A$6,0)),"Article")))))</f>
        <v/>
      </c>
      <c r="L80">
        <f>IF(B80="Pillar",Entity!$B$6&amp;"",IF(B80="Cluster",INDEX(Attributes!$I$3:$I$52,Q80)&amp;"",IF(B80="Supporting",INDEX(Values!$F$3:$F$502,P80)&amp;"","")))</f>
        <v/>
      </c>
      <c r="M80">
        <f>IF(B80="","",IF(L80&lt;&gt;"","Covered","Gap"))</f>
        <v/>
      </c>
      <c r="N80">
        <f>IF(B80="Pillar",SUMIFS(Values!$E$3:$E$502,Values!$I$3:$I$502,"Yes"),IF(B80="Cluster",SUMIFS(Values!$E$3:$E$502,Values!$A$3:$A$502,SUBSTITUTE(SUBSTITUTE(C80,"?","~?"),"*","~*"),Values!$I$3:$I$502,"Yes"),IF(B80="Supporting",N(INDEX(Values!$E$3:$E$502,P80)),"")))</f>
        <v/>
      </c>
      <c r="O80">
        <f>IF(B80="","",IF(B80="Pillar",100,IF(B80="Cluster",N(INDEX(Attributes!$E$3:$E$52,Q80))*25+IF(M80="Gap",10,0),N(INDEX(Attributes!$E$3:$E$52,Q80))*20+MIN(20,ROUND(LOG10(N(N80)+1)*5,0))+IF(M80="Gap",10,0)+IF(INDEX(Values!$D$3:$D$502,P80)="Yes",5,0))))</f>
        <v/>
      </c>
      <c r="P80">
        <f>IF(B80="Supporting",MATCH(A80-1-Entity!$B$14,Values!$J$3:$J$502,0),"")</f>
        <v/>
      </c>
      <c r="Q80">
        <f>IF(C80="","",MATCH(C80,Attributes!$A$3:$A$52,0))</f>
        <v/>
      </c>
      <c r="R80">
        <f>IF(B80="Pillar",SUBSTITUTE(Entity!$B$7,"{entity}",LOWER(Entity!$B$3)),IF(B80="Cluster",IF(INDEX(Attributes!$G$3:$G$52,Q80)&lt;&gt;"",INDEX(Attributes!$G$3:$G$52,Q80),SUBSTITUTE(SUBSTITUTE(Entity!$B$8,"{entity}",LOWER(Entity!$B$3)),"{attribute}",LOWER(C80))),IF(B80="Supporting",SUBSTITUTE(SUBSTITUTE(SUBSTITUTE(IF(INDEX(Attributes!$H$3:$H$52,Q80)&lt;&gt;"",INDEX(Attributes!$H$3:$H$52,Q80),Entity!$B$9),"{entity}",LOWER(Entity!$B$3)),"{value}",D80),"{attribute}",LOWER(C80)),"")))</f>
        <v/>
      </c>
    </row>
    <row r="81">
      <c r="A81">
        <f>ROW()-2</f>
        <v/>
      </c>
      <c r="B81">
        <f>IF(A81=1,"Pillar",IF(A81&lt;=1+Entity!$B$14,"Cluster",IF(A81&lt;=1+Entity!$B$14+Entity!$B$15,"Supporting","")))</f>
        <v/>
      </c>
      <c r="C81">
        <f>IF(B81="Cluster",INDEX(Attributes!$A$3:$A$52,MATCH(A81-1,Attributes!$P$3:$P$52,0)),IF(B81="Supporting",INDEX(Values!$A$3:$A$502,P81),""))</f>
        <v/>
      </c>
      <c r="D81">
        <f>IF(B81="Supporting",INDEX(Values!$B$3:$B$502,P81),"")</f>
        <v/>
      </c>
      <c r="E81">
        <f>IF(R81="","",UPPER(LEFT(R81,1))&amp;MID(R81,2,500))</f>
        <v/>
      </c>
      <c r="F81">
        <f>IF(E81="","",LOWER(SUBSTITUTE(SUBSTITUTE(SUBSTITUTE(SUBSTITUTE(SUBSTITUTE(SUBSTITUTE(SUBSTITUTE(TRIM(E81),":",""),",",""),"'",""),"&amp;","and"),"£",""),"  "," ")," ","-")))</f>
        <v/>
      </c>
      <c r="G81">
        <f>IF(B81="Cluster",$E$3,IF(B81="Supporting",INDEX($E$3:$E$553,MATCH(C81,$C$3:$C$553,0)),""))</f>
        <v/>
      </c>
      <c r="H81">
        <f>IF(B81="Supporting",IFERROR(INDEX($E$3:$E$553,1+Entity!$B$14+INDEX(Values!$O$3:$O$502,P81)),""),IF(B81="Cluster",IF(Entity!$B$14&lt;2,"",INDEX($E$3:$E$553,IF(A81-1=Entity!$B$14,2,A81+1))),""))</f>
        <v/>
      </c>
      <c r="I81">
        <f>IF(B81="Pillar",Entity!$B$14&amp;" cluster pages",IF(B81="Cluster",(COUNTIF($C$3:$C$553,SUBSTITUTE(SUBSTITUTE(C81,"?","~?"),"*","~*"))-1)&amp;" supporting pages",""))</f>
        <v/>
      </c>
      <c r="J81">
        <f>IF(B81="Pillar","Informational",IF(OR(B81="Cluster",B81="Supporting"),INDEX(Attributes!$D$3:$D$52,Q81)&amp;"",""))</f>
        <v/>
      </c>
      <c r="K81">
        <f>IF(B81="","",IF(B81="Pillar","Pillar guide (entity hub)",IF(B81="Cluster","Hub page for this attribute",IF(INDEX(Values!$C$3:$C$502,P81)="Yes","Entity page (profile of the sub-entity)",IFERROR(INDEX(Lists!$B$3:$B$6,MATCH(J81,Lists!$A$3:$A$6,0)),"Article")))))</f>
        <v/>
      </c>
      <c r="L81">
        <f>IF(B81="Pillar",Entity!$B$6&amp;"",IF(B81="Cluster",INDEX(Attributes!$I$3:$I$52,Q81)&amp;"",IF(B81="Supporting",INDEX(Values!$F$3:$F$502,P81)&amp;"","")))</f>
        <v/>
      </c>
      <c r="M81">
        <f>IF(B81="","",IF(L81&lt;&gt;"","Covered","Gap"))</f>
        <v/>
      </c>
      <c r="N81">
        <f>IF(B81="Pillar",SUMIFS(Values!$E$3:$E$502,Values!$I$3:$I$502,"Yes"),IF(B81="Cluster",SUMIFS(Values!$E$3:$E$502,Values!$A$3:$A$502,SUBSTITUTE(SUBSTITUTE(C81,"?","~?"),"*","~*"),Values!$I$3:$I$502,"Yes"),IF(B81="Supporting",N(INDEX(Values!$E$3:$E$502,P81)),"")))</f>
        <v/>
      </c>
      <c r="O81">
        <f>IF(B81="","",IF(B81="Pillar",100,IF(B81="Cluster",N(INDEX(Attributes!$E$3:$E$52,Q81))*25+IF(M81="Gap",10,0),N(INDEX(Attributes!$E$3:$E$52,Q81))*20+MIN(20,ROUND(LOG10(N(N81)+1)*5,0))+IF(M81="Gap",10,0)+IF(INDEX(Values!$D$3:$D$502,P81)="Yes",5,0))))</f>
        <v/>
      </c>
      <c r="P81">
        <f>IF(B81="Supporting",MATCH(A81-1-Entity!$B$14,Values!$J$3:$J$502,0),"")</f>
        <v/>
      </c>
      <c r="Q81">
        <f>IF(C81="","",MATCH(C81,Attributes!$A$3:$A$52,0))</f>
        <v/>
      </c>
      <c r="R81">
        <f>IF(B81="Pillar",SUBSTITUTE(Entity!$B$7,"{entity}",LOWER(Entity!$B$3)),IF(B81="Cluster",IF(INDEX(Attributes!$G$3:$G$52,Q81)&lt;&gt;"",INDEX(Attributes!$G$3:$G$52,Q81),SUBSTITUTE(SUBSTITUTE(Entity!$B$8,"{entity}",LOWER(Entity!$B$3)),"{attribute}",LOWER(C81))),IF(B81="Supporting",SUBSTITUTE(SUBSTITUTE(SUBSTITUTE(IF(INDEX(Attributes!$H$3:$H$52,Q81)&lt;&gt;"",INDEX(Attributes!$H$3:$H$52,Q81),Entity!$B$9),"{entity}",LOWER(Entity!$B$3)),"{value}",D81),"{attribute}",LOWER(C81)),"")))</f>
        <v/>
      </c>
    </row>
    <row r="82">
      <c r="A82">
        <f>ROW()-2</f>
        <v/>
      </c>
      <c r="B82">
        <f>IF(A82=1,"Pillar",IF(A82&lt;=1+Entity!$B$14,"Cluster",IF(A82&lt;=1+Entity!$B$14+Entity!$B$15,"Supporting","")))</f>
        <v/>
      </c>
      <c r="C82">
        <f>IF(B82="Cluster",INDEX(Attributes!$A$3:$A$52,MATCH(A82-1,Attributes!$P$3:$P$52,0)),IF(B82="Supporting",INDEX(Values!$A$3:$A$502,P82),""))</f>
        <v/>
      </c>
      <c r="D82">
        <f>IF(B82="Supporting",INDEX(Values!$B$3:$B$502,P82),"")</f>
        <v/>
      </c>
      <c r="E82">
        <f>IF(R82="","",UPPER(LEFT(R82,1))&amp;MID(R82,2,500))</f>
        <v/>
      </c>
      <c r="F82">
        <f>IF(E82="","",LOWER(SUBSTITUTE(SUBSTITUTE(SUBSTITUTE(SUBSTITUTE(SUBSTITUTE(SUBSTITUTE(SUBSTITUTE(TRIM(E82),":",""),",",""),"'",""),"&amp;","and"),"£",""),"  "," ")," ","-")))</f>
        <v/>
      </c>
      <c r="G82">
        <f>IF(B82="Cluster",$E$3,IF(B82="Supporting",INDEX($E$3:$E$553,MATCH(C82,$C$3:$C$553,0)),""))</f>
        <v/>
      </c>
      <c r="H82">
        <f>IF(B82="Supporting",IFERROR(INDEX($E$3:$E$553,1+Entity!$B$14+INDEX(Values!$O$3:$O$502,P82)),""),IF(B82="Cluster",IF(Entity!$B$14&lt;2,"",INDEX($E$3:$E$553,IF(A82-1=Entity!$B$14,2,A82+1))),""))</f>
        <v/>
      </c>
      <c r="I82">
        <f>IF(B82="Pillar",Entity!$B$14&amp;" cluster pages",IF(B82="Cluster",(COUNTIF($C$3:$C$553,SUBSTITUTE(SUBSTITUTE(C82,"?","~?"),"*","~*"))-1)&amp;" supporting pages",""))</f>
        <v/>
      </c>
      <c r="J82">
        <f>IF(B82="Pillar","Informational",IF(OR(B82="Cluster",B82="Supporting"),INDEX(Attributes!$D$3:$D$52,Q82)&amp;"",""))</f>
        <v/>
      </c>
      <c r="K82">
        <f>IF(B82="","",IF(B82="Pillar","Pillar guide (entity hub)",IF(B82="Cluster","Hub page for this attribute",IF(INDEX(Values!$C$3:$C$502,P82)="Yes","Entity page (profile of the sub-entity)",IFERROR(INDEX(Lists!$B$3:$B$6,MATCH(J82,Lists!$A$3:$A$6,0)),"Article")))))</f>
        <v/>
      </c>
      <c r="L82">
        <f>IF(B82="Pillar",Entity!$B$6&amp;"",IF(B82="Cluster",INDEX(Attributes!$I$3:$I$52,Q82)&amp;"",IF(B82="Supporting",INDEX(Values!$F$3:$F$502,P82)&amp;"","")))</f>
        <v/>
      </c>
      <c r="M82">
        <f>IF(B82="","",IF(L82&lt;&gt;"","Covered","Gap"))</f>
        <v/>
      </c>
      <c r="N82">
        <f>IF(B82="Pillar",SUMIFS(Values!$E$3:$E$502,Values!$I$3:$I$502,"Yes"),IF(B82="Cluster",SUMIFS(Values!$E$3:$E$502,Values!$A$3:$A$502,SUBSTITUTE(SUBSTITUTE(C82,"?","~?"),"*","~*"),Values!$I$3:$I$502,"Yes"),IF(B82="Supporting",N(INDEX(Values!$E$3:$E$502,P82)),"")))</f>
        <v/>
      </c>
      <c r="O82">
        <f>IF(B82="","",IF(B82="Pillar",100,IF(B82="Cluster",N(INDEX(Attributes!$E$3:$E$52,Q82))*25+IF(M82="Gap",10,0),N(INDEX(Attributes!$E$3:$E$52,Q82))*20+MIN(20,ROUND(LOG10(N(N82)+1)*5,0))+IF(M82="Gap",10,0)+IF(INDEX(Values!$D$3:$D$502,P82)="Yes",5,0))))</f>
        <v/>
      </c>
      <c r="P82">
        <f>IF(B82="Supporting",MATCH(A82-1-Entity!$B$14,Values!$J$3:$J$502,0),"")</f>
        <v/>
      </c>
      <c r="Q82">
        <f>IF(C82="","",MATCH(C82,Attributes!$A$3:$A$52,0))</f>
        <v/>
      </c>
      <c r="R82">
        <f>IF(B82="Pillar",SUBSTITUTE(Entity!$B$7,"{entity}",LOWER(Entity!$B$3)),IF(B82="Cluster",IF(INDEX(Attributes!$G$3:$G$52,Q82)&lt;&gt;"",INDEX(Attributes!$G$3:$G$52,Q82),SUBSTITUTE(SUBSTITUTE(Entity!$B$8,"{entity}",LOWER(Entity!$B$3)),"{attribute}",LOWER(C82))),IF(B82="Supporting",SUBSTITUTE(SUBSTITUTE(SUBSTITUTE(IF(INDEX(Attributes!$H$3:$H$52,Q82)&lt;&gt;"",INDEX(Attributes!$H$3:$H$52,Q82),Entity!$B$9),"{entity}",LOWER(Entity!$B$3)),"{value}",D82),"{attribute}",LOWER(C82)),"")))</f>
        <v/>
      </c>
    </row>
    <row r="83">
      <c r="A83">
        <f>ROW()-2</f>
        <v/>
      </c>
      <c r="B83">
        <f>IF(A83=1,"Pillar",IF(A83&lt;=1+Entity!$B$14,"Cluster",IF(A83&lt;=1+Entity!$B$14+Entity!$B$15,"Supporting","")))</f>
        <v/>
      </c>
      <c r="C83">
        <f>IF(B83="Cluster",INDEX(Attributes!$A$3:$A$52,MATCH(A83-1,Attributes!$P$3:$P$52,0)),IF(B83="Supporting",INDEX(Values!$A$3:$A$502,P83),""))</f>
        <v/>
      </c>
      <c r="D83">
        <f>IF(B83="Supporting",INDEX(Values!$B$3:$B$502,P83),"")</f>
        <v/>
      </c>
      <c r="E83">
        <f>IF(R83="","",UPPER(LEFT(R83,1))&amp;MID(R83,2,500))</f>
        <v/>
      </c>
      <c r="F83">
        <f>IF(E83="","",LOWER(SUBSTITUTE(SUBSTITUTE(SUBSTITUTE(SUBSTITUTE(SUBSTITUTE(SUBSTITUTE(SUBSTITUTE(TRIM(E83),":",""),",",""),"'",""),"&amp;","and"),"£",""),"  "," ")," ","-")))</f>
        <v/>
      </c>
      <c r="G83">
        <f>IF(B83="Cluster",$E$3,IF(B83="Supporting",INDEX($E$3:$E$553,MATCH(C83,$C$3:$C$553,0)),""))</f>
        <v/>
      </c>
      <c r="H83">
        <f>IF(B83="Supporting",IFERROR(INDEX($E$3:$E$553,1+Entity!$B$14+INDEX(Values!$O$3:$O$502,P83)),""),IF(B83="Cluster",IF(Entity!$B$14&lt;2,"",INDEX($E$3:$E$553,IF(A83-1=Entity!$B$14,2,A83+1))),""))</f>
        <v/>
      </c>
      <c r="I83">
        <f>IF(B83="Pillar",Entity!$B$14&amp;" cluster pages",IF(B83="Cluster",(COUNTIF($C$3:$C$553,SUBSTITUTE(SUBSTITUTE(C83,"?","~?"),"*","~*"))-1)&amp;" supporting pages",""))</f>
        <v/>
      </c>
      <c r="J83">
        <f>IF(B83="Pillar","Informational",IF(OR(B83="Cluster",B83="Supporting"),INDEX(Attributes!$D$3:$D$52,Q83)&amp;"",""))</f>
        <v/>
      </c>
      <c r="K83">
        <f>IF(B83="","",IF(B83="Pillar","Pillar guide (entity hub)",IF(B83="Cluster","Hub page for this attribute",IF(INDEX(Values!$C$3:$C$502,P83)="Yes","Entity page (profile of the sub-entity)",IFERROR(INDEX(Lists!$B$3:$B$6,MATCH(J83,Lists!$A$3:$A$6,0)),"Article")))))</f>
        <v/>
      </c>
      <c r="L83">
        <f>IF(B83="Pillar",Entity!$B$6&amp;"",IF(B83="Cluster",INDEX(Attributes!$I$3:$I$52,Q83)&amp;"",IF(B83="Supporting",INDEX(Values!$F$3:$F$502,P83)&amp;"","")))</f>
        <v/>
      </c>
      <c r="M83">
        <f>IF(B83="","",IF(L83&lt;&gt;"","Covered","Gap"))</f>
        <v/>
      </c>
      <c r="N83">
        <f>IF(B83="Pillar",SUMIFS(Values!$E$3:$E$502,Values!$I$3:$I$502,"Yes"),IF(B83="Cluster",SUMIFS(Values!$E$3:$E$502,Values!$A$3:$A$502,SUBSTITUTE(SUBSTITUTE(C83,"?","~?"),"*","~*"),Values!$I$3:$I$502,"Yes"),IF(B83="Supporting",N(INDEX(Values!$E$3:$E$502,P83)),"")))</f>
        <v/>
      </c>
      <c r="O83">
        <f>IF(B83="","",IF(B83="Pillar",100,IF(B83="Cluster",N(INDEX(Attributes!$E$3:$E$52,Q83))*25+IF(M83="Gap",10,0),N(INDEX(Attributes!$E$3:$E$52,Q83))*20+MIN(20,ROUND(LOG10(N(N83)+1)*5,0))+IF(M83="Gap",10,0)+IF(INDEX(Values!$D$3:$D$502,P83)="Yes",5,0))))</f>
        <v/>
      </c>
      <c r="P83">
        <f>IF(B83="Supporting",MATCH(A83-1-Entity!$B$14,Values!$J$3:$J$502,0),"")</f>
        <v/>
      </c>
      <c r="Q83">
        <f>IF(C83="","",MATCH(C83,Attributes!$A$3:$A$52,0))</f>
        <v/>
      </c>
      <c r="R83">
        <f>IF(B83="Pillar",SUBSTITUTE(Entity!$B$7,"{entity}",LOWER(Entity!$B$3)),IF(B83="Cluster",IF(INDEX(Attributes!$G$3:$G$52,Q83)&lt;&gt;"",INDEX(Attributes!$G$3:$G$52,Q83),SUBSTITUTE(SUBSTITUTE(Entity!$B$8,"{entity}",LOWER(Entity!$B$3)),"{attribute}",LOWER(C83))),IF(B83="Supporting",SUBSTITUTE(SUBSTITUTE(SUBSTITUTE(IF(INDEX(Attributes!$H$3:$H$52,Q83)&lt;&gt;"",INDEX(Attributes!$H$3:$H$52,Q83),Entity!$B$9),"{entity}",LOWER(Entity!$B$3)),"{value}",D83),"{attribute}",LOWER(C83)),"")))</f>
        <v/>
      </c>
    </row>
    <row r="84">
      <c r="A84">
        <f>ROW()-2</f>
        <v/>
      </c>
      <c r="B84">
        <f>IF(A84=1,"Pillar",IF(A84&lt;=1+Entity!$B$14,"Cluster",IF(A84&lt;=1+Entity!$B$14+Entity!$B$15,"Supporting","")))</f>
        <v/>
      </c>
      <c r="C84">
        <f>IF(B84="Cluster",INDEX(Attributes!$A$3:$A$52,MATCH(A84-1,Attributes!$P$3:$P$52,0)),IF(B84="Supporting",INDEX(Values!$A$3:$A$502,P84),""))</f>
        <v/>
      </c>
      <c r="D84">
        <f>IF(B84="Supporting",INDEX(Values!$B$3:$B$502,P84),"")</f>
        <v/>
      </c>
      <c r="E84">
        <f>IF(R84="","",UPPER(LEFT(R84,1))&amp;MID(R84,2,500))</f>
        <v/>
      </c>
      <c r="F84">
        <f>IF(E84="","",LOWER(SUBSTITUTE(SUBSTITUTE(SUBSTITUTE(SUBSTITUTE(SUBSTITUTE(SUBSTITUTE(SUBSTITUTE(TRIM(E84),":",""),",",""),"'",""),"&amp;","and"),"£",""),"  "," ")," ","-")))</f>
        <v/>
      </c>
      <c r="G84">
        <f>IF(B84="Cluster",$E$3,IF(B84="Supporting",INDEX($E$3:$E$553,MATCH(C84,$C$3:$C$553,0)),""))</f>
        <v/>
      </c>
      <c r="H84">
        <f>IF(B84="Supporting",IFERROR(INDEX($E$3:$E$553,1+Entity!$B$14+INDEX(Values!$O$3:$O$502,P84)),""),IF(B84="Cluster",IF(Entity!$B$14&lt;2,"",INDEX($E$3:$E$553,IF(A84-1=Entity!$B$14,2,A84+1))),""))</f>
        <v/>
      </c>
      <c r="I84">
        <f>IF(B84="Pillar",Entity!$B$14&amp;" cluster pages",IF(B84="Cluster",(COUNTIF($C$3:$C$553,SUBSTITUTE(SUBSTITUTE(C84,"?","~?"),"*","~*"))-1)&amp;" supporting pages",""))</f>
        <v/>
      </c>
      <c r="J84">
        <f>IF(B84="Pillar","Informational",IF(OR(B84="Cluster",B84="Supporting"),INDEX(Attributes!$D$3:$D$52,Q84)&amp;"",""))</f>
        <v/>
      </c>
      <c r="K84">
        <f>IF(B84="","",IF(B84="Pillar","Pillar guide (entity hub)",IF(B84="Cluster","Hub page for this attribute",IF(INDEX(Values!$C$3:$C$502,P84)="Yes","Entity page (profile of the sub-entity)",IFERROR(INDEX(Lists!$B$3:$B$6,MATCH(J84,Lists!$A$3:$A$6,0)),"Article")))))</f>
        <v/>
      </c>
      <c r="L84">
        <f>IF(B84="Pillar",Entity!$B$6&amp;"",IF(B84="Cluster",INDEX(Attributes!$I$3:$I$52,Q84)&amp;"",IF(B84="Supporting",INDEX(Values!$F$3:$F$502,P84)&amp;"","")))</f>
        <v/>
      </c>
      <c r="M84">
        <f>IF(B84="","",IF(L84&lt;&gt;"","Covered","Gap"))</f>
        <v/>
      </c>
      <c r="N84">
        <f>IF(B84="Pillar",SUMIFS(Values!$E$3:$E$502,Values!$I$3:$I$502,"Yes"),IF(B84="Cluster",SUMIFS(Values!$E$3:$E$502,Values!$A$3:$A$502,SUBSTITUTE(SUBSTITUTE(C84,"?","~?"),"*","~*"),Values!$I$3:$I$502,"Yes"),IF(B84="Supporting",N(INDEX(Values!$E$3:$E$502,P84)),"")))</f>
        <v/>
      </c>
      <c r="O84">
        <f>IF(B84="","",IF(B84="Pillar",100,IF(B84="Cluster",N(INDEX(Attributes!$E$3:$E$52,Q84))*25+IF(M84="Gap",10,0),N(INDEX(Attributes!$E$3:$E$52,Q84))*20+MIN(20,ROUND(LOG10(N(N84)+1)*5,0))+IF(M84="Gap",10,0)+IF(INDEX(Values!$D$3:$D$502,P84)="Yes",5,0))))</f>
        <v/>
      </c>
      <c r="P84">
        <f>IF(B84="Supporting",MATCH(A84-1-Entity!$B$14,Values!$J$3:$J$502,0),"")</f>
        <v/>
      </c>
      <c r="Q84">
        <f>IF(C84="","",MATCH(C84,Attributes!$A$3:$A$52,0))</f>
        <v/>
      </c>
      <c r="R84">
        <f>IF(B84="Pillar",SUBSTITUTE(Entity!$B$7,"{entity}",LOWER(Entity!$B$3)),IF(B84="Cluster",IF(INDEX(Attributes!$G$3:$G$52,Q84)&lt;&gt;"",INDEX(Attributes!$G$3:$G$52,Q84),SUBSTITUTE(SUBSTITUTE(Entity!$B$8,"{entity}",LOWER(Entity!$B$3)),"{attribute}",LOWER(C84))),IF(B84="Supporting",SUBSTITUTE(SUBSTITUTE(SUBSTITUTE(IF(INDEX(Attributes!$H$3:$H$52,Q84)&lt;&gt;"",INDEX(Attributes!$H$3:$H$52,Q84),Entity!$B$9),"{entity}",LOWER(Entity!$B$3)),"{value}",D84),"{attribute}",LOWER(C84)),"")))</f>
        <v/>
      </c>
    </row>
    <row r="85">
      <c r="A85">
        <f>ROW()-2</f>
        <v/>
      </c>
      <c r="B85">
        <f>IF(A85=1,"Pillar",IF(A85&lt;=1+Entity!$B$14,"Cluster",IF(A85&lt;=1+Entity!$B$14+Entity!$B$15,"Supporting","")))</f>
        <v/>
      </c>
      <c r="C85">
        <f>IF(B85="Cluster",INDEX(Attributes!$A$3:$A$52,MATCH(A85-1,Attributes!$P$3:$P$52,0)),IF(B85="Supporting",INDEX(Values!$A$3:$A$502,P85),""))</f>
        <v/>
      </c>
      <c r="D85">
        <f>IF(B85="Supporting",INDEX(Values!$B$3:$B$502,P85),"")</f>
        <v/>
      </c>
      <c r="E85">
        <f>IF(R85="","",UPPER(LEFT(R85,1))&amp;MID(R85,2,500))</f>
        <v/>
      </c>
      <c r="F85">
        <f>IF(E85="","",LOWER(SUBSTITUTE(SUBSTITUTE(SUBSTITUTE(SUBSTITUTE(SUBSTITUTE(SUBSTITUTE(SUBSTITUTE(TRIM(E85),":",""),",",""),"'",""),"&amp;","and"),"£",""),"  "," ")," ","-")))</f>
        <v/>
      </c>
      <c r="G85">
        <f>IF(B85="Cluster",$E$3,IF(B85="Supporting",INDEX($E$3:$E$553,MATCH(C85,$C$3:$C$553,0)),""))</f>
        <v/>
      </c>
      <c r="H85">
        <f>IF(B85="Supporting",IFERROR(INDEX($E$3:$E$553,1+Entity!$B$14+INDEX(Values!$O$3:$O$502,P85)),""),IF(B85="Cluster",IF(Entity!$B$14&lt;2,"",INDEX($E$3:$E$553,IF(A85-1=Entity!$B$14,2,A85+1))),""))</f>
        <v/>
      </c>
      <c r="I85">
        <f>IF(B85="Pillar",Entity!$B$14&amp;" cluster pages",IF(B85="Cluster",(COUNTIF($C$3:$C$553,SUBSTITUTE(SUBSTITUTE(C85,"?","~?"),"*","~*"))-1)&amp;" supporting pages",""))</f>
        <v/>
      </c>
      <c r="J85">
        <f>IF(B85="Pillar","Informational",IF(OR(B85="Cluster",B85="Supporting"),INDEX(Attributes!$D$3:$D$52,Q85)&amp;"",""))</f>
        <v/>
      </c>
      <c r="K85">
        <f>IF(B85="","",IF(B85="Pillar","Pillar guide (entity hub)",IF(B85="Cluster","Hub page for this attribute",IF(INDEX(Values!$C$3:$C$502,P85)="Yes","Entity page (profile of the sub-entity)",IFERROR(INDEX(Lists!$B$3:$B$6,MATCH(J85,Lists!$A$3:$A$6,0)),"Article")))))</f>
        <v/>
      </c>
      <c r="L85">
        <f>IF(B85="Pillar",Entity!$B$6&amp;"",IF(B85="Cluster",INDEX(Attributes!$I$3:$I$52,Q85)&amp;"",IF(B85="Supporting",INDEX(Values!$F$3:$F$502,P85)&amp;"","")))</f>
        <v/>
      </c>
      <c r="M85">
        <f>IF(B85="","",IF(L85&lt;&gt;"","Covered","Gap"))</f>
        <v/>
      </c>
      <c r="N85">
        <f>IF(B85="Pillar",SUMIFS(Values!$E$3:$E$502,Values!$I$3:$I$502,"Yes"),IF(B85="Cluster",SUMIFS(Values!$E$3:$E$502,Values!$A$3:$A$502,SUBSTITUTE(SUBSTITUTE(C85,"?","~?"),"*","~*"),Values!$I$3:$I$502,"Yes"),IF(B85="Supporting",N(INDEX(Values!$E$3:$E$502,P85)),"")))</f>
        <v/>
      </c>
      <c r="O85">
        <f>IF(B85="","",IF(B85="Pillar",100,IF(B85="Cluster",N(INDEX(Attributes!$E$3:$E$52,Q85))*25+IF(M85="Gap",10,0),N(INDEX(Attributes!$E$3:$E$52,Q85))*20+MIN(20,ROUND(LOG10(N(N85)+1)*5,0))+IF(M85="Gap",10,0)+IF(INDEX(Values!$D$3:$D$502,P85)="Yes",5,0))))</f>
        <v/>
      </c>
      <c r="P85">
        <f>IF(B85="Supporting",MATCH(A85-1-Entity!$B$14,Values!$J$3:$J$502,0),"")</f>
        <v/>
      </c>
      <c r="Q85">
        <f>IF(C85="","",MATCH(C85,Attributes!$A$3:$A$52,0))</f>
        <v/>
      </c>
      <c r="R85">
        <f>IF(B85="Pillar",SUBSTITUTE(Entity!$B$7,"{entity}",LOWER(Entity!$B$3)),IF(B85="Cluster",IF(INDEX(Attributes!$G$3:$G$52,Q85)&lt;&gt;"",INDEX(Attributes!$G$3:$G$52,Q85),SUBSTITUTE(SUBSTITUTE(Entity!$B$8,"{entity}",LOWER(Entity!$B$3)),"{attribute}",LOWER(C85))),IF(B85="Supporting",SUBSTITUTE(SUBSTITUTE(SUBSTITUTE(IF(INDEX(Attributes!$H$3:$H$52,Q85)&lt;&gt;"",INDEX(Attributes!$H$3:$H$52,Q85),Entity!$B$9),"{entity}",LOWER(Entity!$B$3)),"{value}",D85),"{attribute}",LOWER(C85)),"")))</f>
        <v/>
      </c>
    </row>
    <row r="86">
      <c r="A86">
        <f>ROW()-2</f>
        <v/>
      </c>
      <c r="B86">
        <f>IF(A86=1,"Pillar",IF(A86&lt;=1+Entity!$B$14,"Cluster",IF(A86&lt;=1+Entity!$B$14+Entity!$B$15,"Supporting","")))</f>
        <v/>
      </c>
      <c r="C86">
        <f>IF(B86="Cluster",INDEX(Attributes!$A$3:$A$52,MATCH(A86-1,Attributes!$P$3:$P$52,0)),IF(B86="Supporting",INDEX(Values!$A$3:$A$502,P86),""))</f>
        <v/>
      </c>
      <c r="D86">
        <f>IF(B86="Supporting",INDEX(Values!$B$3:$B$502,P86),"")</f>
        <v/>
      </c>
      <c r="E86">
        <f>IF(R86="","",UPPER(LEFT(R86,1))&amp;MID(R86,2,500))</f>
        <v/>
      </c>
      <c r="F86">
        <f>IF(E86="","",LOWER(SUBSTITUTE(SUBSTITUTE(SUBSTITUTE(SUBSTITUTE(SUBSTITUTE(SUBSTITUTE(SUBSTITUTE(TRIM(E86),":",""),",",""),"'",""),"&amp;","and"),"£",""),"  "," ")," ","-")))</f>
        <v/>
      </c>
      <c r="G86">
        <f>IF(B86="Cluster",$E$3,IF(B86="Supporting",INDEX($E$3:$E$553,MATCH(C86,$C$3:$C$553,0)),""))</f>
        <v/>
      </c>
      <c r="H86">
        <f>IF(B86="Supporting",IFERROR(INDEX($E$3:$E$553,1+Entity!$B$14+INDEX(Values!$O$3:$O$502,P86)),""),IF(B86="Cluster",IF(Entity!$B$14&lt;2,"",INDEX($E$3:$E$553,IF(A86-1=Entity!$B$14,2,A86+1))),""))</f>
        <v/>
      </c>
      <c r="I86">
        <f>IF(B86="Pillar",Entity!$B$14&amp;" cluster pages",IF(B86="Cluster",(COUNTIF($C$3:$C$553,SUBSTITUTE(SUBSTITUTE(C86,"?","~?"),"*","~*"))-1)&amp;" supporting pages",""))</f>
        <v/>
      </c>
      <c r="J86">
        <f>IF(B86="Pillar","Informational",IF(OR(B86="Cluster",B86="Supporting"),INDEX(Attributes!$D$3:$D$52,Q86)&amp;"",""))</f>
        <v/>
      </c>
      <c r="K86">
        <f>IF(B86="","",IF(B86="Pillar","Pillar guide (entity hub)",IF(B86="Cluster","Hub page for this attribute",IF(INDEX(Values!$C$3:$C$502,P86)="Yes","Entity page (profile of the sub-entity)",IFERROR(INDEX(Lists!$B$3:$B$6,MATCH(J86,Lists!$A$3:$A$6,0)),"Article")))))</f>
        <v/>
      </c>
      <c r="L86">
        <f>IF(B86="Pillar",Entity!$B$6&amp;"",IF(B86="Cluster",INDEX(Attributes!$I$3:$I$52,Q86)&amp;"",IF(B86="Supporting",INDEX(Values!$F$3:$F$502,P86)&amp;"","")))</f>
        <v/>
      </c>
      <c r="M86">
        <f>IF(B86="","",IF(L86&lt;&gt;"","Covered","Gap"))</f>
        <v/>
      </c>
      <c r="N86">
        <f>IF(B86="Pillar",SUMIFS(Values!$E$3:$E$502,Values!$I$3:$I$502,"Yes"),IF(B86="Cluster",SUMIFS(Values!$E$3:$E$502,Values!$A$3:$A$502,SUBSTITUTE(SUBSTITUTE(C86,"?","~?"),"*","~*"),Values!$I$3:$I$502,"Yes"),IF(B86="Supporting",N(INDEX(Values!$E$3:$E$502,P86)),"")))</f>
        <v/>
      </c>
      <c r="O86">
        <f>IF(B86="","",IF(B86="Pillar",100,IF(B86="Cluster",N(INDEX(Attributes!$E$3:$E$52,Q86))*25+IF(M86="Gap",10,0),N(INDEX(Attributes!$E$3:$E$52,Q86))*20+MIN(20,ROUND(LOG10(N(N86)+1)*5,0))+IF(M86="Gap",10,0)+IF(INDEX(Values!$D$3:$D$502,P86)="Yes",5,0))))</f>
        <v/>
      </c>
      <c r="P86">
        <f>IF(B86="Supporting",MATCH(A86-1-Entity!$B$14,Values!$J$3:$J$502,0),"")</f>
        <v/>
      </c>
      <c r="Q86">
        <f>IF(C86="","",MATCH(C86,Attributes!$A$3:$A$52,0))</f>
        <v/>
      </c>
      <c r="R86">
        <f>IF(B86="Pillar",SUBSTITUTE(Entity!$B$7,"{entity}",LOWER(Entity!$B$3)),IF(B86="Cluster",IF(INDEX(Attributes!$G$3:$G$52,Q86)&lt;&gt;"",INDEX(Attributes!$G$3:$G$52,Q86),SUBSTITUTE(SUBSTITUTE(Entity!$B$8,"{entity}",LOWER(Entity!$B$3)),"{attribute}",LOWER(C86))),IF(B86="Supporting",SUBSTITUTE(SUBSTITUTE(SUBSTITUTE(IF(INDEX(Attributes!$H$3:$H$52,Q86)&lt;&gt;"",INDEX(Attributes!$H$3:$H$52,Q86),Entity!$B$9),"{entity}",LOWER(Entity!$B$3)),"{value}",D86),"{attribute}",LOWER(C86)),"")))</f>
        <v/>
      </c>
    </row>
    <row r="87">
      <c r="A87">
        <f>ROW()-2</f>
        <v/>
      </c>
      <c r="B87">
        <f>IF(A87=1,"Pillar",IF(A87&lt;=1+Entity!$B$14,"Cluster",IF(A87&lt;=1+Entity!$B$14+Entity!$B$15,"Supporting","")))</f>
        <v/>
      </c>
      <c r="C87">
        <f>IF(B87="Cluster",INDEX(Attributes!$A$3:$A$52,MATCH(A87-1,Attributes!$P$3:$P$52,0)),IF(B87="Supporting",INDEX(Values!$A$3:$A$502,P87),""))</f>
        <v/>
      </c>
      <c r="D87">
        <f>IF(B87="Supporting",INDEX(Values!$B$3:$B$502,P87),"")</f>
        <v/>
      </c>
      <c r="E87">
        <f>IF(R87="","",UPPER(LEFT(R87,1))&amp;MID(R87,2,500))</f>
        <v/>
      </c>
      <c r="F87">
        <f>IF(E87="","",LOWER(SUBSTITUTE(SUBSTITUTE(SUBSTITUTE(SUBSTITUTE(SUBSTITUTE(SUBSTITUTE(SUBSTITUTE(TRIM(E87),":",""),",",""),"'",""),"&amp;","and"),"£",""),"  "," ")," ","-")))</f>
        <v/>
      </c>
      <c r="G87">
        <f>IF(B87="Cluster",$E$3,IF(B87="Supporting",INDEX($E$3:$E$553,MATCH(C87,$C$3:$C$553,0)),""))</f>
        <v/>
      </c>
      <c r="H87">
        <f>IF(B87="Supporting",IFERROR(INDEX($E$3:$E$553,1+Entity!$B$14+INDEX(Values!$O$3:$O$502,P87)),""),IF(B87="Cluster",IF(Entity!$B$14&lt;2,"",INDEX($E$3:$E$553,IF(A87-1=Entity!$B$14,2,A87+1))),""))</f>
        <v/>
      </c>
      <c r="I87">
        <f>IF(B87="Pillar",Entity!$B$14&amp;" cluster pages",IF(B87="Cluster",(COUNTIF($C$3:$C$553,SUBSTITUTE(SUBSTITUTE(C87,"?","~?"),"*","~*"))-1)&amp;" supporting pages",""))</f>
        <v/>
      </c>
      <c r="J87">
        <f>IF(B87="Pillar","Informational",IF(OR(B87="Cluster",B87="Supporting"),INDEX(Attributes!$D$3:$D$52,Q87)&amp;"",""))</f>
        <v/>
      </c>
      <c r="K87">
        <f>IF(B87="","",IF(B87="Pillar","Pillar guide (entity hub)",IF(B87="Cluster","Hub page for this attribute",IF(INDEX(Values!$C$3:$C$502,P87)="Yes","Entity page (profile of the sub-entity)",IFERROR(INDEX(Lists!$B$3:$B$6,MATCH(J87,Lists!$A$3:$A$6,0)),"Article")))))</f>
        <v/>
      </c>
      <c r="L87">
        <f>IF(B87="Pillar",Entity!$B$6&amp;"",IF(B87="Cluster",INDEX(Attributes!$I$3:$I$52,Q87)&amp;"",IF(B87="Supporting",INDEX(Values!$F$3:$F$502,P87)&amp;"","")))</f>
        <v/>
      </c>
      <c r="M87">
        <f>IF(B87="","",IF(L87&lt;&gt;"","Covered","Gap"))</f>
        <v/>
      </c>
      <c r="N87">
        <f>IF(B87="Pillar",SUMIFS(Values!$E$3:$E$502,Values!$I$3:$I$502,"Yes"),IF(B87="Cluster",SUMIFS(Values!$E$3:$E$502,Values!$A$3:$A$502,SUBSTITUTE(SUBSTITUTE(C87,"?","~?"),"*","~*"),Values!$I$3:$I$502,"Yes"),IF(B87="Supporting",N(INDEX(Values!$E$3:$E$502,P87)),"")))</f>
        <v/>
      </c>
      <c r="O87">
        <f>IF(B87="","",IF(B87="Pillar",100,IF(B87="Cluster",N(INDEX(Attributes!$E$3:$E$52,Q87))*25+IF(M87="Gap",10,0),N(INDEX(Attributes!$E$3:$E$52,Q87))*20+MIN(20,ROUND(LOG10(N(N87)+1)*5,0))+IF(M87="Gap",10,0)+IF(INDEX(Values!$D$3:$D$502,P87)="Yes",5,0))))</f>
        <v/>
      </c>
      <c r="P87">
        <f>IF(B87="Supporting",MATCH(A87-1-Entity!$B$14,Values!$J$3:$J$502,0),"")</f>
        <v/>
      </c>
      <c r="Q87">
        <f>IF(C87="","",MATCH(C87,Attributes!$A$3:$A$52,0))</f>
        <v/>
      </c>
      <c r="R87">
        <f>IF(B87="Pillar",SUBSTITUTE(Entity!$B$7,"{entity}",LOWER(Entity!$B$3)),IF(B87="Cluster",IF(INDEX(Attributes!$G$3:$G$52,Q87)&lt;&gt;"",INDEX(Attributes!$G$3:$G$52,Q87),SUBSTITUTE(SUBSTITUTE(Entity!$B$8,"{entity}",LOWER(Entity!$B$3)),"{attribute}",LOWER(C87))),IF(B87="Supporting",SUBSTITUTE(SUBSTITUTE(SUBSTITUTE(IF(INDEX(Attributes!$H$3:$H$52,Q87)&lt;&gt;"",INDEX(Attributes!$H$3:$H$52,Q87),Entity!$B$9),"{entity}",LOWER(Entity!$B$3)),"{value}",D87),"{attribute}",LOWER(C87)),"")))</f>
        <v/>
      </c>
    </row>
    <row r="88">
      <c r="A88">
        <f>ROW()-2</f>
        <v/>
      </c>
      <c r="B88">
        <f>IF(A88=1,"Pillar",IF(A88&lt;=1+Entity!$B$14,"Cluster",IF(A88&lt;=1+Entity!$B$14+Entity!$B$15,"Supporting","")))</f>
        <v/>
      </c>
      <c r="C88">
        <f>IF(B88="Cluster",INDEX(Attributes!$A$3:$A$52,MATCH(A88-1,Attributes!$P$3:$P$52,0)),IF(B88="Supporting",INDEX(Values!$A$3:$A$502,P88),""))</f>
        <v/>
      </c>
      <c r="D88">
        <f>IF(B88="Supporting",INDEX(Values!$B$3:$B$502,P88),"")</f>
        <v/>
      </c>
      <c r="E88">
        <f>IF(R88="","",UPPER(LEFT(R88,1))&amp;MID(R88,2,500))</f>
        <v/>
      </c>
      <c r="F88">
        <f>IF(E88="","",LOWER(SUBSTITUTE(SUBSTITUTE(SUBSTITUTE(SUBSTITUTE(SUBSTITUTE(SUBSTITUTE(SUBSTITUTE(TRIM(E88),":",""),",",""),"'",""),"&amp;","and"),"£",""),"  "," ")," ","-")))</f>
        <v/>
      </c>
      <c r="G88">
        <f>IF(B88="Cluster",$E$3,IF(B88="Supporting",INDEX($E$3:$E$553,MATCH(C88,$C$3:$C$553,0)),""))</f>
        <v/>
      </c>
      <c r="H88">
        <f>IF(B88="Supporting",IFERROR(INDEX($E$3:$E$553,1+Entity!$B$14+INDEX(Values!$O$3:$O$502,P88)),""),IF(B88="Cluster",IF(Entity!$B$14&lt;2,"",INDEX($E$3:$E$553,IF(A88-1=Entity!$B$14,2,A88+1))),""))</f>
        <v/>
      </c>
      <c r="I88">
        <f>IF(B88="Pillar",Entity!$B$14&amp;" cluster pages",IF(B88="Cluster",(COUNTIF($C$3:$C$553,SUBSTITUTE(SUBSTITUTE(C88,"?","~?"),"*","~*"))-1)&amp;" supporting pages",""))</f>
        <v/>
      </c>
      <c r="J88">
        <f>IF(B88="Pillar","Informational",IF(OR(B88="Cluster",B88="Supporting"),INDEX(Attributes!$D$3:$D$52,Q88)&amp;"",""))</f>
        <v/>
      </c>
      <c r="K88">
        <f>IF(B88="","",IF(B88="Pillar","Pillar guide (entity hub)",IF(B88="Cluster","Hub page for this attribute",IF(INDEX(Values!$C$3:$C$502,P88)="Yes","Entity page (profile of the sub-entity)",IFERROR(INDEX(Lists!$B$3:$B$6,MATCH(J88,Lists!$A$3:$A$6,0)),"Article")))))</f>
        <v/>
      </c>
      <c r="L88">
        <f>IF(B88="Pillar",Entity!$B$6&amp;"",IF(B88="Cluster",INDEX(Attributes!$I$3:$I$52,Q88)&amp;"",IF(B88="Supporting",INDEX(Values!$F$3:$F$502,P88)&amp;"","")))</f>
        <v/>
      </c>
      <c r="M88">
        <f>IF(B88="","",IF(L88&lt;&gt;"","Covered","Gap"))</f>
        <v/>
      </c>
      <c r="N88">
        <f>IF(B88="Pillar",SUMIFS(Values!$E$3:$E$502,Values!$I$3:$I$502,"Yes"),IF(B88="Cluster",SUMIFS(Values!$E$3:$E$502,Values!$A$3:$A$502,SUBSTITUTE(SUBSTITUTE(C88,"?","~?"),"*","~*"),Values!$I$3:$I$502,"Yes"),IF(B88="Supporting",N(INDEX(Values!$E$3:$E$502,P88)),"")))</f>
        <v/>
      </c>
      <c r="O88">
        <f>IF(B88="","",IF(B88="Pillar",100,IF(B88="Cluster",N(INDEX(Attributes!$E$3:$E$52,Q88))*25+IF(M88="Gap",10,0),N(INDEX(Attributes!$E$3:$E$52,Q88))*20+MIN(20,ROUND(LOG10(N(N88)+1)*5,0))+IF(M88="Gap",10,0)+IF(INDEX(Values!$D$3:$D$502,P88)="Yes",5,0))))</f>
        <v/>
      </c>
      <c r="P88">
        <f>IF(B88="Supporting",MATCH(A88-1-Entity!$B$14,Values!$J$3:$J$502,0),"")</f>
        <v/>
      </c>
      <c r="Q88">
        <f>IF(C88="","",MATCH(C88,Attributes!$A$3:$A$52,0))</f>
        <v/>
      </c>
      <c r="R88">
        <f>IF(B88="Pillar",SUBSTITUTE(Entity!$B$7,"{entity}",LOWER(Entity!$B$3)),IF(B88="Cluster",IF(INDEX(Attributes!$G$3:$G$52,Q88)&lt;&gt;"",INDEX(Attributes!$G$3:$G$52,Q88),SUBSTITUTE(SUBSTITUTE(Entity!$B$8,"{entity}",LOWER(Entity!$B$3)),"{attribute}",LOWER(C88))),IF(B88="Supporting",SUBSTITUTE(SUBSTITUTE(SUBSTITUTE(IF(INDEX(Attributes!$H$3:$H$52,Q88)&lt;&gt;"",INDEX(Attributes!$H$3:$H$52,Q88),Entity!$B$9),"{entity}",LOWER(Entity!$B$3)),"{value}",D88),"{attribute}",LOWER(C88)),"")))</f>
        <v/>
      </c>
    </row>
    <row r="89">
      <c r="A89">
        <f>ROW()-2</f>
        <v/>
      </c>
      <c r="B89">
        <f>IF(A89=1,"Pillar",IF(A89&lt;=1+Entity!$B$14,"Cluster",IF(A89&lt;=1+Entity!$B$14+Entity!$B$15,"Supporting","")))</f>
        <v/>
      </c>
      <c r="C89">
        <f>IF(B89="Cluster",INDEX(Attributes!$A$3:$A$52,MATCH(A89-1,Attributes!$P$3:$P$52,0)),IF(B89="Supporting",INDEX(Values!$A$3:$A$502,P89),""))</f>
        <v/>
      </c>
      <c r="D89">
        <f>IF(B89="Supporting",INDEX(Values!$B$3:$B$502,P89),"")</f>
        <v/>
      </c>
      <c r="E89">
        <f>IF(R89="","",UPPER(LEFT(R89,1))&amp;MID(R89,2,500))</f>
        <v/>
      </c>
      <c r="F89">
        <f>IF(E89="","",LOWER(SUBSTITUTE(SUBSTITUTE(SUBSTITUTE(SUBSTITUTE(SUBSTITUTE(SUBSTITUTE(SUBSTITUTE(TRIM(E89),":",""),",",""),"'",""),"&amp;","and"),"£",""),"  "," ")," ","-")))</f>
        <v/>
      </c>
      <c r="G89">
        <f>IF(B89="Cluster",$E$3,IF(B89="Supporting",INDEX($E$3:$E$553,MATCH(C89,$C$3:$C$553,0)),""))</f>
        <v/>
      </c>
      <c r="H89">
        <f>IF(B89="Supporting",IFERROR(INDEX($E$3:$E$553,1+Entity!$B$14+INDEX(Values!$O$3:$O$502,P89)),""),IF(B89="Cluster",IF(Entity!$B$14&lt;2,"",INDEX($E$3:$E$553,IF(A89-1=Entity!$B$14,2,A89+1))),""))</f>
        <v/>
      </c>
      <c r="I89">
        <f>IF(B89="Pillar",Entity!$B$14&amp;" cluster pages",IF(B89="Cluster",(COUNTIF($C$3:$C$553,SUBSTITUTE(SUBSTITUTE(C89,"?","~?"),"*","~*"))-1)&amp;" supporting pages",""))</f>
        <v/>
      </c>
      <c r="J89">
        <f>IF(B89="Pillar","Informational",IF(OR(B89="Cluster",B89="Supporting"),INDEX(Attributes!$D$3:$D$52,Q89)&amp;"",""))</f>
        <v/>
      </c>
      <c r="K89">
        <f>IF(B89="","",IF(B89="Pillar","Pillar guide (entity hub)",IF(B89="Cluster","Hub page for this attribute",IF(INDEX(Values!$C$3:$C$502,P89)="Yes","Entity page (profile of the sub-entity)",IFERROR(INDEX(Lists!$B$3:$B$6,MATCH(J89,Lists!$A$3:$A$6,0)),"Article")))))</f>
        <v/>
      </c>
      <c r="L89">
        <f>IF(B89="Pillar",Entity!$B$6&amp;"",IF(B89="Cluster",INDEX(Attributes!$I$3:$I$52,Q89)&amp;"",IF(B89="Supporting",INDEX(Values!$F$3:$F$502,P89)&amp;"","")))</f>
        <v/>
      </c>
      <c r="M89">
        <f>IF(B89="","",IF(L89&lt;&gt;"","Covered","Gap"))</f>
        <v/>
      </c>
      <c r="N89">
        <f>IF(B89="Pillar",SUMIFS(Values!$E$3:$E$502,Values!$I$3:$I$502,"Yes"),IF(B89="Cluster",SUMIFS(Values!$E$3:$E$502,Values!$A$3:$A$502,SUBSTITUTE(SUBSTITUTE(C89,"?","~?"),"*","~*"),Values!$I$3:$I$502,"Yes"),IF(B89="Supporting",N(INDEX(Values!$E$3:$E$502,P89)),"")))</f>
        <v/>
      </c>
      <c r="O89">
        <f>IF(B89="","",IF(B89="Pillar",100,IF(B89="Cluster",N(INDEX(Attributes!$E$3:$E$52,Q89))*25+IF(M89="Gap",10,0),N(INDEX(Attributes!$E$3:$E$52,Q89))*20+MIN(20,ROUND(LOG10(N(N89)+1)*5,0))+IF(M89="Gap",10,0)+IF(INDEX(Values!$D$3:$D$502,P89)="Yes",5,0))))</f>
        <v/>
      </c>
      <c r="P89">
        <f>IF(B89="Supporting",MATCH(A89-1-Entity!$B$14,Values!$J$3:$J$502,0),"")</f>
        <v/>
      </c>
      <c r="Q89">
        <f>IF(C89="","",MATCH(C89,Attributes!$A$3:$A$52,0))</f>
        <v/>
      </c>
      <c r="R89">
        <f>IF(B89="Pillar",SUBSTITUTE(Entity!$B$7,"{entity}",LOWER(Entity!$B$3)),IF(B89="Cluster",IF(INDEX(Attributes!$G$3:$G$52,Q89)&lt;&gt;"",INDEX(Attributes!$G$3:$G$52,Q89),SUBSTITUTE(SUBSTITUTE(Entity!$B$8,"{entity}",LOWER(Entity!$B$3)),"{attribute}",LOWER(C89))),IF(B89="Supporting",SUBSTITUTE(SUBSTITUTE(SUBSTITUTE(IF(INDEX(Attributes!$H$3:$H$52,Q89)&lt;&gt;"",INDEX(Attributes!$H$3:$H$52,Q89),Entity!$B$9),"{entity}",LOWER(Entity!$B$3)),"{value}",D89),"{attribute}",LOWER(C89)),"")))</f>
        <v/>
      </c>
    </row>
    <row r="90">
      <c r="A90">
        <f>ROW()-2</f>
        <v/>
      </c>
      <c r="B90">
        <f>IF(A90=1,"Pillar",IF(A90&lt;=1+Entity!$B$14,"Cluster",IF(A90&lt;=1+Entity!$B$14+Entity!$B$15,"Supporting","")))</f>
        <v/>
      </c>
      <c r="C90">
        <f>IF(B90="Cluster",INDEX(Attributes!$A$3:$A$52,MATCH(A90-1,Attributes!$P$3:$P$52,0)),IF(B90="Supporting",INDEX(Values!$A$3:$A$502,P90),""))</f>
        <v/>
      </c>
      <c r="D90">
        <f>IF(B90="Supporting",INDEX(Values!$B$3:$B$502,P90),"")</f>
        <v/>
      </c>
      <c r="E90">
        <f>IF(R90="","",UPPER(LEFT(R90,1))&amp;MID(R90,2,500))</f>
        <v/>
      </c>
      <c r="F90">
        <f>IF(E90="","",LOWER(SUBSTITUTE(SUBSTITUTE(SUBSTITUTE(SUBSTITUTE(SUBSTITUTE(SUBSTITUTE(SUBSTITUTE(TRIM(E90),":",""),",",""),"'",""),"&amp;","and"),"£",""),"  "," ")," ","-")))</f>
        <v/>
      </c>
      <c r="G90">
        <f>IF(B90="Cluster",$E$3,IF(B90="Supporting",INDEX($E$3:$E$553,MATCH(C90,$C$3:$C$553,0)),""))</f>
        <v/>
      </c>
      <c r="H90">
        <f>IF(B90="Supporting",IFERROR(INDEX($E$3:$E$553,1+Entity!$B$14+INDEX(Values!$O$3:$O$502,P90)),""),IF(B90="Cluster",IF(Entity!$B$14&lt;2,"",INDEX($E$3:$E$553,IF(A90-1=Entity!$B$14,2,A90+1))),""))</f>
        <v/>
      </c>
      <c r="I90">
        <f>IF(B90="Pillar",Entity!$B$14&amp;" cluster pages",IF(B90="Cluster",(COUNTIF($C$3:$C$553,SUBSTITUTE(SUBSTITUTE(C90,"?","~?"),"*","~*"))-1)&amp;" supporting pages",""))</f>
        <v/>
      </c>
      <c r="J90">
        <f>IF(B90="Pillar","Informational",IF(OR(B90="Cluster",B90="Supporting"),INDEX(Attributes!$D$3:$D$52,Q90)&amp;"",""))</f>
        <v/>
      </c>
      <c r="K90">
        <f>IF(B90="","",IF(B90="Pillar","Pillar guide (entity hub)",IF(B90="Cluster","Hub page for this attribute",IF(INDEX(Values!$C$3:$C$502,P90)="Yes","Entity page (profile of the sub-entity)",IFERROR(INDEX(Lists!$B$3:$B$6,MATCH(J90,Lists!$A$3:$A$6,0)),"Article")))))</f>
        <v/>
      </c>
      <c r="L90">
        <f>IF(B90="Pillar",Entity!$B$6&amp;"",IF(B90="Cluster",INDEX(Attributes!$I$3:$I$52,Q90)&amp;"",IF(B90="Supporting",INDEX(Values!$F$3:$F$502,P90)&amp;"","")))</f>
        <v/>
      </c>
      <c r="M90">
        <f>IF(B90="","",IF(L90&lt;&gt;"","Covered","Gap"))</f>
        <v/>
      </c>
      <c r="N90">
        <f>IF(B90="Pillar",SUMIFS(Values!$E$3:$E$502,Values!$I$3:$I$502,"Yes"),IF(B90="Cluster",SUMIFS(Values!$E$3:$E$502,Values!$A$3:$A$502,SUBSTITUTE(SUBSTITUTE(C90,"?","~?"),"*","~*"),Values!$I$3:$I$502,"Yes"),IF(B90="Supporting",N(INDEX(Values!$E$3:$E$502,P90)),"")))</f>
        <v/>
      </c>
      <c r="O90">
        <f>IF(B90="","",IF(B90="Pillar",100,IF(B90="Cluster",N(INDEX(Attributes!$E$3:$E$52,Q90))*25+IF(M90="Gap",10,0),N(INDEX(Attributes!$E$3:$E$52,Q90))*20+MIN(20,ROUND(LOG10(N(N90)+1)*5,0))+IF(M90="Gap",10,0)+IF(INDEX(Values!$D$3:$D$502,P90)="Yes",5,0))))</f>
        <v/>
      </c>
      <c r="P90">
        <f>IF(B90="Supporting",MATCH(A90-1-Entity!$B$14,Values!$J$3:$J$502,0),"")</f>
        <v/>
      </c>
      <c r="Q90">
        <f>IF(C90="","",MATCH(C90,Attributes!$A$3:$A$52,0))</f>
        <v/>
      </c>
      <c r="R90">
        <f>IF(B90="Pillar",SUBSTITUTE(Entity!$B$7,"{entity}",LOWER(Entity!$B$3)),IF(B90="Cluster",IF(INDEX(Attributes!$G$3:$G$52,Q90)&lt;&gt;"",INDEX(Attributes!$G$3:$G$52,Q90),SUBSTITUTE(SUBSTITUTE(Entity!$B$8,"{entity}",LOWER(Entity!$B$3)),"{attribute}",LOWER(C90))),IF(B90="Supporting",SUBSTITUTE(SUBSTITUTE(SUBSTITUTE(IF(INDEX(Attributes!$H$3:$H$52,Q90)&lt;&gt;"",INDEX(Attributes!$H$3:$H$52,Q90),Entity!$B$9),"{entity}",LOWER(Entity!$B$3)),"{value}",D90),"{attribute}",LOWER(C90)),"")))</f>
        <v/>
      </c>
    </row>
    <row r="91">
      <c r="A91">
        <f>ROW()-2</f>
        <v/>
      </c>
      <c r="B91">
        <f>IF(A91=1,"Pillar",IF(A91&lt;=1+Entity!$B$14,"Cluster",IF(A91&lt;=1+Entity!$B$14+Entity!$B$15,"Supporting","")))</f>
        <v/>
      </c>
      <c r="C91">
        <f>IF(B91="Cluster",INDEX(Attributes!$A$3:$A$52,MATCH(A91-1,Attributes!$P$3:$P$52,0)),IF(B91="Supporting",INDEX(Values!$A$3:$A$502,P91),""))</f>
        <v/>
      </c>
      <c r="D91">
        <f>IF(B91="Supporting",INDEX(Values!$B$3:$B$502,P91),"")</f>
        <v/>
      </c>
      <c r="E91">
        <f>IF(R91="","",UPPER(LEFT(R91,1))&amp;MID(R91,2,500))</f>
        <v/>
      </c>
      <c r="F91">
        <f>IF(E91="","",LOWER(SUBSTITUTE(SUBSTITUTE(SUBSTITUTE(SUBSTITUTE(SUBSTITUTE(SUBSTITUTE(SUBSTITUTE(TRIM(E91),":",""),",",""),"'",""),"&amp;","and"),"£",""),"  "," ")," ","-")))</f>
        <v/>
      </c>
      <c r="G91">
        <f>IF(B91="Cluster",$E$3,IF(B91="Supporting",INDEX($E$3:$E$553,MATCH(C91,$C$3:$C$553,0)),""))</f>
        <v/>
      </c>
      <c r="H91">
        <f>IF(B91="Supporting",IFERROR(INDEX($E$3:$E$553,1+Entity!$B$14+INDEX(Values!$O$3:$O$502,P91)),""),IF(B91="Cluster",IF(Entity!$B$14&lt;2,"",INDEX($E$3:$E$553,IF(A91-1=Entity!$B$14,2,A91+1))),""))</f>
        <v/>
      </c>
      <c r="I91">
        <f>IF(B91="Pillar",Entity!$B$14&amp;" cluster pages",IF(B91="Cluster",(COUNTIF($C$3:$C$553,SUBSTITUTE(SUBSTITUTE(C91,"?","~?"),"*","~*"))-1)&amp;" supporting pages",""))</f>
        <v/>
      </c>
      <c r="J91">
        <f>IF(B91="Pillar","Informational",IF(OR(B91="Cluster",B91="Supporting"),INDEX(Attributes!$D$3:$D$52,Q91)&amp;"",""))</f>
        <v/>
      </c>
      <c r="K91">
        <f>IF(B91="","",IF(B91="Pillar","Pillar guide (entity hub)",IF(B91="Cluster","Hub page for this attribute",IF(INDEX(Values!$C$3:$C$502,P91)="Yes","Entity page (profile of the sub-entity)",IFERROR(INDEX(Lists!$B$3:$B$6,MATCH(J91,Lists!$A$3:$A$6,0)),"Article")))))</f>
        <v/>
      </c>
      <c r="L91">
        <f>IF(B91="Pillar",Entity!$B$6&amp;"",IF(B91="Cluster",INDEX(Attributes!$I$3:$I$52,Q91)&amp;"",IF(B91="Supporting",INDEX(Values!$F$3:$F$502,P91)&amp;"","")))</f>
        <v/>
      </c>
      <c r="M91">
        <f>IF(B91="","",IF(L91&lt;&gt;"","Covered","Gap"))</f>
        <v/>
      </c>
      <c r="N91">
        <f>IF(B91="Pillar",SUMIFS(Values!$E$3:$E$502,Values!$I$3:$I$502,"Yes"),IF(B91="Cluster",SUMIFS(Values!$E$3:$E$502,Values!$A$3:$A$502,SUBSTITUTE(SUBSTITUTE(C91,"?","~?"),"*","~*"),Values!$I$3:$I$502,"Yes"),IF(B91="Supporting",N(INDEX(Values!$E$3:$E$502,P91)),"")))</f>
        <v/>
      </c>
      <c r="O91">
        <f>IF(B91="","",IF(B91="Pillar",100,IF(B91="Cluster",N(INDEX(Attributes!$E$3:$E$52,Q91))*25+IF(M91="Gap",10,0),N(INDEX(Attributes!$E$3:$E$52,Q91))*20+MIN(20,ROUND(LOG10(N(N91)+1)*5,0))+IF(M91="Gap",10,0)+IF(INDEX(Values!$D$3:$D$502,P91)="Yes",5,0))))</f>
        <v/>
      </c>
      <c r="P91">
        <f>IF(B91="Supporting",MATCH(A91-1-Entity!$B$14,Values!$J$3:$J$502,0),"")</f>
        <v/>
      </c>
      <c r="Q91">
        <f>IF(C91="","",MATCH(C91,Attributes!$A$3:$A$52,0))</f>
        <v/>
      </c>
      <c r="R91">
        <f>IF(B91="Pillar",SUBSTITUTE(Entity!$B$7,"{entity}",LOWER(Entity!$B$3)),IF(B91="Cluster",IF(INDEX(Attributes!$G$3:$G$52,Q91)&lt;&gt;"",INDEX(Attributes!$G$3:$G$52,Q91),SUBSTITUTE(SUBSTITUTE(Entity!$B$8,"{entity}",LOWER(Entity!$B$3)),"{attribute}",LOWER(C91))),IF(B91="Supporting",SUBSTITUTE(SUBSTITUTE(SUBSTITUTE(IF(INDEX(Attributes!$H$3:$H$52,Q91)&lt;&gt;"",INDEX(Attributes!$H$3:$H$52,Q91),Entity!$B$9),"{entity}",LOWER(Entity!$B$3)),"{value}",D91),"{attribute}",LOWER(C91)),"")))</f>
        <v/>
      </c>
    </row>
    <row r="92">
      <c r="A92">
        <f>ROW()-2</f>
        <v/>
      </c>
      <c r="B92">
        <f>IF(A92=1,"Pillar",IF(A92&lt;=1+Entity!$B$14,"Cluster",IF(A92&lt;=1+Entity!$B$14+Entity!$B$15,"Supporting","")))</f>
        <v/>
      </c>
      <c r="C92">
        <f>IF(B92="Cluster",INDEX(Attributes!$A$3:$A$52,MATCH(A92-1,Attributes!$P$3:$P$52,0)),IF(B92="Supporting",INDEX(Values!$A$3:$A$502,P92),""))</f>
        <v/>
      </c>
      <c r="D92">
        <f>IF(B92="Supporting",INDEX(Values!$B$3:$B$502,P92),"")</f>
        <v/>
      </c>
      <c r="E92">
        <f>IF(R92="","",UPPER(LEFT(R92,1))&amp;MID(R92,2,500))</f>
        <v/>
      </c>
      <c r="F92">
        <f>IF(E92="","",LOWER(SUBSTITUTE(SUBSTITUTE(SUBSTITUTE(SUBSTITUTE(SUBSTITUTE(SUBSTITUTE(SUBSTITUTE(TRIM(E92),":",""),",",""),"'",""),"&amp;","and"),"£",""),"  "," ")," ","-")))</f>
        <v/>
      </c>
      <c r="G92">
        <f>IF(B92="Cluster",$E$3,IF(B92="Supporting",INDEX($E$3:$E$553,MATCH(C92,$C$3:$C$553,0)),""))</f>
        <v/>
      </c>
      <c r="H92">
        <f>IF(B92="Supporting",IFERROR(INDEX($E$3:$E$553,1+Entity!$B$14+INDEX(Values!$O$3:$O$502,P92)),""),IF(B92="Cluster",IF(Entity!$B$14&lt;2,"",INDEX($E$3:$E$553,IF(A92-1=Entity!$B$14,2,A92+1))),""))</f>
        <v/>
      </c>
      <c r="I92">
        <f>IF(B92="Pillar",Entity!$B$14&amp;" cluster pages",IF(B92="Cluster",(COUNTIF($C$3:$C$553,SUBSTITUTE(SUBSTITUTE(C92,"?","~?"),"*","~*"))-1)&amp;" supporting pages",""))</f>
        <v/>
      </c>
      <c r="J92">
        <f>IF(B92="Pillar","Informational",IF(OR(B92="Cluster",B92="Supporting"),INDEX(Attributes!$D$3:$D$52,Q92)&amp;"",""))</f>
        <v/>
      </c>
      <c r="K92">
        <f>IF(B92="","",IF(B92="Pillar","Pillar guide (entity hub)",IF(B92="Cluster","Hub page for this attribute",IF(INDEX(Values!$C$3:$C$502,P92)="Yes","Entity page (profile of the sub-entity)",IFERROR(INDEX(Lists!$B$3:$B$6,MATCH(J92,Lists!$A$3:$A$6,0)),"Article")))))</f>
        <v/>
      </c>
      <c r="L92">
        <f>IF(B92="Pillar",Entity!$B$6&amp;"",IF(B92="Cluster",INDEX(Attributes!$I$3:$I$52,Q92)&amp;"",IF(B92="Supporting",INDEX(Values!$F$3:$F$502,P92)&amp;"","")))</f>
        <v/>
      </c>
      <c r="M92">
        <f>IF(B92="","",IF(L92&lt;&gt;"","Covered","Gap"))</f>
        <v/>
      </c>
      <c r="N92">
        <f>IF(B92="Pillar",SUMIFS(Values!$E$3:$E$502,Values!$I$3:$I$502,"Yes"),IF(B92="Cluster",SUMIFS(Values!$E$3:$E$502,Values!$A$3:$A$502,SUBSTITUTE(SUBSTITUTE(C92,"?","~?"),"*","~*"),Values!$I$3:$I$502,"Yes"),IF(B92="Supporting",N(INDEX(Values!$E$3:$E$502,P92)),"")))</f>
        <v/>
      </c>
      <c r="O92">
        <f>IF(B92="","",IF(B92="Pillar",100,IF(B92="Cluster",N(INDEX(Attributes!$E$3:$E$52,Q92))*25+IF(M92="Gap",10,0),N(INDEX(Attributes!$E$3:$E$52,Q92))*20+MIN(20,ROUND(LOG10(N(N92)+1)*5,0))+IF(M92="Gap",10,0)+IF(INDEX(Values!$D$3:$D$502,P92)="Yes",5,0))))</f>
        <v/>
      </c>
      <c r="P92">
        <f>IF(B92="Supporting",MATCH(A92-1-Entity!$B$14,Values!$J$3:$J$502,0),"")</f>
        <v/>
      </c>
      <c r="Q92">
        <f>IF(C92="","",MATCH(C92,Attributes!$A$3:$A$52,0))</f>
        <v/>
      </c>
      <c r="R92">
        <f>IF(B92="Pillar",SUBSTITUTE(Entity!$B$7,"{entity}",LOWER(Entity!$B$3)),IF(B92="Cluster",IF(INDEX(Attributes!$G$3:$G$52,Q92)&lt;&gt;"",INDEX(Attributes!$G$3:$G$52,Q92),SUBSTITUTE(SUBSTITUTE(Entity!$B$8,"{entity}",LOWER(Entity!$B$3)),"{attribute}",LOWER(C92))),IF(B92="Supporting",SUBSTITUTE(SUBSTITUTE(SUBSTITUTE(IF(INDEX(Attributes!$H$3:$H$52,Q92)&lt;&gt;"",INDEX(Attributes!$H$3:$H$52,Q92),Entity!$B$9),"{entity}",LOWER(Entity!$B$3)),"{value}",D92),"{attribute}",LOWER(C92)),"")))</f>
        <v/>
      </c>
    </row>
    <row r="93">
      <c r="A93">
        <f>ROW()-2</f>
        <v/>
      </c>
      <c r="B93">
        <f>IF(A93=1,"Pillar",IF(A93&lt;=1+Entity!$B$14,"Cluster",IF(A93&lt;=1+Entity!$B$14+Entity!$B$15,"Supporting","")))</f>
        <v/>
      </c>
      <c r="C93">
        <f>IF(B93="Cluster",INDEX(Attributes!$A$3:$A$52,MATCH(A93-1,Attributes!$P$3:$P$52,0)),IF(B93="Supporting",INDEX(Values!$A$3:$A$502,P93),""))</f>
        <v/>
      </c>
      <c r="D93">
        <f>IF(B93="Supporting",INDEX(Values!$B$3:$B$502,P93),"")</f>
        <v/>
      </c>
      <c r="E93">
        <f>IF(R93="","",UPPER(LEFT(R93,1))&amp;MID(R93,2,500))</f>
        <v/>
      </c>
      <c r="F93">
        <f>IF(E93="","",LOWER(SUBSTITUTE(SUBSTITUTE(SUBSTITUTE(SUBSTITUTE(SUBSTITUTE(SUBSTITUTE(SUBSTITUTE(TRIM(E93),":",""),",",""),"'",""),"&amp;","and"),"£",""),"  "," ")," ","-")))</f>
        <v/>
      </c>
      <c r="G93">
        <f>IF(B93="Cluster",$E$3,IF(B93="Supporting",INDEX($E$3:$E$553,MATCH(C93,$C$3:$C$553,0)),""))</f>
        <v/>
      </c>
      <c r="H93">
        <f>IF(B93="Supporting",IFERROR(INDEX($E$3:$E$553,1+Entity!$B$14+INDEX(Values!$O$3:$O$502,P93)),""),IF(B93="Cluster",IF(Entity!$B$14&lt;2,"",INDEX($E$3:$E$553,IF(A93-1=Entity!$B$14,2,A93+1))),""))</f>
        <v/>
      </c>
      <c r="I93">
        <f>IF(B93="Pillar",Entity!$B$14&amp;" cluster pages",IF(B93="Cluster",(COUNTIF($C$3:$C$553,SUBSTITUTE(SUBSTITUTE(C93,"?","~?"),"*","~*"))-1)&amp;" supporting pages",""))</f>
        <v/>
      </c>
      <c r="J93">
        <f>IF(B93="Pillar","Informational",IF(OR(B93="Cluster",B93="Supporting"),INDEX(Attributes!$D$3:$D$52,Q93)&amp;"",""))</f>
        <v/>
      </c>
      <c r="K93">
        <f>IF(B93="","",IF(B93="Pillar","Pillar guide (entity hub)",IF(B93="Cluster","Hub page for this attribute",IF(INDEX(Values!$C$3:$C$502,P93)="Yes","Entity page (profile of the sub-entity)",IFERROR(INDEX(Lists!$B$3:$B$6,MATCH(J93,Lists!$A$3:$A$6,0)),"Article")))))</f>
        <v/>
      </c>
      <c r="L93">
        <f>IF(B93="Pillar",Entity!$B$6&amp;"",IF(B93="Cluster",INDEX(Attributes!$I$3:$I$52,Q93)&amp;"",IF(B93="Supporting",INDEX(Values!$F$3:$F$502,P93)&amp;"","")))</f>
        <v/>
      </c>
      <c r="M93">
        <f>IF(B93="","",IF(L93&lt;&gt;"","Covered","Gap"))</f>
        <v/>
      </c>
      <c r="N93">
        <f>IF(B93="Pillar",SUMIFS(Values!$E$3:$E$502,Values!$I$3:$I$502,"Yes"),IF(B93="Cluster",SUMIFS(Values!$E$3:$E$502,Values!$A$3:$A$502,SUBSTITUTE(SUBSTITUTE(C93,"?","~?"),"*","~*"),Values!$I$3:$I$502,"Yes"),IF(B93="Supporting",N(INDEX(Values!$E$3:$E$502,P93)),"")))</f>
        <v/>
      </c>
      <c r="O93">
        <f>IF(B93="","",IF(B93="Pillar",100,IF(B93="Cluster",N(INDEX(Attributes!$E$3:$E$52,Q93))*25+IF(M93="Gap",10,0),N(INDEX(Attributes!$E$3:$E$52,Q93))*20+MIN(20,ROUND(LOG10(N(N93)+1)*5,0))+IF(M93="Gap",10,0)+IF(INDEX(Values!$D$3:$D$502,P93)="Yes",5,0))))</f>
        <v/>
      </c>
      <c r="P93">
        <f>IF(B93="Supporting",MATCH(A93-1-Entity!$B$14,Values!$J$3:$J$502,0),"")</f>
        <v/>
      </c>
      <c r="Q93">
        <f>IF(C93="","",MATCH(C93,Attributes!$A$3:$A$52,0))</f>
        <v/>
      </c>
      <c r="R93">
        <f>IF(B93="Pillar",SUBSTITUTE(Entity!$B$7,"{entity}",LOWER(Entity!$B$3)),IF(B93="Cluster",IF(INDEX(Attributes!$G$3:$G$52,Q93)&lt;&gt;"",INDEX(Attributes!$G$3:$G$52,Q93),SUBSTITUTE(SUBSTITUTE(Entity!$B$8,"{entity}",LOWER(Entity!$B$3)),"{attribute}",LOWER(C93))),IF(B93="Supporting",SUBSTITUTE(SUBSTITUTE(SUBSTITUTE(IF(INDEX(Attributes!$H$3:$H$52,Q93)&lt;&gt;"",INDEX(Attributes!$H$3:$H$52,Q93),Entity!$B$9),"{entity}",LOWER(Entity!$B$3)),"{value}",D93),"{attribute}",LOWER(C93)),"")))</f>
        <v/>
      </c>
    </row>
    <row r="94">
      <c r="A94">
        <f>ROW()-2</f>
        <v/>
      </c>
      <c r="B94">
        <f>IF(A94=1,"Pillar",IF(A94&lt;=1+Entity!$B$14,"Cluster",IF(A94&lt;=1+Entity!$B$14+Entity!$B$15,"Supporting","")))</f>
        <v/>
      </c>
      <c r="C94">
        <f>IF(B94="Cluster",INDEX(Attributes!$A$3:$A$52,MATCH(A94-1,Attributes!$P$3:$P$52,0)),IF(B94="Supporting",INDEX(Values!$A$3:$A$502,P94),""))</f>
        <v/>
      </c>
      <c r="D94">
        <f>IF(B94="Supporting",INDEX(Values!$B$3:$B$502,P94),"")</f>
        <v/>
      </c>
      <c r="E94">
        <f>IF(R94="","",UPPER(LEFT(R94,1))&amp;MID(R94,2,500))</f>
        <v/>
      </c>
      <c r="F94">
        <f>IF(E94="","",LOWER(SUBSTITUTE(SUBSTITUTE(SUBSTITUTE(SUBSTITUTE(SUBSTITUTE(SUBSTITUTE(SUBSTITUTE(TRIM(E94),":",""),",",""),"'",""),"&amp;","and"),"£",""),"  "," ")," ","-")))</f>
        <v/>
      </c>
      <c r="G94">
        <f>IF(B94="Cluster",$E$3,IF(B94="Supporting",INDEX($E$3:$E$553,MATCH(C94,$C$3:$C$553,0)),""))</f>
        <v/>
      </c>
      <c r="H94">
        <f>IF(B94="Supporting",IFERROR(INDEX($E$3:$E$553,1+Entity!$B$14+INDEX(Values!$O$3:$O$502,P94)),""),IF(B94="Cluster",IF(Entity!$B$14&lt;2,"",INDEX($E$3:$E$553,IF(A94-1=Entity!$B$14,2,A94+1))),""))</f>
        <v/>
      </c>
      <c r="I94">
        <f>IF(B94="Pillar",Entity!$B$14&amp;" cluster pages",IF(B94="Cluster",(COUNTIF($C$3:$C$553,SUBSTITUTE(SUBSTITUTE(C94,"?","~?"),"*","~*"))-1)&amp;" supporting pages",""))</f>
        <v/>
      </c>
      <c r="J94">
        <f>IF(B94="Pillar","Informational",IF(OR(B94="Cluster",B94="Supporting"),INDEX(Attributes!$D$3:$D$52,Q94)&amp;"",""))</f>
        <v/>
      </c>
      <c r="K94">
        <f>IF(B94="","",IF(B94="Pillar","Pillar guide (entity hub)",IF(B94="Cluster","Hub page for this attribute",IF(INDEX(Values!$C$3:$C$502,P94)="Yes","Entity page (profile of the sub-entity)",IFERROR(INDEX(Lists!$B$3:$B$6,MATCH(J94,Lists!$A$3:$A$6,0)),"Article")))))</f>
        <v/>
      </c>
      <c r="L94">
        <f>IF(B94="Pillar",Entity!$B$6&amp;"",IF(B94="Cluster",INDEX(Attributes!$I$3:$I$52,Q94)&amp;"",IF(B94="Supporting",INDEX(Values!$F$3:$F$502,P94)&amp;"","")))</f>
        <v/>
      </c>
      <c r="M94">
        <f>IF(B94="","",IF(L94&lt;&gt;"","Covered","Gap"))</f>
        <v/>
      </c>
      <c r="N94">
        <f>IF(B94="Pillar",SUMIFS(Values!$E$3:$E$502,Values!$I$3:$I$502,"Yes"),IF(B94="Cluster",SUMIFS(Values!$E$3:$E$502,Values!$A$3:$A$502,SUBSTITUTE(SUBSTITUTE(C94,"?","~?"),"*","~*"),Values!$I$3:$I$502,"Yes"),IF(B94="Supporting",N(INDEX(Values!$E$3:$E$502,P94)),"")))</f>
        <v/>
      </c>
      <c r="O94">
        <f>IF(B94="","",IF(B94="Pillar",100,IF(B94="Cluster",N(INDEX(Attributes!$E$3:$E$52,Q94))*25+IF(M94="Gap",10,0),N(INDEX(Attributes!$E$3:$E$52,Q94))*20+MIN(20,ROUND(LOG10(N(N94)+1)*5,0))+IF(M94="Gap",10,0)+IF(INDEX(Values!$D$3:$D$502,P94)="Yes",5,0))))</f>
        <v/>
      </c>
      <c r="P94">
        <f>IF(B94="Supporting",MATCH(A94-1-Entity!$B$14,Values!$J$3:$J$502,0),"")</f>
        <v/>
      </c>
      <c r="Q94">
        <f>IF(C94="","",MATCH(C94,Attributes!$A$3:$A$52,0))</f>
        <v/>
      </c>
      <c r="R94">
        <f>IF(B94="Pillar",SUBSTITUTE(Entity!$B$7,"{entity}",LOWER(Entity!$B$3)),IF(B94="Cluster",IF(INDEX(Attributes!$G$3:$G$52,Q94)&lt;&gt;"",INDEX(Attributes!$G$3:$G$52,Q94),SUBSTITUTE(SUBSTITUTE(Entity!$B$8,"{entity}",LOWER(Entity!$B$3)),"{attribute}",LOWER(C94))),IF(B94="Supporting",SUBSTITUTE(SUBSTITUTE(SUBSTITUTE(IF(INDEX(Attributes!$H$3:$H$52,Q94)&lt;&gt;"",INDEX(Attributes!$H$3:$H$52,Q94),Entity!$B$9),"{entity}",LOWER(Entity!$B$3)),"{value}",D94),"{attribute}",LOWER(C94)),"")))</f>
        <v/>
      </c>
    </row>
    <row r="95">
      <c r="A95">
        <f>ROW()-2</f>
        <v/>
      </c>
      <c r="B95">
        <f>IF(A95=1,"Pillar",IF(A95&lt;=1+Entity!$B$14,"Cluster",IF(A95&lt;=1+Entity!$B$14+Entity!$B$15,"Supporting","")))</f>
        <v/>
      </c>
      <c r="C95">
        <f>IF(B95="Cluster",INDEX(Attributes!$A$3:$A$52,MATCH(A95-1,Attributes!$P$3:$P$52,0)),IF(B95="Supporting",INDEX(Values!$A$3:$A$502,P95),""))</f>
        <v/>
      </c>
      <c r="D95">
        <f>IF(B95="Supporting",INDEX(Values!$B$3:$B$502,P95),"")</f>
        <v/>
      </c>
      <c r="E95">
        <f>IF(R95="","",UPPER(LEFT(R95,1))&amp;MID(R95,2,500))</f>
        <v/>
      </c>
      <c r="F95">
        <f>IF(E95="","",LOWER(SUBSTITUTE(SUBSTITUTE(SUBSTITUTE(SUBSTITUTE(SUBSTITUTE(SUBSTITUTE(SUBSTITUTE(TRIM(E95),":",""),",",""),"'",""),"&amp;","and"),"£",""),"  "," ")," ","-")))</f>
        <v/>
      </c>
      <c r="G95">
        <f>IF(B95="Cluster",$E$3,IF(B95="Supporting",INDEX($E$3:$E$553,MATCH(C95,$C$3:$C$553,0)),""))</f>
        <v/>
      </c>
      <c r="H95">
        <f>IF(B95="Supporting",IFERROR(INDEX($E$3:$E$553,1+Entity!$B$14+INDEX(Values!$O$3:$O$502,P95)),""),IF(B95="Cluster",IF(Entity!$B$14&lt;2,"",INDEX($E$3:$E$553,IF(A95-1=Entity!$B$14,2,A95+1))),""))</f>
        <v/>
      </c>
      <c r="I95">
        <f>IF(B95="Pillar",Entity!$B$14&amp;" cluster pages",IF(B95="Cluster",(COUNTIF($C$3:$C$553,SUBSTITUTE(SUBSTITUTE(C95,"?","~?"),"*","~*"))-1)&amp;" supporting pages",""))</f>
        <v/>
      </c>
      <c r="J95">
        <f>IF(B95="Pillar","Informational",IF(OR(B95="Cluster",B95="Supporting"),INDEX(Attributes!$D$3:$D$52,Q95)&amp;"",""))</f>
        <v/>
      </c>
      <c r="K95">
        <f>IF(B95="","",IF(B95="Pillar","Pillar guide (entity hub)",IF(B95="Cluster","Hub page for this attribute",IF(INDEX(Values!$C$3:$C$502,P95)="Yes","Entity page (profile of the sub-entity)",IFERROR(INDEX(Lists!$B$3:$B$6,MATCH(J95,Lists!$A$3:$A$6,0)),"Article")))))</f>
        <v/>
      </c>
      <c r="L95">
        <f>IF(B95="Pillar",Entity!$B$6&amp;"",IF(B95="Cluster",INDEX(Attributes!$I$3:$I$52,Q95)&amp;"",IF(B95="Supporting",INDEX(Values!$F$3:$F$502,P95)&amp;"","")))</f>
        <v/>
      </c>
      <c r="M95">
        <f>IF(B95="","",IF(L95&lt;&gt;"","Covered","Gap"))</f>
        <v/>
      </c>
      <c r="N95">
        <f>IF(B95="Pillar",SUMIFS(Values!$E$3:$E$502,Values!$I$3:$I$502,"Yes"),IF(B95="Cluster",SUMIFS(Values!$E$3:$E$502,Values!$A$3:$A$502,SUBSTITUTE(SUBSTITUTE(C95,"?","~?"),"*","~*"),Values!$I$3:$I$502,"Yes"),IF(B95="Supporting",N(INDEX(Values!$E$3:$E$502,P95)),"")))</f>
        <v/>
      </c>
      <c r="O95">
        <f>IF(B95="","",IF(B95="Pillar",100,IF(B95="Cluster",N(INDEX(Attributes!$E$3:$E$52,Q95))*25+IF(M95="Gap",10,0),N(INDEX(Attributes!$E$3:$E$52,Q95))*20+MIN(20,ROUND(LOG10(N(N95)+1)*5,0))+IF(M95="Gap",10,0)+IF(INDEX(Values!$D$3:$D$502,P95)="Yes",5,0))))</f>
        <v/>
      </c>
      <c r="P95">
        <f>IF(B95="Supporting",MATCH(A95-1-Entity!$B$14,Values!$J$3:$J$502,0),"")</f>
        <v/>
      </c>
      <c r="Q95">
        <f>IF(C95="","",MATCH(C95,Attributes!$A$3:$A$52,0))</f>
        <v/>
      </c>
      <c r="R95">
        <f>IF(B95="Pillar",SUBSTITUTE(Entity!$B$7,"{entity}",LOWER(Entity!$B$3)),IF(B95="Cluster",IF(INDEX(Attributes!$G$3:$G$52,Q95)&lt;&gt;"",INDEX(Attributes!$G$3:$G$52,Q95),SUBSTITUTE(SUBSTITUTE(Entity!$B$8,"{entity}",LOWER(Entity!$B$3)),"{attribute}",LOWER(C95))),IF(B95="Supporting",SUBSTITUTE(SUBSTITUTE(SUBSTITUTE(IF(INDEX(Attributes!$H$3:$H$52,Q95)&lt;&gt;"",INDEX(Attributes!$H$3:$H$52,Q95),Entity!$B$9),"{entity}",LOWER(Entity!$B$3)),"{value}",D95),"{attribute}",LOWER(C95)),"")))</f>
        <v/>
      </c>
    </row>
    <row r="96">
      <c r="A96">
        <f>ROW()-2</f>
        <v/>
      </c>
      <c r="B96">
        <f>IF(A96=1,"Pillar",IF(A96&lt;=1+Entity!$B$14,"Cluster",IF(A96&lt;=1+Entity!$B$14+Entity!$B$15,"Supporting","")))</f>
        <v/>
      </c>
      <c r="C96">
        <f>IF(B96="Cluster",INDEX(Attributes!$A$3:$A$52,MATCH(A96-1,Attributes!$P$3:$P$52,0)),IF(B96="Supporting",INDEX(Values!$A$3:$A$502,P96),""))</f>
        <v/>
      </c>
      <c r="D96">
        <f>IF(B96="Supporting",INDEX(Values!$B$3:$B$502,P96),"")</f>
        <v/>
      </c>
      <c r="E96">
        <f>IF(R96="","",UPPER(LEFT(R96,1))&amp;MID(R96,2,500))</f>
        <v/>
      </c>
      <c r="F96">
        <f>IF(E96="","",LOWER(SUBSTITUTE(SUBSTITUTE(SUBSTITUTE(SUBSTITUTE(SUBSTITUTE(SUBSTITUTE(SUBSTITUTE(TRIM(E96),":",""),",",""),"'",""),"&amp;","and"),"£",""),"  "," ")," ","-")))</f>
        <v/>
      </c>
      <c r="G96">
        <f>IF(B96="Cluster",$E$3,IF(B96="Supporting",INDEX($E$3:$E$553,MATCH(C96,$C$3:$C$553,0)),""))</f>
        <v/>
      </c>
      <c r="H96">
        <f>IF(B96="Supporting",IFERROR(INDEX($E$3:$E$553,1+Entity!$B$14+INDEX(Values!$O$3:$O$502,P96)),""),IF(B96="Cluster",IF(Entity!$B$14&lt;2,"",INDEX($E$3:$E$553,IF(A96-1=Entity!$B$14,2,A96+1))),""))</f>
        <v/>
      </c>
      <c r="I96">
        <f>IF(B96="Pillar",Entity!$B$14&amp;" cluster pages",IF(B96="Cluster",(COUNTIF($C$3:$C$553,SUBSTITUTE(SUBSTITUTE(C96,"?","~?"),"*","~*"))-1)&amp;" supporting pages",""))</f>
        <v/>
      </c>
      <c r="J96">
        <f>IF(B96="Pillar","Informational",IF(OR(B96="Cluster",B96="Supporting"),INDEX(Attributes!$D$3:$D$52,Q96)&amp;"",""))</f>
        <v/>
      </c>
      <c r="K96">
        <f>IF(B96="","",IF(B96="Pillar","Pillar guide (entity hub)",IF(B96="Cluster","Hub page for this attribute",IF(INDEX(Values!$C$3:$C$502,P96)="Yes","Entity page (profile of the sub-entity)",IFERROR(INDEX(Lists!$B$3:$B$6,MATCH(J96,Lists!$A$3:$A$6,0)),"Article")))))</f>
        <v/>
      </c>
      <c r="L96">
        <f>IF(B96="Pillar",Entity!$B$6&amp;"",IF(B96="Cluster",INDEX(Attributes!$I$3:$I$52,Q96)&amp;"",IF(B96="Supporting",INDEX(Values!$F$3:$F$502,P96)&amp;"","")))</f>
        <v/>
      </c>
      <c r="M96">
        <f>IF(B96="","",IF(L96&lt;&gt;"","Covered","Gap"))</f>
        <v/>
      </c>
      <c r="N96">
        <f>IF(B96="Pillar",SUMIFS(Values!$E$3:$E$502,Values!$I$3:$I$502,"Yes"),IF(B96="Cluster",SUMIFS(Values!$E$3:$E$502,Values!$A$3:$A$502,SUBSTITUTE(SUBSTITUTE(C96,"?","~?"),"*","~*"),Values!$I$3:$I$502,"Yes"),IF(B96="Supporting",N(INDEX(Values!$E$3:$E$502,P96)),"")))</f>
        <v/>
      </c>
      <c r="O96">
        <f>IF(B96="","",IF(B96="Pillar",100,IF(B96="Cluster",N(INDEX(Attributes!$E$3:$E$52,Q96))*25+IF(M96="Gap",10,0),N(INDEX(Attributes!$E$3:$E$52,Q96))*20+MIN(20,ROUND(LOG10(N(N96)+1)*5,0))+IF(M96="Gap",10,0)+IF(INDEX(Values!$D$3:$D$502,P96)="Yes",5,0))))</f>
        <v/>
      </c>
      <c r="P96">
        <f>IF(B96="Supporting",MATCH(A96-1-Entity!$B$14,Values!$J$3:$J$502,0),"")</f>
        <v/>
      </c>
      <c r="Q96">
        <f>IF(C96="","",MATCH(C96,Attributes!$A$3:$A$52,0))</f>
        <v/>
      </c>
      <c r="R96">
        <f>IF(B96="Pillar",SUBSTITUTE(Entity!$B$7,"{entity}",LOWER(Entity!$B$3)),IF(B96="Cluster",IF(INDEX(Attributes!$G$3:$G$52,Q96)&lt;&gt;"",INDEX(Attributes!$G$3:$G$52,Q96),SUBSTITUTE(SUBSTITUTE(Entity!$B$8,"{entity}",LOWER(Entity!$B$3)),"{attribute}",LOWER(C96))),IF(B96="Supporting",SUBSTITUTE(SUBSTITUTE(SUBSTITUTE(IF(INDEX(Attributes!$H$3:$H$52,Q96)&lt;&gt;"",INDEX(Attributes!$H$3:$H$52,Q96),Entity!$B$9),"{entity}",LOWER(Entity!$B$3)),"{value}",D96),"{attribute}",LOWER(C96)),"")))</f>
        <v/>
      </c>
    </row>
    <row r="97">
      <c r="A97">
        <f>ROW()-2</f>
        <v/>
      </c>
      <c r="B97">
        <f>IF(A97=1,"Pillar",IF(A97&lt;=1+Entity!$B$14,"Cluster",IF(A97&lt;=1+Entity!$B$14+Entity!$B$15,"Supporting","")))</f>
        <v/>
      </c>
      <c r="C97">
        <f>IF(B97="Cluster",INDEX(Attributes!$A$3:$A$52,MATCH(A97-1,Attributes!$P$3:$P$52,0)),IF(B97="Supporting",INDEX(Values!$A$3:$A$502,P97),""))</f>
        <v/>
      </c>
      <c r="D97">
        <f>IF(B97="Supporting",INDEX(Values!$B$3:$B$502,P97),"")</f>
        <v/>
      </c>
      <c r="E97">
        <f>IF(R97="","",UPPER(LEFT(R97,1))&amp;MID(R97,2,500))</f>
        <v/>
      </c>
      <c r="F97">
        <f>IF(E97="","",LOWER(SUBSTITUTE(SUBSTITUTE(SUBSTITUTE(SUBSTITUTE(SUBSTITUTE(SUBSTITUTE(SUBSTITUTE(TRIM(E97),":",""),",",""),"'",""),"&amp;","and"),"£",""),"  "," ")," ","-")))</f>
        <v/>
      </c>
      <c r="G97">
        <f>IF(B97="Cluster",$E$3,IF(B97="Supporting",INDEX($E$3:$E$553,MATCH(C97,$C$3:$C$553,0)),""))</f>
        <v/>
      </c>
      <c r="H97">
        <f>IF(B97="Supporting",IFERROR(INDEX($E$3:$E$553,1+Entity!$B$14+INDEX(Values!$O$3:$O$502,P97)),""),IF(B97="Cluster",IF(Entity!$B$14&lt;2,"",INDEX($E$3:$E$553,IF(A97-1=Entity!$B$14,2,A97+1))),""))</f>
        <v/>
      </c>
      <c r="I97">
        <f>IF(B97="Pillar",Entity!$B$14&amp;" cluster pages",IF(B97="Cluster",(COUNTIF($C$3:$C$553,SUBSTITUTE(SUBSTITUTE(C97,"?","~?"),"*","~*"))-1)&amp;" supporting pages",""))</f>
        <v/>
      </c>
      <c r="J97">
        <f>IF(B97="Pillar","Informational",IF(OR(B97="Cluster",B97="Supporting"),INDEX(Attributes!$D$3:$D$52,Q97)&amp;"",""))</f>
        <v/>
      </c>
      <c r="K97">
        <f>IF(B97="","",IF(B97="Pillar","Pillar guide (entity hub)",IF(B97="Cluster","Hub page for this attribute",IF(INDEX(Values!$C$3:$C$502,P97)="Yes","Entity page (profile of the sub-entity)",IFERROR(INDEX(Lists!$B$3:$B$6,MATCH(J97,Lists!$A$3:$A$6,0)),"Article")))))</f>
        <v/>
      </c>
      <c r="L97">
        <f>IF(B97="Pillar",Entity!$B$6&amp;"",IF(B97="Cluster",INDEX(Attributes!$I$3:$I$52,Q97)&amp;"",IF(B97="Supporting",INDEX(Values!$F$3:$F$502,P97)&amp;"","")))</f>
        <v/>
      </c>
      <c r="M97">
        <f>IF(B97="","",IF(L97&lt;&gt;"","Covered","Gap"))</f>
        <v/>
      </c>
      <c r="N97">
        <f>IF(B97="Pillar",SUMIFS(Values!$E$3:$E$502,Values!$I$3:$I$502,"Yes"),IF(B97="Cluster",SUMIFS(Values!$E$3:$E$502,Values!$A$3:$A$502,SUBSTITUTE(SUBSTITUTE(C97,"?","~?"),"*","~*"),Values!$I$3:$I$502,"Yes"),IF(B97="Supporting",N(INDEX(Values!$E$3:$E$502,P97)),"")))</f>
        <v/>
      </c>
      <c r="O97">
        <f>IF(B97="","",IF(B97="Pillar",100,IF(B97="Cluster",N(INDEX(Attributes!$E$3:$E$52,Q97))*25+IF(M97="Gap",10,0),N(INDEX(Attributes!$E$3:$E$52,Q97))*20+MIN(20,ROUND(LOG10(N(N97)+1)*5,0))+IF(M97="Gap",10,0)+IF(INDEX(Values!$D$3:$D$502,P97)="Yes",5,0))))</f>
        <v/>
      </c>
      <c r="P97">
        <f>IF(B97="Supporting",MATCH(A97-1-Entity!$B$14,Values!$J$3:$J$502,0),"")</f>
        <v/>
      </c>
      <c r="Q97">
        <f>IF(C97="","",MATCH(C97,Attributes!$A$3:$A$52,0))</f>
        <v/>
      </c>
      <c r="R97">
        <f>IF(B97="Pillar",SUBSTITUTE(Entity!$B$7,"{entity}",LOWER(Entity!$B$3)),IF(B97="Cluster",IF(INDEX(Attributes!$G$3:$G$52,Q97)&lt;&gt;"",INDEX(Attributes!$G$3:$G$52,Q97),SUBSTITUTE(SUBSTITUTE(Entity!$B$8,"{entity}",LOWER(Entity!$B$3)),"{attribute}",LOWER(C97))),IF(B97="Supporting",SUBSTITUTE(SUBSTITUTE(SUBSTITUTE(IF(INDEX(Attributes!$H$3:$H$52,Q97)&lt;&gt;"",INDEX(Attributes!$H$3:$H$52,Q97),Entity!$B$9),"{entity}",LOWER(Entity!$B$3)),"{value}",D97),"{attribute}",LOWER(C97)),"")))</f>
        <v/>
      </c>
    </row>
    <row r="98">
      <c r="A98">
        <f>ROW()-2</f>
        <v/>
      </c>
      <c r="B98">
        <f>IF(A98=1,"Pillar",IF(A98&lt;=1+Entity!$B$14,"Cluster",IF(A98&lt;=1+Entity!$B$14+Entity!$B$15,"Supporting","")))</f>
        <v/>
      </c>
      <c r="C98">
        <f>IF(B98="Cluster",INDEX(Attributes!$A$3:$A$52,MATCH(A98-1,Attributes!$P$3:$P$52,0)),IF(B98="Supporting",INDEX(Values!$A$3:$A$502,P98),""))</f>
        <v/>
      </c>
      <c r="D98">
        <f>IF(B98="Supporting",INDEX(Values!$B$3:$B$502,P98),"")</f>
        <v/>
      </c>
      <c r="E98">
        <f>IF(R98="","",UPPER(LEFT(R98,1))&amp;MID(R98,2,500))</f>
        <v/>
      </c>
      <c r="F98">
        <f>IF(E98="","",LOWER(SUBSTITUTE(SUBSTITUTE(SUBSTITUTE(SUBSTITUTE(SUBSTITUTE(SUBSTITUTE(SUBSTITUTE(TRIM(E98),":",""),",",""),"'",""),"&amp;","and"),"£",""),"  "," ")," ","-")))</f>
        <v/>
      </c>
      <c r="G98">
        <f>IF(B98="Cluster",$E$3,IF(B98="Supporting",INDEX($E$3:$E$553,MATCH(C98,$C$3:$C$553,0)),""))</f>
        <v/>
      </c>
      <c r="H98">
        <f>IF(B98="Supporting",IFERROR(INDEX($E$3:$E$553,1+Entity!$B$14+INDEX(Values!$O$3:$O$502,P98)),""),IF(B98="Cluster",IF(Entity!$B$14&lt;2,"",INDEX($E$3:$E$553,IF(A98-1=Entity!$B$14,2,A98+1))),""))</f>
        <v/>
      </c>
      <c r="I98">
        <f>IF(B98="Pillar",Entity!$B$14&amp;" cluster pages",IF(B98="Cluster",(COUNTIF($C$3:$C$553,SUBSTITUTE(SUBSTITUTE(C98,"?","~?"),"*","~*"))-1)&amp;" supporting pages",""))</f>
        <v/>
      </c>
      <c r="J98">
        <f>IF(B98="Pillar","Informational",IF(OR(B98="Cluster",B98="Supporting"),INDEX(Attributes!$D$3:$D$52,Q98)&amp;"",""))</f>
        <v/>
      </c>
      <c r="K98">
        <f>IF(B98="","",IF(B98="Pillar","Pillar guide (entity hub)",IF(B98="Cluster","Hub page for this attribute",IF(INDEX(Values!$C$3:$C$502,P98)="Yes","Entity page (profile of the sub-entity)",IFERROR(INDEX(Lists!$B$3:$B$6,MATCH(J98,Lists!$A$3:$A$6,0)),"Article")))))</f>
        <v/>
      </c>
      <c r="L98">
        <f>IF(B98="Pillar",Entity!$B$6&amp;"",IF(B98="Cluster",INDEX(Attributes!$I$3:$I$52,Q98)&amp;"",IF(B98="Supporting",INDEX(Values!$F$3:$F$502,P98)&amp;"","")))</f>
        <v/>
      </c>
      <c r="M98">
        <f>IF(B98="","",IF(L98&lt;&gt;"","Covered","Gap"))</f>
        <v/>
      </c>
      <c r="N98">
        <f>IF(B98="Pillar",SUMIFS(Values!$E$3:$E$502,Values!$I$3:$I$502,"Yes"),IF(B98="Cluster",SUMIFS(Values!$E$3:$E$502,Values!$A$3:$A$502,SUBSTITUTE(SUBSTITUTE(C98,"?","~?"),"*","~*"),Values!$I$3:$I$502,"Yes"),IF(B98="Supporting",N(INDEX(Values!$E$3:$E$502,P98)),"")))</f>
        <v/>
      </c>
      <c r="O98">
        <f>IF(B98="","",IF(B98="Pillar",100,IF(B98="Cluster",N(INDEX(Attributes!$E$3:$E$52,Q98))*25+IF(M98="Gap",10,0),N(INDEX(Attributes!$E$3:$E$52,Q98))*20+MIN(20,ROUND(LOG10(N(N98)+1)*5,0))+IF(M98="Gap",10,0)+IF(INDEX(Values!$D$3:$D$502,P98)="Yes",5,0))))</f>
        <v/>
      </c>
      <c r="P98">
        <f>IF(B98="Supporting",MATCH(A98-1-Entity!$B$14,Values!$J$3:$J$502,0),"")</f>
        <v/>
      </c>
      <c r="Q98">
        <f>IF(C98="","",MATCH(C98,Attributes!$A$3:$A$52,0))</f>
        <v/>
      </c>
      <c r="R98">
        <f>IF(B98="Pillar",SUBSTITUTE(Entity!$B$7,"{entity}",LOWER(Entity!$B$3)),IF(B98="Cluster",IF(INDEX(Attributes!$G$3:$G$52,Q98)&lt;&gt;"",INDEX(Attributes!$G$3:$G$52,Q98),SUBSTITUTE(SUBSTITUTE(Entity!$B$8,"{entity}",LOWER(Entity!$B$3)),"{attribute}",LOWER(C98))),IF(B98="Supporting",SUBSTITUTE(SUBSTITUTE(SUBSTITUTE(IF(INDEX(Attributes!$H$3:$H$52,Q98)&lt;&gt;"",INDEX(Attributes!$H$3:$H$52,Q98),Entity!$B$9),"{entity}",LOWER(Entity!$B$3)),"{value}",D98),"{attribute}",LOWER(C98)),"")))</f>
        <v/>
      </c>
    </row>
    <row r="99">
      <c r="A99">
        <f>ROW()-2</f>
        <v/>
      </c>
      <c r="B99">
        <f>IF(A99=1,"Pillar",IF(A99&lt;=1+Entity!$B$14,"Cluster",IF(A99&lt;=1+Entity!$B$14+Entity!$B$15,"Supporting","")))</f>
        <v/>
      </c>
      <c r="C99">
        <f>IF(B99="Cluster",INDEX(Attributes!$A$3:$A$52,MATCH(A99-1,Attributes!$P$3:$P$52,0)),IF(B99="Supporting",INDEX(Values!$A$3:$A$502,P99),""))</f>
        <v/>
      </c>
      <c r="D99">
        <f>IF(B99="Supporting",INDEX(Values!$B$3:$B$502,P99),"")</f>
        <v/>
      </c>
      <c r="E99">
        <f>IF(R99="","",UPPER(LEFT(R99,1))&amp;MID(R99,2,500))</f>
        <v/>
      </c>
      <c r="F99">
        <f>IF(E99="","",LOWER(SUBSTITUTE(SUBSTITUTE(SUBSTITUTE(SUBSTITUTE(SUBSTITUTE(SUBSTITUTE(SUBSTITUTE(TRIM(E99),":",""),",",""),"'",""),"&amp;","and"),"£",""),"  "," ")," ","-")))</f>
        <v/>
      </c>
      <c r="G99">
        <f>IF(B99="Cluster",$E$3,IF(B99="Supporting",INDEX($E$3:$E$553,MATCH(C99,$C$3:$C$553,0)),""))</f>
        <v/>
      </c>
      <c r="H99">
        <f>IF(B99="Supporting",IFERROR(INDEX($E$3:$E$553,1+Entity!$B$14+INDEX(Values!$O$3:$O$502,P99)),""),IF(B99="Cluster",IF(Entity!$B$14&lt;2,"",INDEX($E$3:$E$553,IF(A99-1=Entity!$B$14,2,A99+1))),""))</f>
        <v/>
      </c>
      <c r="I99">
        <f>IF(B99="Pillar",Entity!$B$14&amp;" cluster pages",IF(B99="Cluster",(COUNTIF($C$3:$C$553,SUBSTITUTE(SUBSTITUTE(C99,"?","~?"),"*","~*"))-1)&amp;" supporting pages",""))</f>
        <v/>
      </c>
      <c r="J99">
        <f>IF(B99="Pillar","Informational",IF(OR(B99="Cluster",B99="Supporting"),INDEX(Attributes!$D$3:$D$52,Q99)&amp;"",""))</f>
        <v/>
      </c>
      <c r="K99">
        <f>IF(B99="","",IF(B99="Pillar","Pillar guide (entity hub)",IF(B99="Cluster","Hub page for this attribute",IF(INDEX(Values!$C$3:$C$502,P99)="Yes","Entity page (profile of the sub-entity)",IFERROR(INDEX(Lists!$B$3:$B$6,MATCH(J99,Lists!$A$3:$A$6,0)),"Article")))))</f>
        <v/>
      </c>
      <c r="L99">
        <f>IF(B99="Pillar",Entity!$B$6&amp;"",IF(B99="Cluster",INDEX(Attributes!$I$3:$I$52,Q99)&amp;"",IF(B99="Supporting",INDEX(Values!$F$3:$F$502,P99)&amp;"","")))</f>
        <v/>
      </c>
      <c r="M99">
        <f>IF(B99="","",IF(L99&lt;&gt;"","Covered","Gap"))</f>
        <v/>
      </c>
      <c r="N99">
        <f>IF(B99="Pillar",SUMIFS(Values!$E$3:$E$502,Values!$I$3:$I$502,"Yes"),IF(B99="Cluster",SUMIFS(Values!$E$3:$E$502,Values!$A$3:$A$502,SUBSTITUTE(SUBSTITUTE(C99,"?","~?"),"*","~*"),Values!$I$3:$I$502,"Yes"),IF(B99="Supporting",N(INDEX(Values!$E$3:$E$502,P99)),"")))</f>
        <v/>
      </c>
      <c r="O99">
        <f>IF(B99="","",IF(B99="Pillar",100,IF(B99="Cluster",N(INDEX(Attributes!$E$3:$E$52,Q99))*25+IF(M99="Gap",10,0),N(INDEX(Attributes!$E$3:$E$52,Q99))*20+MIN(20,ROUND(LOG10(N(N99)+1)*5,0))+IF(M99="Gap",10,0)+IF(INDEX(Values!$D$3:$D$502,P99)="Yes",5,0))))</f>
        <v/>
      </c>
      <c r="P99">
        <f>IF(B99="Supporting",MATCH(A99-1-Entity!$B$14,Values!$J$3:$J$502,0),"")</f>
        <v/>
      </c>
      <c r="Q99">
        <f>IF(C99="","",MATCH(C99,Attributes!$A$3:$A$52,0))</f>
        <v/>
      </c>
      <c r="R99">
        <f>IF(B99="Pillar",SUBSTITUTE(Entity!$B$7,"{entity}",LOWER(Entity!$B$3)),IF(B99="Cluster",IF(INDEX(Attributes!$G$3:$G$52,Q99)&lt;&gt;"",INDEX(Attributes!$G$3:$G$52,Q99),SUBSTITUTE(SUBSTITUTE(Entity!$B$8,"{entity}",LOWER(Entity!$B$3)),"{attribute}",LOWER(C99))),IF(B99="Supporting",SUBSTITUTE(SUBSTITUTE(SUBSTITUTE(IF(INDEX(Attributes!$H$3:$H$52,Q99)&lt;&gt;"",INDEX(Attributes!$H$3:$H$52,Q99),Entity!$B$9),"{entity}",LOWER(Entity!$B$3)),"{value}",D99),"{attribute}",LOWER(C99)),"")))</f>
        <v/>
      </c>
    </row>
    <row r="100">
      <c r="A100">
        <f>ROW()-2</f>
        <v/>
      </c>
      <c r="B100">
        <f>IF(A100=1,"Pillar",IF(A100&lt;=1+Entity!$B$14,"Cluster",IF(A100&lt;=1+Entity!$B$14+Entity!$B$15,"Supporting","")))</f>
        <v/>
      </c>
      <c r="C100">
        <f>IF(B100="Cluster",INDEX(Attributes!$A$3:$A$52,MATCH(A100-1,Attributes!$P$3:$P$52,0)),IF(B100="Supporting",INDEX(Values!$A$3:$A$502,P100),""))</f>
        <v/>
      </c>
      <c r="D100">
        <f>IF(B100="Supporting",INDEX(Values!$B$3:$B$502,P100),"")</f>
        <v/>
      </c>
      <c r="E100">
        <f>IF(R100="","",UPPER(LEFT(R100,1))&amp;MID(R100,2,500))</f>
        <v/>
      </c>
      <c r="F100">
        <f>IF(E100="","",LOWER(SUBSTITUTE(SUBSTITUTE(SUBSTITUTE(SUBSTITUTE(SUBSTITUTE(SUBSTITUTE(SUBSTITUTE(TRIM(E100),":",""),",",""),"'",""),"&amp;","and"),"£",""),"  "," ")," ","-")))</f>
        <v/>
      </c>
      <c r="G100">
        <f>IF(B100="Cluster",$E$3,IF(B100="Supporting",INDEX($E$3:$E$553,MATCH(C100,$C$3:$C$553,0)),""))</f>
        <v/>
      </c>
      <c r="H100">
        <f>IF(B100="Supporting",IFERROR(INDEX($E$3:$E$553,1+Entity!$B$14+INDEX(Values!$O$3:$O$502,P100)),""),IF(B100="Cluster",IF(Entity!$B$14&lt;2,"",INDEX($E$3:$E$553,IF(A100-1=Entity!$B$14,2,A100+1))),""))</f>
        <v/>
      </c>
      <c r="I100">
        <f>IF(B100="Pillar",Entity!$B$14&amp;" cluster pages",IF(B100="Cluster",(COUNTIF($C$3:$C$553,SUBSTITUTE(SUBSTITUTE(C100,"?","~?"),"*","~*"))-1)&amp;" supporting pages",""))</f>
        <v/>
      </c>
      <c r="J100">
        <f>IF(B100="Pillar","Informational",IF(OR(B100="Cluster",B100="Supporting"),INDEX(Attributes!$D$3:$D$52,Q100)&amp;"",""))</f>
        <v/>
      </c>
      <c r="K100">
        <f>IF(B100="","",IF(B100="Pillar","Pillar guide (entity hub)",IF(B100="Cluster","Hub page for this attribute",IF(INDEX(Values!$C$3:$C$502,P100)="Yes","Entity page (profile of the sub-entity)",IFERROR(INDEX(Lists!$B$3:$B$6,MATCH(J100,Lists!$A$3:$A$6,0)),"Article")))))</f>
        <v/>
      </c>
      <c r="L100">
        <f>IF(B100="Pillar",Entity!$B$6&amp;"",IF(B100="Cluster",INDEX(Attributes!$I$3:$I$52,Q100)&amp;"",IF(B100="Supporting",INDEX(Values!$F$3:$F$502,P100)&amp;"","")))</f>
        <v/>
      </c>
      <c r="M100">
        <f>IF(B100="","",IF(L100&lt;&gt;"","Covered","Gap"))</f>
        <v/>
      </c>
      <c r="N100">
        <f>IF(B100="Pillar",SUMIFS(Values!$E$3:$E$502,Values!$I$3:$I$502,"Yes"),IF(B100="Cluster",SUMIFS(Values!$E$3:$E$502,Values!$A$3:$A$502,SUBSTITUTE(SUBSTITUTE(C100,"?","~?"),"*","~*"),Values!$I$3:$I$502,"Yes"),IF(B100="Supporting",N(INDEX(Values!$E$3:$E$502,P100)),"")))</f>
        <v/>
      </c>
      <c r="O100">
        <f>IF(B100="","",IF(B100="Pillar",100,IF(B100="Cluster",N(INDEX(Attributes!$E$3:$E$52,Q100))*25+IF(M100="Gap",10,0),N(INDEX(Attributes!$E$3:$E$52,Q100))*20+MIN(20,ROUND(LOG10(N(N100)+1)*5,0))+IF(M100="Gap",10,0)+IF(INDEX(Values!$D$3:$D$502,P100)="Yes",5,0))))</f>
        <v/>
      </c>
      <c r="P100">
        <f>IF(B100="Supporting",MATCH(A100-1-Entity!$B$14,Values!$J$3:$J$502,0),"")</f>
        <v/>
      </c>
      <c r="Q100">
        <f>IF(C100="","",MATCH(C100,Attributes!$A$3:$A$52,0))</f>
        <v/>
      </c>
      <c r="R100">
        <f>IF(B100="Pillar",SUBSTITUTE(Entity!$B$7,"{entity}",LOWER(Entity!$B$3)),IF(B100="Cluster",IF(INDEX(Attributes!$G$3:$G$52,Q100)&lt;&gt;"",INDEX(Attributes!$G$3:$G$52,Q100),SUBSTITUTE(SUBSTITUTE(Entity!$B$8,"{entity}",LOWER(Entity!$B$3)),"{attribute}",LOWER(C100))),IF(B100="Supporting",SUBSTITUTE(SUBSTITUTE(SUBSTITUTE(IF(INDEX(Attributes!$H$3:$H$52,Q100)&lt;&gt;"",INDEX(Attributes!$H$3:$H$52,Q100),Entity!$B$9),"{entity}",LOWER(Entity!$B$3)),"{value}",D100),"{attribute}",LOWER(C100)),"")))</f>
        <v/>
      </c>
    </row>
    <row r="101">
      <c r="A101">
        <f>ROW()-2</f>
        <v/>
      </c>
      <c r="B101">
        <f>IF(A101=1,"Pillar",IF(A101&lt;=1+Entity!$B$14,"Cluster",IF(A101&lt;=1+Entity!$B$14+Entity!$B$15,"Supporting","")))</f>
        <v/>
      </c>
      <c r="C101">
        <f>IF(B101="Cluster",INDEX(Attributes!$A$3:$A$52,MATCH(A101-1,Attributes!$P$3:$P$52,0)),IF(B101="Supporting",INDEX(Values!$A$3:$A$502,P101),""))</f>
        <v/>
      </c>
      <c r="D101">
        <f>IF(B101="Supporting",INDEX(Values!$B$3:$B$502,P101),"")</f>
        <v/>
      </c>
      <c r="E101">
        <f>IF(R101="","",UPPER(LEFT(R101,1))&amp;MID(R101,2,500))</f>
        <v/>
      </c>
      <c r="F101">
        <f>IF(E101="","",LOWER(SUBSTITUTE(SUBSTITUTE(SUBSTITUTE(SUBSTITUTE(SUBSTITUTE(SUBSTITUTE(SUBSTITUTE(TRIM(E101),":",""),",",""),"'",""),"&amp;","and"),"£",""),"  "," ")," ","-")))</f>
        <v/>
      </c>
      <c r="G101">
        <f>IF(B101="Cluster",$E$3,IF(B101="Supporting",INDEX($E$3:$E$553,MATCH(C101,$C$3:$C$553,0)),""))</f>
        <v/>
      </c>
      <c r="H101">
        <f>IF(B101="Supporting",IFERROR(INDEX($E$3:$E$553,1+Entity!$B$14+INDEX(Values!$O$3:$O$502,P101)),""),IF(B101="Cluster",IF(Entity!$B$14&lt;2,"",INDEX($E$3:$E$553,IF(A101-1=Entity!$B$14,2,A101+1))),""))</f>
        <v/>
      </c>
      <c r="I101">
        <f>IF(B101="Pillar",Entity!$B$14&amp;" cluster pages",IF(B101="Cluster",(COUNTIF($C$3:$C$553,SUBSTITUTE(SUBSTITUTE(C101,"?","~?"),"*","~*"))-1)&amp;" supporting pages",""))</f>
        <v/>
      </c>
      <c r="J101">
        <f>IF(B101="Pillar","Informational",IF(OR(B101="Cluster",B101="Supporting"),INDEX(Attributes!$D$3:$D$52,Q101)&amp;"",""))</f>
        <v/>
      </c>
      <c r="K101">
        <f>IF(B101="","",IF(B101="Pillar","Pillar guide (entity hub)",IF(B101="Cluster","Hub page for this attribute",IF(INDEX(Values!$C$3:$C$502,P101)="Yes","Entity page (profile of the sub-entity)",IFERROR(INDEX(Lists!$B$3:$B$6,MATCH(J101,Lists!$A$3:$A$6,0)),"Article")))))</f>
        <v/>
      </c>
      <c r="L101">
        <f>IF(B101="Pillar",Entity!$B$6&amp;"",IF(B101="Cluster",INDEX(Attributes!$I$3:$I$52,Q101)&amp;"",IF(B101="Supporting",INDEX(Values!$F$3:$F$502,P101)&amp;"","")))</f>
        <v/>
      </c>
      <c r="M101">
        <f>IF(B101="","",IF(L101&lt;&gt;"","Covered","Gap"))</f>
        <v/>
      </c>
      <c r="N101">
        <f>IF(B101="Pillar",SUMIFS(Values!$E$3:$E$502,Values!$I$3:$I$502,"Yes"),IF(B101="Cluster",SUMIFS(Values!$E$3:$E$502,Values!$A$3:$A$502,SUBSTITUTE(SUBSTITUTE(C101,"?","~?"),"*","~*"),Values!$I$3:$I$502,"Yes"),IF(B101="Supporting",N(INDEX(Values!$E$3:$E$502,P101)),"")))</f>
        <v/>
      </c>
      <c r="O101">
        <f>IF(B101="","",IF(B101="Pillar",100,IF(B101="Cluster",N(INDEX(Attributes!$E$3:$E$52,Q101))*25+IF(M101="Gap",10,0),N(INDEX(Attributes!$E$3:$E$52,Q101))*20+MIN(20,ROUND(LOG10(N(N101)+1)*5,0))+IF(M101="Gap",10,0)+IF(INDEX(Values!$D$3:$D$502,P101)="Yes",5,0))))</f>
        <v/>
      </c>
      <c r="P101">
        <f>IF(B101="Supporting",MATCH(A101-1-Entity!$B$14,Values!$J$3:$J$502,0),"")</f>
        <v/>
      </c>
      <c r="Q101">
        <f>IF(C101="","",MATCH(C101,Attributes!$A$3:$A$52,0))</f>
        <v/>
      </c>
      <c r="R101">
        <f>IF(B101="Pillar",SUBSTITUTE(Entity!$B$7,"{entity}",LOWER(Entity!$B$3)),IF(B101="Cluster",IF(INDEX(Attributes!$G$3:$G$52,Q101)&lt;&gt;"",INDEX(Attributes!$G$3:$G$52,Q101),SUBSTITUTE(SUBSTITUTE(Entity!$B$8,"{entity}",LOWER(Entity!$B$3)),"{attribute}",LOWER(C101))),IF(B101="Supporting",SUBSTITUTE(SUBSTITUTE(SUBSTITUTE(IF(INDEX(Attributes!$H$3:$H$52,Q101)&lt;&gt;"",INDEX(Attributes!$H$3:$H$52,Q101),Entity!$B$9),"{entity}",LOWER(Entity!$B$3)),"{value}",D101),"{attribute}",LOWER(C101)),"")))</f>
        <v/>
      </c>
    </row>
    <row r="102">
      <c r="A102">
        <f>ROW()-2</f>
        <v/>
      </c>
      <c r="B102">
        <f>IF(A102=1,"Pillar",IF(A102&lt;=1+Entity!$B$14,"Cluster",IF(A102&lt;=1+Entity!$B$14+Entity!$B$15,"Supporting","")))</f>
        <v/>
      </c>
      <c r="C102">
        <f>IF(B102="Cluster",INDEX(Attributes!$A$3:$A$52,MATCH(A102-1,Attributes!$P$3:$P$52,0)),IF(B102="Supporting",INDEX(Values!$A$3:$A$502,P102),""))</f>
        <v/>
      </c>
      <c r="D102">
        <f>IF(B102="Supporting",INDEX(Values!$B$3:$B$502,P102),"")</f>
        <v/>
      </c>
      <c r="E102">
        <f>IF(R102="","",UPPER(LEFT(R102,1))&amp;MID(R102,2,500))</f>
        <v/>
      </c>
      <c r="F102">
        <f>IF(E102="","",LOWER(SUBSTITUTE(SUBSTITUTE(SUBSTITUTE(SUBSTITUTE(SUBSTITUTE(SUBSTITUTE(SUBSTITUTE(TRIM(E102),":",""),",",""),"'",""),"&amp;","and"),"£",""),"  "," ")," ","-")))</f>
        <v/>
      </c>
      <c r="G102">
        <f>IF(B102="Cluster",$E$3,IF(B102="Supporting",INDEX($E$3:$E$553,MATCH(C102,$C$3:$C$553,0)),""))</f>
        <v/>
      </c>
      <c r="H102">
        <f>IF(B102="Supporting",IFERROR(INDEX($E$3:$E$553,1+Entity!$B$14+INDEX(Values!$O$3:$O$502,P102)),""),IF(B102="Cluster",IF(Entity!$B$14&lt;2,"",INDEX($E$3:$E$553,IF(A102-1=Entity!$B$14,2,A102+1))),""))</f>
        <v/>
      </c>
      <c r="I102">
        <f>IF(B102="Pillar",Entity!$B$14&amp;" cluster pages",IF(B102="Cluster",(COUNTIF($C$3:$C$553,SUBSTITUTE(SUBSTITUTE(C102,"?","~?"),"*","~*"))-1)&amp;" supporting pages",""))</f>
        <v/>
      </c>
      <c r="J102">
        <f>IF(B102="Pillar","Informational",IF(OR(B102="Cluster",B102="Supporting"),INDEX(Attributes!$D$3:$D$52,Q102)&amp;"",""))</f>
        <v/>
      </c>
      <c r="K102">
        <f>IF(B102="","",IF(B102="Pillar","Pillar guide (entity hub)",IF(B102="Cluster","Hub page for this attribute",IF(INDEX(Values!$C$3:$C$502,P102)="Yes","Entity page (profile of the sub-entity)",IFERROR(INDEX(Lists!$B$3:$B$6,MATCH(J102,Lists!$A$3:$A$6,0)),"Article")))))</f>
        <v/>
      </c>
      <c r="L102">
        <f>IF(B102="Pillar",Entity!$B$6&amp;"",IF(B102="Cluster",INDEX(Attributes!$I$3:$I$52,Q102)&amp;"",IF(B102="Supporting",INDEX(Values!$F$3:$F$502,P102)&amp;"","")))</f>
        <v/>
      </c>
      <c r="M102">
        <f>IF(B102="","",IF(L102&lt;&gt;"","Covered","Gap"))</f>
        <v/>
      </c>
      <c r="N102">
        <f>IF(B102="Pillar",SUMIFS(Values!$E$3:$E$502,Values!$I$3:$I$502,"Yes"),IF(B102="Cluster",SUMIFS(Values!$E$3:$E$502,Values!$A$3:$A$502,SUBSTITUTE(SUBSTITUTE(C102,"?","~?"),"*","~*"),Values!$I$3:$I$502,"Yes"),IF(B102="Supporting",N(INDEX(Values!$E$3:$E$502,P102)),"")))</f>
        <v/>
      </c>
      <c r="O102">
        <f>IF(B102="","",IF(B102="Pillar",100,IF(B102="Cluster",N(INDEX(Attributes!$E$3:$E$52,Q102))*25+IF(M102="Gap",10,0),N(INDEX(Attributes!$E$3:$E$52,Q102))*20+MIN(20,ROUND(LOG10(N(N102)+1)*5,0))+IF(M102="Gap",10,0)+IF(INDEX(Values!$D$3:$D$502,P102)="Yes",5,0))))</f>
        <v/>
      </c>
      <c r="P102">
        <f>IF(B102="Supporting",MATCH(A102-1-Entity!$B$14,Values!$J$3:$J$502,0),"")</f>
        <v/>
      </c>
      <c r="Q102">
        <f>IF(C102="","",MATCH(C102,Attributes!$A$3:$A$52,0))</f>
        <v/>
      </c>
      <c r="R102">
        <f>IF(B102="Pillar",SUBSTITUTE(Entity!$B$7,"{entity}",LOWER(Entity!$B$3)),IF(B102="Cluster",IF(INDEX(Attributes!$G$3:$G$52,Q102)&lt;&gt;"",INDEX(Attributes!$G$3:$G$52,Q102),SUBSTITUTE(SUBSTITUTE(Entity!$B$8,"{entity}",LOWER(Entity!$B$3)),"{attribute}",LOWER(C102))),IF(B102="Supporting",SUBSTITUTE(SUBSTITUTE(SUBSTITUTE(IF(INDEX(Attributes!$H$3:$H$52,Q102)&lt;&gt;"",INDEX(Attributes!$H$3:$H$52,Q102),Entity!$B$9),"{entity}",LOWER(Entity!$B$3)),"{value}",D102),"{attribute}",LOWER(C102)),"")))</f>
        <v/>
      </c>
    </row>
    <row r="103">
      <c r="A103">
        <f>ROW()-2</f>
        <v/>
      </c>
      <c r="B103">
        <f>IF(A103=1,"Pillar",IF(A103&lt;=1+Entity!$B$14,"Cluster",IF(A103&lt;=1+Entity!$B$14+Entity!$B$15,"Supporting","")))</f>
        <v/>
      </c>
      <c r="C103">
        <f>IF(B103="Cluster",INDEX(Attributes!$A$3:$A$52,MATCH(A103-1,Attributes!$P$3:$P$52,0)),IF(B103="Supporting",INDEX(Values!$A$3:$A$502,P103),""))</f>
        <v/>
      </c>
      <c r="D103">
        <f>IF(B103="Supporting",INDEX(Values!$B$3:$B$502,P103),"")</f>
        <v/>
      </c>
      <c r="E103">
        <f>IF(R103="","",UPPER(LEFT(R103,1))&amp;MID(R103,2,500))</f>
        <v/>
      </c>
      <c r="F103">
        <f>IF(E103="","",LOWER(SUBSTITUTE(SUBSTITUTE(SUBSTITUTE(SUBSTITUTE(SUBSTITUTE(SUBSTITUTE(SUBSTITUTE(TRIM(E103),":",""),",",""),"'",""),"&amp;","and"),"£",""),"  "," ")," ","-")))</f>
        <v/>
      </c>
      <c r="G103">
        <f>IF(B103="Cluster",$E$3,IF(B103="Supporting",INDEX($E$3:$E$553,MATCH(C103,$C$3:$C$553,0)),""))</f>
        <v/>
      </c>
      <c r="H103">
        <f>IF(B103="Supporting",IFERROR(INDEX($E$3:$E$553,1+Entity!$B$14+INDEX(Values!$O$3:$O$502,P103)),""),IF(B103="Cluster",IF(Entity!$B$14&lt;2,"",INDEX($E$3:$E$553,IF(A103-1=Entity!$B$14,2,A103+1))),""))</f>
        <v/>
      </c>
      <c r="I103">
        <f>IF(B103="Pillar",Entity!$B$14&amp;" cluster pages",IF(B103="Cluster",(COUNTIF($C$3:$C$553,SUBSTITUTE(SUBSTITUTE(C103,"?","~?"),"*","~*"))-1)&amp;" supporting pages",""))</f>
        <v/>
      </c>
      <c r="J103">
        <f>IF(B103="Pillar","Informational",IF(OR(B103="Cluster",B103="Supporting"),INDEX(Attributes!$D$3:$D$52,Q103)&amp;"",""))</f>
        <v/>
      </c>
      <c r="K103">
        <f>IF(B103="","",IF(B103="Pillar","Pillar guide (entity hub)",IF(B103="Cluster","Hub page for this attribute",IF(INDEX(Values!$C$3:$C$502,P103)="Yes","Entity page (profile of the sub-entity)",IFERROR(INDEX(Lists!$B$3:$B$6,MATCH(J103,Lists!$A$3:$A$6,0)),"Article")))))</f>
        <v/>
      </c>
      <c r="L103">
        <f>IF(B103="Pillar",Entity!$B$6&amp;"",IF(B103="Cluster",INDEX(Attributes!$I$3:$I$52,Q103)&amp;"",IF(B103="Supporting",INDEX(Values!$F$3:$F$502,P103)&amp;"","")))</f>
        <v/>
      </c>
      <c r="M103">
        <f>IF(B103="","",IF(L103&lt;&gt;"","Covered","Gap"))</f>
        <v/>
      </c>
      <c r="N103">
        <f>IF(B103="Pillar",SUMIFS(Values!$E$3:$E$502,Values!$I$3:$I$502,"Yes"),IF(B103="Cluster",SUMIFS(Values!$E$3:$E$502,Values!$A$3:$A$502,SUBSTITUTE(SUBSTITUTE(C103,"?","~?"),"*","~*"),Values!$I$3:$I$502,"Yes"),IF(B103="Supporting",N(INDEX(Values!$E$3:$E$502,P103)),"")))</f>
        <v/>
      </c>
      <c r="O103">
        <f>IF(B103="","",IF(B103="Pillar",100,IF(B103="Cluster",N(INDEX(Attributes!$E$3:$E$52,Q103))*25+IF(M103="Gap",10,0),N(INDEX(Attributes!$E$3:$E$52,Q103))*20+MIN(20,ROUND(LOG10(N(N103)+1)*5,0))+IF(M103="Gap",10,0)+IF(INDEX(Values!$D$3:$D$502,P103)="Yes",5,0))))</f>
        <v/>
      </c>
      <c r="P103">
        <f>IF(B103="Supporting",MATCH(A103-1-Entity!$B$14,Values!$J$3:$J$502,0),"")</f>
        <v/>
      </c>
      <c r="Q103">
        <f>IF(C103="","",MATCH(C103,Attributes!$A$3:$A$52,0))</f>
        <v/>
      </c>
      <c r="R103">
        <f>IF(B103="Pillar",SUBSTITUTE(Entity!$B$7,"{entity}",LOWER(Entity!$B$3)),IF(B103="Cluster",IF(INDEX(Attributes!$G$3:$G$52,Q103)&lt;&gt;"",INDEX(Attributes!$G$3:$G$52,Q103),SUBSTITUTE(SUBSTITUTE(Entity!$B$8,"{entity}",LOWER(Entity!$B$3)),"{attribute}",LOWER(C103))),IF(B103="Supporting",SUBSTITUTE(SUBSTITUTE(SUBSTITUTE(IF(INDEX(Attributes!$H$3:$H$52,Q103)&lt;&gt;"",INDEX(Attributes!$H$3:$H$52,Q103),Entity!$B$9),"{entity}",LOWER(Entity!$B$3)),"{value}",D103),"{attribute}",LOWER(C103)),"")))</f>
        <v/>
      </c>
    </row>
    <row r="104">
      <c r="A104">
        <f>ROW()-2</f>
        <v/>
      </c>
      <c r="B104">
        <f>IF(A104=1,"Pillar",IF(A104&lt;=1+Entity!$B$14,"Cluster",IF(A104&lt;=1+Entity!$B$14+Entity!$B$15,"Supporting","")))</f>
        <v/>
      </c>
      <c r="C104">
        <f>IF(B104="Cluster",INDEX(Attributes!$A$3:$A$52,MATCH(A104-1,Attributes!$P$3:$P$52,0)),IF(B104="Supporting",INDEX(Values!$A$3:$A$502,P104),""))</f>
        <v/>
      </c>
      <c r="D104">
        <f>IF(B104="Supporting",INDEX(Values!$B$3:$B$502,P104),"")</f>
        <v/>
      </c>
      <c r="E104">
        <f>IF(R104="","",UPPER(LEFT(R104,1))&amp;MID(R104,2,500))</f>
        <v/>
      </c>
      <c r="F104">
        <f>IF(E104="","",LOWER(SUBSTITUTE(SUBSTITUTE(SUBSTITUTE(SUBSTITUTE(SUBSTITUTE(SUBSTITUTE(SUBSTITUTE(TRIM(E104),":",""),",",""),"'",""),"&amp;","and"),"£",""),"  "," ")," ","-")))</f>
        <v/>
      </c>
      <c r="G104">
        <f>IF(B104="Cluster",$E$3,IF(B104="Supporting",INDEX($E$3:$E$553,MATCH(C104,$C$3:$C$553,0)),""))</f>
        <v/>
      </c>
      <c r="H104">
        <f>IF(B104="Supporting",IFERROR(INDEX($E$3:$E$553,1+Entity!$B$14+INDEX(Values!$O$3:$O$502,P104)),""),IF(B104="Cluster",IF(Entity!$B$14&lt;2,"",INDEX($E$3:$E$553,IF(A104-1=Entity!$B$14,2,A104+1))),""))</f>
        <v/>
      </c>
      <c r="I104">
        <f>IF(B104="Pillar",Entity!$B$14&amp;" cluster pages",IF(B104="Cluster",(COUNTIF($C$3:$C$553,SUBSTITUTE(SUBSTITUTE(C104,"?","~?"),"*","~*"))-1)&amp;" supporting pages",""))</f>
        <v/>
      </c>
      <c r="J104">
        <f>IF(B104="Pillar","Informational",IF(OR(B104="Cluster",B104="Supporting"),INDEX(Attributes!$D$3:$D$52,Q104)&amp;"",""))</f>
        <v/>
      </c>
      <c r="K104">
        <f>IF(B104="","",IF(B104="Pillar","Pillar guide (entity hub)",IF(B104="Cluster","Hub page for this attribute",IF(INDEX(Values!$C$3:$C$502,P104)="Yes","Entity page (profile of the sub-entity)",IFERROR(INDEX(Lists!$B$3:$B$6,MATCH(J104,Lists!$A$3:$A$6,0)),"Article")))))</f>
        <v/>
      </c>
      <c r="L104">
        <f>IF(B104="Pillar",Entity!$B$6&amp;"",IF(B104="Cluster",INDEX(Attributes!$I$3:$I$52,Q104)&amp;"",IF(B104="Supporting",INDEX(Values!$F$3:$F$502,P104)&amp;"","")))</f>
        <v/>
      </c>
      <c r="M104">
        <f>IF(B104="","",IF(L104&lt;&gt;"","Covered","Gap"))</f>
        <v/>
      </c>
      <c r="N104">
        <f>IF(B104="Pillar",SUMIFS(Values!$E$3:$E$502,Values!$I$3:$I$502,"Yes"),IF(B104="Cluster",SUMIFS(Values!$E$3:$E$502,Values!$A$3:$A$502,SUBSTITUTE(SUBSTITUTE(C104,"?","~?"),"*","~*"),Values!$I$3:$I$502,"Yes"),IF(B104="Supporting",N(INDEX(Values!$E$3:$E$502,P104)),"")))</f>
        <v/>
      </c>
      <c r="O104">
        <f>IF(B104="","",IF(B104="Pillar",100,IF(B104="Cluster",N(INDEX(Attributes!$E$3:$E$52,Q104))*25+IF(M104="Gap",10,0),N(INDEX(Attributes!$E$3:$E$52,Q104))*20+MIN(20,ROUND(LOG10(N(N104)+1)*5,0))+IF(M104="Gap",10,0)+IF(INDEX(Values!$D$3:$D$502,P104)="Yes",5,0))))</f>
        <v/>
      </c>
      <c r="P104">
        <f>IF(B104="Supporting",MATCH(A104-1-Entity!$B$14,Values!$J$3:$J$502,0),"")</f>
        <v/>
      </c>
      <c r="Q104">
        <f>IF(C104="","",MATCH(C104,Attributes!$A$3:$A$52,0))</f>
        <v/>
      </c>
      <c r="R104">
        <f>IF(B104="Pillar",SUBSTITUTE(Entity!$B$7,"{entity}",LOWER(Entity!$B$3)),IF(B104="Cluster",IF(INDEX(Attributes!$G$3:$G$52,Q104)&lt;&gt;"",INDEX(Attributes!$G$3:$G$52,Q104),SUBSTITUTE(SUBSTITUTE(Entity!$B$8,"{entity}",LOWER(Entity!$B$3)),"{attribute}",LOWER(C104))),IF(B104="Supporting",SUBSTITUTE(SUBSTITUTE(SUBSTITUTE(IF(INDEX(Attributes!$H$3:$H$52,Q104)&lt;&gt;"",INDEX(Attributes!$H$3:$H$52,Q104),Entity!$B$9),"{entity}",LOWER(Entity!$B$3)),"{value}",D104),"{attribute}",LOWER(C104)),"")))</f>
        <v/>
      </c>
    </row>
    <row r="105">
      <c r="A105">
        <f>ROW()-2</f>
        <v/>
      </c>
      <c r="B105">
        <f>IF(A105=1,"Pillar",IF(A105&lt;=1+Entity!$B$14,"Cluster",IF(A105&lt;=1+Entity!$B$14+Entity!$B$15,"Supporting","")))</f>
        <v/>
      </c>
      <c r="C105">
        <f>IF(B105="Cluster",INDEX(Attributes!$A$3:$A$52,MATCH(A105-1,Attributes!$P$3:$P$52,0)),IF(B105="Supporting",INDEX(Values!$A$3:$A$502,P105),""))</f>
        <v/>
      </c>
      <c r="D105">
        <f>IF(B105="Supporting",INDEX(Values!$B$3:$B$502,P105),"")</f>
        <v/>
      </c>
      <c r="E105">
        <f>IF(R105="","",UPPER(LEFT(R105,1))&amp;MID(R105,2,500))</f>
        <v/>
      </c>
      <c r="F105">
        <f>IF(E105="","",LOWER(SUBSTITUTE(SUBSTITUTE(SUBSTITUTE(SUBSTITUTE(SUBSTITUTE(SUBSTITUTE(SUBSTITUTE(TRIM(E105),":",""),",",""),"'",""),"&amp;","and"),"£",""),"  "," ")," ","-")))</f>
        <v/>
      </c>
      <c r="G105">
        <f>IF(B105="Cluster",$E$3,IF(B105="Supporting",INDEX($E$3:$E$553,MATCH(C105,$C$3:$C$553,0)),""))</f>
        <v/>
      </c>
      <c r="H105">
        <f>IF(B105="Supporting",IFERROR(INDEX($E$3:$E$553,1+Entity!$B$14+INDEX(Values!$O$3:$O$502,P105)),""),IF(B105="Cluster",IF(Entity!$B$14&lt;2,"",INDEX($E$3:$E$553,IF(A105-1=Entity!$B$14,2,A105+1))),""))</f>
        <v/>
      </c>
      <c r="I105">
        <f>IF(B105="Pillar",Entity!$B$14&amp;" cluster pages",IF(B105="Cluster",(COUNTIF($C$3:$C$553,SUBSTITUTE(SUBSTITUTE(C105,"?","~?"),"*","~*"))-1)&amp;" supporting pages",""))</f>
        <v/>
      </c>
      <c r="J105">
        <f>IF(B105="Pillar","Informational",IF(OR(B105="Cluster",B105="Supporting"),INDEX(Attributes!$D$3:$D$52,Q105)&amp;"",""))</f>
        <v/>
      </c>
      <c r="K105">
        <f>IF(B105="","",IF(B105="Pillar","Pillar guide (entity hub)",IF(B105="Cluster","Hub page for this attribute",IF(INDEX(Values!$C$3:$C$502,P105)="Yes","Entity page (profile of the sub-entity)",IFERROR(INDEX(Lists!$B$3:$B$6,MATCH(J105,Lists!$A$3:$A$6,0)),"Article")))))</f>
        <v/>
      </c>
      <c r="L105">
        <f>IF(B105="Pillar",Entity!$B$6&amp;"",IF(B105="Cluster",INDEX(Attributes!$I$3:$I$52,Q105)&amp;"",IF(B105="Supporting",INDEX(Values!$F$3:$F$502,P105)&amp;"","")))</f>
        <v/>
      </c>
      <c r="M105">
        <f>IF(B105="","",IF(L105&lt;&gt;"","Covered","Gap"))</f>
        <v/>
      </c>
      <c r="N105">
        <f>IF(B105="Pillar",SUMIFS(Values!$E$3:$E$502,Values!$I$3:$I$502,"Yes"),IF(B105="Cluster",SUMIFS(Values!$E$3:$E$502,Values!$A$3:$A$502,SUBSTITUTE(SUBSTITUTE(C105,"?","~?"),"*","~*"),Values!$I$3:$I$502,"Yes"),IF(B105="Supporting",N(INDEX(Values!$E$3:$E$502,P105)),"")))</f>
        <v/>
      </c>
      <c r="O105">
        <f>IF(B105="","",IF(B105="Pillar",100,IF(B105="Cluster",N(INDEX(Attributes!$E$3:$E$52,Q105))*25+IF(M105="Gap",10,0),N(INDEX(Attributes!$E$3:$E$52,Q105))*20+MIN(20,ROUND(LOG10(N(N105)+1)*5,0))+IF(M105="Gap",10,0)+IF(INDEX(Values!$D$3:$D$502,P105)="Yes",5,0))))</f>
        <v/>
      </c>
      <c r="P105">
        <f>IF(B105="Supporting",MATCH(A105-1-Entity!$B$14,Values!$J$3:$J$502,0),"")</f>
        <v/>
      </c>
      <c r="Q105">
        <f>IF(C105="","",MATCH(C105,Attributes!$A$3:$A$52,0))</f>
        <v/>
      </c>
      <c r="R105">
        <f>IF(B105="Pillar",SUBSTITUTE(Entity!$B$7,"{entity}",LOWER(Entity!$B$3)),IF(B105="Cluster",IF(INDEX(Attributes!$G$3:$G$52,Q105)&lt;&gt;"",INDEX(Attributes!$G$3:$G$52,Q105),SUBSTITUTE(SUBSTITUTE(Entity!$B$8,"{entity}",LOWER(Entity!$B$3)),"{attribute}",LOWER(C105))),IF(B105="Supporting",SUBSTITUTE(SUBSTITUTE(SUBSTITUTE(IF(INDEX(Attributes!$H$3:$H$52,Q105)&lt;&gt;"",INDEX(Attributes!$H$3:$H$52,Q105),Entity!$B$9),"{entity}",LOWER(Entity!$B$3)),"{value}",D105),"{attribute}",LOWER(C105)),"")))</f>
        <v/>
      </c>
    </row>
    <row r="106">
      <c r="A106">
        <f>ROW()-2</f>
        <v/>
      </c>
      <c r="B106">
        <f>IF(A106=1,"Pillar",IF(A106&lt;=1+Entity!$B$14,"Cluster",IF(A106&lt;=1+Entity!$B$14+Entity!$B$15,"Supporting","")))</f>
        <v/>
      </c>
      <c r="C106">
        <f>IF(B106="Cluster",INDEX(Attributes!$A$3:$A$52,MATCH(A106-1,Attributes!$P$3:$P$52,0)),IF(B106="Supporting",INDEX(Values!$A$3:$A$502,P106),""))</f>
        <v/>
      </c>
      <c r="D106">
        <f>IF(B106="Supporting",INDEX(Values!$B$3:$B$502,P106),"")</f>
        <v/>
      </c>
      <c r="E106">
        <f>IF(R106="","",UPPER(LEFT(R106,1))&amp;MID(R106,2,500))</f>
        <v/>
      </c>
      <c r="F106">
        <f>IF(E106="","",LOWER(SUBSTITUTE(SUBSTITUTE(SUBSTITUTE(SUBSTITUTE(SUBSTITUTE(SUBSTITUTE(SUBSTITUTE(TRIM(E106),":",""),",",""),"'",""),"&amp;","and"),"£",""),"  "," ")," ","-")))</f>
        <v/>
      </c>
      <c r="G106">
        <f>IF(B106="Cluster",$E$3,IF(B106="Supporting",INDEX($E$3:$E$553,MATCH(C106,$C$3:$C$553,0)),""))</f>
        <v/>
      </c>
      <c r="H106">
        <f>IF(B106="Supporting",IFERROR(INDEX($E$3:$E$553,1+Entity!$B$14+INDEX(Values!$O$3:$O$502,P106)),""),IF(B106="Cluster",IF(Entity!$B$14&lt;2,"",INDEX($E$3:$E$553,IF(A106-1=Entity!$B$14,2,A106+1))),""))</f>
        <v/>
      </c>
      <c r="I106">
        <f>IF(B106="Pillar",Entity!$B$14&amp;" cluster pages",IF(B106="Cluster",(COUNTIF($C$3:$C$553,SUBSTITUTE(SUBSTITUTE(C106,"?","~?"),"*","~*"))-1)&amp;" supporting pages",""))</f>
        <v/>
      </c>
      <c r="J106">
        <f>IF(B106="Pillar","Informational",IF(OR(B106="Cluster",B106="Supporting"),INDEX(Attributes!$D$3:$D$52,Q106)&amp;"",""))</f>
        <v/>
      </c>
      <c r="K106">
        <f>IF(B106="","",IF(B106="Pillar","Pillar guide (entity hub)",IF(B106="Cluster","Hub page for this attribute",IF(INDEX(Values!$C$3:$C$502,P106)="Yes","Entity page (profile of the sub-entity)",IFERROR(INDEX(Lists!$B$3:$B$6,MATCH(J106,Lists!$A$3:$A$6,0)),"Article")))))</f>
        <v/>
      </c>
      <c r="L106">
        <f>IF(B106="Pillar",Entity!$B$6&amp;"",IF(B106="Cluster",INDEX(Attributes!$I$3:$I$52,Q106)&amp;"",IF(B106="Supporting",INDEX(Values!$F$3:$F$502,P106)&amp;"","")))</f>
        <v/>
      </c>
      <c r="M106">
        <f>IF(B106="","",IF(L106&lt;&gt;"","Covered","Gap"))</f>
        <v/>
      </c>
      <c r="N106">
        <f>IF(B106="Pillar",SUMIFS(Values!$E$3:$E$502,Values!$I$3:$I$502,"Yes"),IF(B106="Cluster",SUMIFS(Values!$E$3:$E$502,Values!$A$3:$A$502,SUBSTITUTE(SUBSTITUTE(C106,"?","~?"),"*","~*"),Values!$I$3:$I$502,"Yes"),IF(B106="Supporting",N(INDEX(Values!$E$3:$E$502,P106)),"")))</f>
        <v/>
      </c>
      <c r="O106">
        <f>IF(B106="","",IF(B106="Pillar",100,IF(B106="Cluster",N(INDEX(Attributes!$E$3:$E$52,Q106))*25+IF(M106="Gap",10,0),N(INDEX(Attributes!$E$3:$E$52,Q106))*20+MIN(20,ROUND(LOG10(N(N106)+1)*5,0))+IF(M106="Gap",10,0)+IF(INDEX(Values!$D$3:$D$502,P106)="Yes",5,0))))</f>
        <v/>
      </c>
      <c r="P106">
        <f>IF(B106="Supporting",MATCH(A106-1-Entity!$B$14,Values!$J$3:$J$502,0),"")</f>
        <v/>
      </c>
      <c r="Q106">
        <f>IF(C106="","",MATCH(C106,Attributes!$A$3:$A$52,0))</f>
        <v/>
      </c>
      <c r="R106">
        <f>IF(B106="Pillar",SUBSTITUTE(Entity!$B$7,"{entity}",LOWER(Entity!$B$3)),IF(B106="Cluster",IF(INDEX(Attributes!$G$3:$G$52,Q106)&lt;&gt;"",INDEX(Attributes!$G$3:$G$52,Q106),SUBSTITUTE(SUBSTITUTE(Entity!$B$8,"{entity}",LOWER(Entity!$B$3)),"{attribute}",LOWER(C106))),IF(B106="Supporting",SUBSTITUTE(SUBSTITUTE(SUBSTITUTE(IF(INDEX(Attributes!$H$3:$H$52,Q106)&lt;&gt;"",INDEX(Attributes!$H$3:$H$52,Q106),Entity!$B$9),"{entity}",LOWER(Entity!$B$3)),"{value}",D106),"{attribute}",LOWER(C106)),"")))</f>
        <v/>
      </c>
    </row>
    <row r="107">
      <c r="A107">
        <f>ROW()-2</f>
        <v/>
      </c>
      <c r="B107">
        <f>IF(A107=1,"Pillar",IF(A107&lt;=1+Entity!$B$14,"Cluster",IF(A107&lt;=1+Entity!$B$14+Entity!$B$15,"Supporting","")))</f>
        <v/>
      </c>
      <c r="C107">
        <f>IF(B107="Cluster",INDEX(Attributes!$A$3:$A$52,MATCH(A107-1,Attributes!$P$3:$P$52,0)),IF(B107="Supporting",INDEX(Values!$A$3:$A$502,P107),""))</f>
        <v/>
      </c>
      <c r="D107">
        <f>IF(B107="Supporting",INDEX(Values!$B$3:$B$502,P107),"")</f>
        <v/>
      </c>
      <c r="E107">
        <f>IF(R107="","",UPPER(LEFT(R107,1))&amp;MID(R107,2,500))</f>
        <v/>
      </c>
      <c r="F107">
        <f>IF(E107="","",LOWER(SUBSTITUTE(SUBSTITUTE(SUBSTITUTE(SUBSTITUTE(SUBSTITUTE(SUBSTITUTE(SUBSTITUTE(TRIM(E107),":",""),",",""),"'",""),"&amp;","and"),"£",""),"  "," ")," ","-")))</f>
        <v/>
      </c>
      <c r="G107">
        <f>IF(B107="Cluster",$E$3,IF(B107="Supporting",INDEX($E$3:$E$553,MATCH(C107,$C$3:$C$553,0)),""))</f>
        <v/>
      </c>
      <c r="H107">
        <f>IF(B107="Supporting",IFERROR(INDEX($E$3:$E$553,1+Entity!$B$14+INDEX(Values!$O$3:$O$502,P107)),""),IF(B107="Cluster",IF(Entity!$B$14&lt;2,"",INDEX($E$3:$E$553,IF(A107-1=Entity!$B$14,2,A107+1))),""))</f>
        <v/>
      </c>
      <c r="I107">
        <f>IF(B107="Pillar",Entity!$B$14&amp;" cluster pages",IF(B107="Cluster",(COUNTIF($C$3:$C$553,SUBSTITUTE(SUBSTITUTE(C107,"?","~?"),"*","~*"))-1)&amp;" supporting pages",""))</f>
        <v/>
      </c>
      <c r="J107">
        <f>IF(B107="Pillar","Informational",IF(OR(B107="Cluster",B107="Supporting"),INDEX(Attributes!$D$3:$D$52,Q107)&amp;"",""))</f>
        <v/>
      </c>
      <c r="K107">
        <f>IF(B107="","",IF(B107="Pillar","Pillar guide (entity hub)",IF(B107="Cluster","Hub page for this attribute",IF(INDEX(Values!$C$3:$C$502,P107)="Yes","Entity page (profile of the sub-entity)",IFERROR(INDEX(Lists!$B$3:$B$6,MATCH(J107,Lists!$A$3:$A$6,0)),"Article")))))</f>
        <v/>
      </c>
      <c r="L107">
        <f>IF(B107="Pillar",Entity!$B$6&amp;"",IF(B107="Cluster",INDEX(Attributes!$I$3:$I$52,Q107)&amp;"",IF(B107="Supporting",INDEX(Values!$F$3:$F$502,P107)&amp;"","")))</f>
        <v/>
      </c>
      <c r="M107">
        <f>IF(B107="","",IF(L107&lt;&gt;"","Covered","Gap"))</f>
        <v/>
      </c>
      <c r="N107">
        <f>IF(B107="Pillar",SUMIFS(Values!$E$3:$E$502,Values!$I$3:$I$502,"Yes"),IF(B107="Cluster",SUMIFS(Values!$E$3:$E$502,Values!$A$3:$A$502,SUBSTITUTE(SUBSTITUTE(C107,"?","~?"),"*","~*"),Values!$I$3:$I$502,"Yes"),IF(B107="Supporting",N(INDEX(Values!$E$3:$E$502,P107)),"")))</f>
        <v/>
      </c>
      <c r="O107">
        <f>IF(B107="","",IF(B107="Pillar",100,IF(B107="Cluster",N(INDEX(Attributes!$E$3:$E$52,Q107))*25+IF(M107="Gap",10,0),N(INDEX(Attributes!$E$3:$E$52,Q107))*20+MIN(20,ROUND(LOG10(N(N107)+1)*5,0))+IF(M107="Gap",10,0)+IF(INDEX(Values!$D$3:$D$502,P107)="Yes",5,0))))</f>
        <v/>
      </c>
      <c r="P107">
        <f>IF(B107="Supporting",MATCH(A107-1-Entity!$B$14,Values!$J$3:$J$502,0),"")</f>
        <v/>
      </c>
      <c r="Q107">
        <f>IF(C107="","",MATCH(C107,Attributes!$A$3:$A$52,0))</f>
        <v/>
      </c>
      <c r="R107">
        <f>IF(B107="Pillar",SUBSTITUTE(Entity!$B$7,"{entity}",LOWER(Entity!$B$3)),IF(B107="Cluster",IF(INDEX(Attributes!$G$3:$G$52,Q107)&lt;&gt;"",INDEX(Attributes!$G$3:$G$52,Q107),SUBSTITUTE(SUBSTITUTE(Entity!$B$8,"{entity}",LOWER(Entity!$B$3)),"{attribute}",LOWER(C107))),IF(B107="Supporting",SUBSTITUTE(SUBSTITUTE(SUBSTITUTE(IF(INDEX(Attributes!$H$3:$H$52,Q107)&lt;&gt;"",INDEX(Attributes!$H$3:$H$52,Q107),Entity!$B$9),"{entity}",LOWER(Entity!$B$3)),"{value}",D107),"{attribute}",LOWER(C107)),"")))</f>
        <v/>
      </c>
    </row>
    <row r="108">
      <c r="A108">
        <f>ROW()-2</f>
        <v/>
      </c>
      <c r="B108">
        <f>IF(A108=1,"Pillar",IF(A108&lt;=1+Entity!$B$14,"Cluster",IF(A108&lt;=1+Entity!$B$14+Entity!$B$15,"Supporting","")))</f>
        <v/>
      </c>
      <c r="C108">
        <f>IF(B108="Cluster",INDEX(Attributes!$A$3:$A$52,MATCH(A108-1,Attributes!$P$3:$P$52,0)),IF(B108="Supporting",INDEX(Values!$A$3:$A$502,P108),""))</f>
        <v/>
      </c>
      <c r="D108">
        <f>IF(B108="Supporting",INDEX(Values!$B$3:$B$502,P108),"")</f>
        <v/>
      </c>
      <c r="E108">
        <f>IF(R108="","",UPPER(LEFT(R108,1))&amp;MID(R108,2,500))</f>
        <v/>
      </c>
      <c r="F108">
        <f>IF(E108="","",LOWER(SUBSTITUTE(SUBSTITUTE(SUBSTITUTE(SUBSTITUTE(SUBSTITUTE(SUBSTITUTE(SUBSTITUTE(TRIM(E108),":",""),",",""),"'",""),"&amp;","and"),"£",""),"  "," ")," ","-")))</f>
        <v/>
      </c>
      <c r="G108">
        <f>IF(B108="Cluster",$E$3,IF(B108="Supporting",INDEX($E$3:$E$553,MATCH(C108,$C$3:$C$553,0)),""))</f>
        <v/>
      </c>
      <c r="H108">
        <f>IF(B108="Supporting",IFERROR(INDEX($E$3:$E$553,1+Entity!$B$14+INDEX(Values!$O$3:$O$502,P108)),""),IF(B108="Cluster",IF(Entity!$B$14&lt;2,"",INDEX($E$3:$E$553,IF(A108-1=Entity!$B$14,2,A108+1))),""))</f>
        <v/>
      </c>
      <c r="I108">
        <f>IF(B108="Pillar",Entity!$B$14&amp;" cluster pages",IF(B108="Cluster",(COUNTIF($C$3:$C$553,SUBSTITUTE(SUBSTITUTE(C108,"?","~?"),"*","~*"))-1)&amp;" supporting pages",""))</f>
        <v/>
      </c>
      <c r="J108">
        <f>IF(B108="Pillar","Informational",IF(OR(B108="Cluster",B108="Supporting"),INDEX(Attributes!$D$3:$D$52,Q108)&amp;"",""))</f>
        <v/>
      </c>
      <c r="K108">
        <f>IF(B108="","",IF(B108="Pillar","Pillar guide (entity hub)",IF(B108="Cluster","Hub page for this attribute",IF(INDEX(Values!$C$3:$C$502,P108)="Yes","Entity page (profile of the sub-entity)",IFERROR(INDEX(Lists!$B$3:$B$6,MATCH(J108,Lists!$A$3:$A$6,0)),"Article")))))</f>
        <v/>
      </c>
      <c r="L108">
        <f>IF(B108="Pillar",Entity!$B$6&amp;"",IF(B108="Cluster",INDEX(Attributes!$I$3:$I$52,Q108)&amp;"",IF(B108="Supporting",INDEX(Values!$F$3:$F$502,P108)&amp;"","")))</f>
        <v/>
      </c>
      <c r="M108">
        <f>IF(B108="","",IF(L108&lt;&gt;"","Covered","Gap"))</f>
        <v/>
      </c>
      <c r="N108">
        <f>IF(B108="Pillar",SUMIFS(Values!$E$3:$E$502,Values!$I$3:$I$502,"Yes"),IF(B108="Cluster",SUMIFS(Values!$E$3:$E$502,Values!$A$3:$A$502,SUBSTITUTE(SUBSTITUTE(C108,"?","~?"),"*","~*"),Values!$I$3:$I$502,"Yes"),IF(B108="Supporting",N(INDEX(Values!$E$3:$E$502,P108)),"")))</f>
        <v/>
      </c>
      <c r="O108">
        <f>IF(B108="","",IF(B108="Pillar",100,IF(B108="Cluster",N(INDEX(Attributes!$E$3:$E$52,Q108))*25+IF(M108="Gap",10,0),N(INDEX(Attributes!$E$3:$E$52,Q108))*20+MIN(20,ROUND(LOG10(N(N108)+1)*5,0))+IF(M108="Gap",10,0)+IF(INDEX(Values!$D$3:$D$502,P108)="Yes",5,0))))</f>
        <v/>
      </c>
      <c r="P108">
        <f>IF(B108="Supporting",MATCH(A108-1-Entity!$B$14,Values!$J$3:$J$502,0),"")</f>
        <v/>
      </c>
      <c r="Q108">
        <f>IF(C108="","",MATCH(C108,Attributes!$A$3:$A$52,0))</f>
        <v/>
      </c>
      <c r="R108">
        <f>IF(B108="Pillar",SUBSTITUTE(Entity!$B$7,"{entity}",LOWER(Entity!$B$3)),IF(B108="Cluster",IF(INDEX(Attributes!$G$3:$G$52,Q108)&lt;&gt;"",INDEX(Attributes!$G$3:$G$52,Q108),SUBSTITUTE(SUBSTITUTE(Entity!$B$8,"{entity}",LOWER(Entity!$B$3)),"{attribute}",LOWER(C108))),IF(B108="Supporting",SUBSTITUTE(SUBSTITUTE(SUBSTITUTE(IF(INDEX(Attributes!$H$3:$H$52,Q108)&lt;&gt;"",INDEX(Attributes!$H$3:$H$52,Q108),Entity!$B$9),"{entity}",LOWER(Entity!$B$3)),"{value}",D108),"{attribute}",LOWER(C108)),"")))</f>
        <v/>
      </c>
    </row>
    <row r="109">
      <c r="A109">
        <f>ROW()-2</f>
        <v/>
      </c>
      <c r="B109">
        <f>IF(A109=1,"Pillar",IF(A109&lt;=1+Entity!$B$14,"Cluster",IF(A109&lt;=1+Entity!$B$14+Entity!$B$15,"Supporting","")))</f>
        <v/>
      </c>
      <c r="C109">
        <f>IF(B109="Cluster",INDEX(Attributes!$A$3:$A$52,MATCH(A109-1,Attributes!$P$3:$P$52,0)),IF(B109="Supporting",INDEX(Values!$A$3:$A$502,P109),""))</f>
        <v/>
      </c>
      <c r="D109">
        <f>IF(B109="Supporting",INDEX(Values!$B$3:$B$502,P109),"")</f>
        <v/>
      </c>
      <c r="E109">
        <f>IF(R109="","",UPPER(LEFT(R109,1))&amp;MID(R109,2,500))</f>
        <v/>
      </c>
      <c r="F109">
        <f>IF(E109="","",LOWER(SUBSTITUTE(SUBSTITUTE(SUBSTITUTE(SUBSTITUTE(SUBSTITUTE(SUBSTITUTE(SUBSTITUTE(TRIM(E109),":",""),",",""),"'",""),"&amp;","and"),"£",""),"  "," ")," ","-")))</f>
        <v/>
      </c>
      <c r="G109">
        <f>IF(B109="Cluster",$E$3,IF(B109="Supporting",INDEX($E$3:$E$553,MATCH(C109,$C$3:$C$553,0)),""))</f>
        <v/>
      </c>
      <c r="H109">
        <f>IF(B109="Supporting",IFERROR(INDEX($E$3:$E$553,1+Entity!$B$14+INDEX(Values!$O$3:$O$502,P109)),""),IF(B109="Cluster",IF(Entity!$B$14&lt;2,"",INDEX($E$3:$E$553,IF(A109-1=Entity!$B$14,2,A109+1))),""))</f>
        <v/>
      </c>
      <c r="I109">
        <f>IF(B109="Pillar",Entity!$B$14&amp;" cluster pages",IF(B109="Cluster",(COUNTIF($C$3:$C$553,SUBSTITUTE(SUBSTITUTE(C109,"?","~?"),"*","~*"))-1)&amp;" supporting pages",""))</f>
        <v/>
      </c>
      <c r="J109">
        <f>IF(B109="Pillar","Informational",IF(OR(B109="Cluster",B109="Supporting"),INDEX(Attributes!$D$3:$D$52,Q109)&amp;"",""))</f>
        <v/>
      </c>
      <c r="K109">
        <f>IF(B109="","",IF(B109="Pillar","Pillar guide (entity hub)",IF(B109="Cluster","Hub page for this attribute",IF(INDEX(Values!$C$3:$C$502,P109)="Yes","Entity page (profile of the sub-entity)",IFERROR(INDEX(Lists!$B$3:$B$6,MATCH(J109,Lists!$A$3:$A$6,0)),"Article")))))</f>
        <v/>
      </c>
      <c r="L109">
        <f>IF(B109="Pillar",Entity!$B$6&amp;"",IF(B109="Cluster",INDEX(Attributes!$I$3:$I$52,Q109)&amp;"",IF(B109="Supporting",INDEX(Values!$F$3:$F$502,P109)&amp;"","")))</f>
        <v/>
      </c>
      <c r="M109">
        <f>IF(B109="","",IF(L109&lt;&gt;"","Covered","Gap"))</f>
        <v/>
      </c>
      <c r="N109">
        <f>IF(B109="Pillar",SUMIFS(Values!$E$3:$E$502,Values!$I$3:$I$502,"Yes"),IF(B109="Cluster",SUMIFS(Values!$E$3:$E$502,Values!$A$3:$A$502,SUBSTITUTE(SUBSTITUTE(C109,"?","~?"),"*","~*"),Values!$I$3:$I$502,"Yes"),IF(B109="Supporting",N(INDEX(Values!$E$3:$E$502,P109)),"")))</f>
        <v/>
      </c>
      <c r="O109">
        <f>IF(B109="","",IF(B109="Pillar",100,IF(B109="Cluster",N(INDEX(Attributes!$E$3:$E$52,Q109))*25+IF(M109="Gap",10,0),N(INDEX(Attributes!$E$3:$E$52,Q109))*20+MIN(20,ROUND(LOG10(N(N109)+1)*5,0))+IF(M109="Gap",10,0)+IF(INDEX(Values!$D$3:$D$502,P109)="Yes",5,0))))</f>
        <v/>
      </c>
      <c r="P109">
        <f>IF(B109="Supporting",MATCH(A109-1-Entity!$B$14,Values!$J$3:$J$502,0),"")</f>
        <v/>
      </c>
      <c r="Q109">
        <f>IF(C109="","",MATCH(C109,Attributes!$A$3:$A$52,0))</f>
        <v/>
      </c>
      <c r="R109">
        <f>IF(B109="Pillar",SUBSTITUTE(Entity!$B$7,"{entity}",LOWER(Entity!$B$3)),IF(B109="Cluster",IF(INDEX(Attributes!$G$3:$G$52,Q109)&lt;&gt;"",INDEX(Attributes!$G$3:$G$52,Q109),SUBSTITUTE(SUBSTITUTE(Entity!$B$8,"{entity}",LOWER(Entity!$B$3)),"{attribute}",LOWER(C109))),IF(B109="Supporting",SUBSTITUTE(SUBSTITUTE(SUBSTITUTE(IF(INDEX(Attributes!$H$3:$H$52,Q109)&lt;&gt;"",INDEX(Attributes!$H$3:$H$52,Q109),Entity!$B$9),"{entity}",LOWER(Entity!$B$3)),"{value}",D109),"{attribute}",LOWER(C109)),"")))</f>
        <v/>
      </c>
    </row>
    <row r="110">
      <c r="A110">
        <f>ROW()-2</f>
        <v/>
      </c>
      <c r="B110">
        <f>IF(A110=1,"Pillar",IF(A110&lt;=1+Entity!$B$14,"Cluster",IF(A110&lt;=1+Entity!$B$14+Entity!$B$15,"Supporting","")))</f>
        <v/>
      </c>
      <c r="C110">
        <f>IF(B110="Cluster",INDEX(Attributes!$A$3:$A$52,MATCH(A110-1,Attributes!$P$3:$P$52,0)),IF(B110="Supporting",INDEX(Values!$A$3:$A$502,P110),""))</f>
        <v/>
      </c>
      <c r="D110">
        <f>IF(B110="Supporting",INDEX(Values!$B$3:$B$502,P110),"")</f>
        <v/>
      </c>
      <c r="E110">
        <f>IF(R110="","",UPPER(LEFT(R110,1))&amp;MID(R110,2,500))</f>
        <v/>
      </c>
      <c r="F110">
        <f>IF(E110="","",LOWER(SUBSTITUTE(SUBSTITUTE(SUBSTITUTE(SUBSTITUTE(SUBSTITUTE(SUBSTITUTE(SUBSTITUTE(TRIM(E110),":",""),",",""),"'",""),"&amp;","and"),"£",""),"  "," ")," ","-")))</f>
        <v/>
      </c>
      <c r="G110">
        <f>IF(B110="Cluster",$E$3,IF(B110="Supporting",INDEX($E$3:$E$553,MATCH(C110,$C$3:$C$553,0)),""))</f>
        <v/>
      </c>
      <c r="H110">
        <f>IF(B110="Supporting",IFERROR(INDEX($E$3:$E$553,1+Entity!$B$14+INDEX(Values!$O$3:$O$502,P110)),""),IF(B110="Cluster",IF(Entity!$B$14&lt;2,"",INDEX($E$3:$E$553,IF(A110-1=Entity!$B$14,2,A110+1))),""))</f>
        <v/>
      </c>
      <c r="I110">
        <f>IF(B110="Pillar",Entity!$B$14&amp;" cluster pages",IF(B110="Cluster",(COUNTIF($C$3:$C$553,SUBSTITUTE(SUBSTITUTE(C110,"?","~?"),"*","~*"))-1)&amp;" supporting pages",""))</f>
        <v/>
      </c>
      <c r="J110">
        <f>IF(B110="Pillar","Informational",IF(OR(B110="Cluster",B110="Supporting"),INDEX(Attributes!$D$3:$D$52,Q110)&amp;"",""))</f>
        <v/>
      </c>
      <c r="K110">
        <f>IF(B110="","",IF(B110="Pillar","Pillar guide (entity hub)",IF(B110="Cluster","Hub page for this attribute",IF(INDEX(Values!$C$3:$C$502,P110)="Yes","Entity page (profile of the sub-entity)",IFERROR(INDEX(Lists!$B$3:$B$6,MATCH(J110,Lists!$A$3:$A$6,0)),"Article")))))</f>
        <v/>
      </c>
      <c r="L110">
        <f>IF(B110="Pillar",Entity!$B$6&amp;"",IF(B110="Cluster",INDEX(Attributes!$I$3:$I$52,Q110)&amp;"",IF(B110="Supporting",INDEX(Values!$F$3:$F$502,P110)&amp;"","")))</f>
        <v/>
      </c>
      <c r="M110">
        <f>IF(B110="","",IF(L110&lt;&gt;"","Covered","Gap"))</f>
        <v/>
      </c>
      <c r="N110">
        <f>IF(B110="Pillar",SUMIFS(Values!$E$3:$E$502,Values!$I$3:$I$502,"Yes"),IF(B110="Cluster",SUMIFS(Values!$E$3:$E$502,Values!$A$3:$A$502,SUBSTITUTE(SUBSTITUTE(C110,"?","~?"),"*","~*"),Values!$I$3:$I$502,"Yes"),IF(B110="Supporting",N(INDEX(Values!$E$3:$E$502,P110)),"")))</f>
        <v/>
      </c>
      <c r="O110">
        <f>IF(B110="","",IF(B110="Pillar",100,IF(B110="Cluster",N(INDEX(Attributes!$E$3:$E$52,Q110))*25+IF(M110="Gap",10,0),N(INDEX(Attributes!$E$3:$E$52,Q110))*20+MIN(20,ROUND(LOG10(N(N110)+1)*5,0))+IF(M110="Gap",10,0)+IF(INDEX(Values!$D$3:$D$502,P110)="Yes",5,0))))</f>
        <v/>
      </c>
      <c r="P110">
        <f>IF(B110="Supporting",MATCH(A110-1-Entity!$B$14,Values!$J$3:$J$502,0),"")</f>
        <v/>
      </c>
      <c r="Q110">
        <f>IF(C110="","",MATCH(C110,Attributes!$A$3:$A$52,0))</f>
        <v/>
      </c>
      <c r="R110">
        <f>IF(B110="Pillar",SUBSTITUTE(Entity!$B$7,"{entity}",LOWER(Entity!$B$3)),IF(B110="Cluster",IF(INDEX(Attributes!$G$3:$G$52,Q110)&lt;&gt;"",INDEX(Attributes!$G$3:$G$52,Q110),SUBSTITUTE(SUBSTITUTE(Entity!$B$8,"{entity}",LOWER(Entity!$B$3)),"{attribute}",LOWER(C110))),IF(B110="Supporting",SUBSTITUTE(SUBSTITUTE(SUBSTITUTE(IF(INDEX(Attributes!$H$3:$H$52,Q110)&lt;&gt;"",INDEX(Attributes!$H$3:$H$52,Q110),Entity!$B$9),"{entity}",LOWER(Entity!$B$3)),"{value}",D110),"{attribute}",LOWER(C110)),"")))</f>
        <v/>
      </c>
    </row>
    <row r="111">
      <c r="A111">
        <f>ROW()-2</f>
        <v/>
      </c>
      <c r="B111">
        <f>IF(A111=1,"Pillar",IF(A111&lt;=1+Entity!$B$14,"Cluster",IF(A111&lt;=1+Entity!$B$14+Entity!$B$15,"Supporting","")))</f>
        <v/>
      </c>
      <c r="C111">
        <f>IF(B111="Cluster",INDEX(Attributes!$A$3:$A$52,MATCH(A111-1,Attributes!$P$3:$P$52,0)),IF(B111="Supporting",INDEX(Values!$A$3:$A$502,P111),""))</f>
        <v/>
      </c>
      <c r="D111">
        <f>IF(B111="Supporting",INDEX(Values!$B$3:$B$502,P111),"")</f>
        <v/>
      </c>
      <c r="E111">
        <f>IF(R111="","",UPPER(LEFT(R111,1))&amp;MID(R111,2,500))</f>
        <v/>
      </c>
      <c r="F111">
        <f>IF(E111="","",LOWER(SUBSTITUTE(SUBSTITUTE(SUBSTITUTE(SUBSTITUTE(SUBSTITUTE(SUBSTITUTE(SUBSTITUTE(TRIM(E111),":",""),",",""),"'",""),"&amp;","and"),"£",""),"  "," ")," ","-")))</f>
        <v/>
      </c>
      <c r="G111">
        <f>IF(B111="Cluster",$E$3,IF(B111="Supporting",INDEX($E$3:$E$553,MATCH(C111,$C$3:$C$553,0)),""))</f>
        <v/>
      </c>
      <c r="H111">
        <f>IF(B111="Supporting",IFERROR(INDEX($E$3:$E$553,1+Entity!$B$14+INDEX(Values!$O$3:$O$502,P111)),""),IF(B111="Cluster",IF(Entity!$B$14&lt;2,"",INDEX($E$3:$E$553,IF(A111-1=Entity!$B$14,2,A111+1))),""))</f>
        <v/>
      </c>
      <c r="I111">
        <f>IF(B111="Pillar",Entity!$B$14&amp;" cluster pages",IF(B111="Cluster",(COUNTIF($C$3:$C$553,SUBSTITUTE(SUBSTITUTE(C111,"?","~?"),"*","~*"))-1)&amp;" supporting pages",""))</f>
        <v/>
      </c>
      <c r="J111">
        <f>IF(B111="Pillar","Informational",IF(OR(B111="Cluster",B111="Supporting"),INDEX(Attributes!$D$3:$D$52,Q111)&amp;"",""))</f>
        <v/>
      </c>
      <c r="K111">
        <f>IF(B111="","",IF(B111="Pillar","Pillar guide (entity hub)",IF(B111="Cluster","Hub page for this attribute",IF(INDEX(Values!$C$3:$C$502,P111)="Yes","Entity page (profile of the sub-entity)",IFERROR(INDEX(Lists!$B$3:$B$6,MATCH(J111,Lists!$A$3:$A$6,0)),"Article")))))</f>
        <v/>
      </c>
      <c r="L111">
        <f>IF(B111="Pillar",Entity!$B$6&amp;"",IF(B111="Cluster",INDEX(Attributes!$I$3:$I$52,Q111)&amp;"",IF(B111="Supporting",INDEX(Values!$F$3:$F$502,P111)&amp;"","")))</f>
        <v/>
      </c>
      <c r="M111">
        <f>IF(B111="","",IF(L111&lt;&gt;"","Covered","Gap"))</f>
        <v/>
      </c>
      <c r="N111">
        <f>IF(B111="Pillar",SUMIFS(Values!$E$3:$E$502,Values!$I$3:$I$502,"Yes"),IF(B111="Cluster",SUMIFS(Values!$E$3:$E$502,Values!$A$3:$A$502,SUBSTITUTE(SUBSTITUTE(C111,"?","~?"),"*","~*"),Values!$I$3:$I$502,"Yes"),IF(B111="Supporting",N(INDEX(Values!$E$3:$E$502,P111)),"")))</f>
        <v/>
      </c>
      <c r="O111">
        <f>IF(B111="","",IF(B111="Pillar",100,IF(B111="Cluster",N(INDEX(Attributes!$E$3:$E$52,Q111))*25+IF(M111="Gap",10,0),N(INDEX(Attributes!$E$3:$E$52,Q111))*20+MIN(20,ROUND(LOG10(N(N111)+1)*5,0))+IF(M111="Gap",10,0)+IF(INDEX(Values!$D$3:$D$502,P111)="Yes",5,0))))</f>
        <v/>
      </c>
      <c r="P111">
        <f>IF(B111="Supporting",MATCH(A111-1-Entity!$B$14,Values!$J$3:$J$502,0),"")</f>
        <v/>
      </c>
      <c r="Q111">
        <f>IF(C111="","",MATCH(C111,Attributes!$A$3:$A$52,0))</f>
        <v/>
      </c>
      <c r="R111">
        <f>IF(B111="Pillar",SUBSTITUTE(Entity!$B$7,"{entity}",LOWER(Entity!$B$3)),IF(B111="Cluster",IF(INDEX(Attributes!$G$3:$G$52,Q111)&lt;&gt;"",INDEX(Attributes!$G$3:$G$52,Q111),SUBSTITUTE(SUBSTITUTE(Entity!$B$8,"{entity}",LOWER(Entity!$B$3)),"{attribute}",LOWER(C111))),IF(B111="Supporting",SUBSTITUTE(SUBSTITUTE(SUBSTITUTE(IF(INDEX(Attributes!$H$3:$H$52,Q111)&lt;&gt;"",INDEX(Attributes!$H$3:$H$52,Q111),Entity!$B$9),"{entity}",LOWER(Entity!$B$3)),"{value}",D111),"{attribute}",LOWER(C111)),"")))</f>
        <v/>
      </c>
    </row>
    <row r="112">
      <c r="A112">
        <f>ROW()-2</f>
        <v/>
      </c>
      <c r="B112">
        <f>IF(A112=1,"Pillar",IF(A112&lt;=1+Entity!$B$14,"Cluster",IF(A112&lt;=1+Entity!$B$14+Entity!$B$15,"Supporting","")))</f>
        <v/>
      </c>
      <c r="C112">
        <f>IF(B112="Cluster",INDEX(Attributes!$A$3:$A$52,MATCH(A112-1,Attributes!$P$3:$P$52,0)),IF(B112="Supporting",INDEX(Values!$A$3:$A$502,P112),""))</f>
        <v/>
      </c>
      <c r="D112">
        <f>IF(B112="Supporting",INDEX(Values!$B$3:$B$502,P112),"")</f>
        <v/>
      </c>
      <c r="E112">
        <f>IF(R112="","",UPPER(LEFT(R112,1))&amp;MID(R112,2,500))</f>
        <v/>
      </c>
      <c r="F112">
        <f>IF(E112="","",LOWER(SUBSTITUTE(SUBSTITUTE(SUBSTITUTE(SUBSTITUTE(SUBSTITUTE(SUBSTITUTE(SUBSTITUTE(TRIM(E112),":",""),",",""),"'",""),"&amp;","and"),"£",""),"  "," ")," ","-")))</f>
        <v/>
      </c>
      <c r="G112">
        <f>IF(B112="Cluster",$E$3,IF(B112="Supporting",INDEX($E$3:$E$553,MATCH(C112,$C$3:$C$553,0)),""))</f>
        <v/>
      </c>
      <c r="H112">
        <f>IF(B112="Supporting",IFERROR(INDEX($E$3:$E$553,1+Entity!$B$14+INDEX(Values!$O$3:$O$502,P112)),""),IF(B112="Cluster",IF(Entity!$B$14&lt;2,"",INDEX($E$3:$E$553,IF(A112-1=Entity!$B$14,2,A112+1))),""))</f>
        <v/>
      </c>
      <c r="I112">
        <f>IF(B112="Pillar",Entity!$B$14&amp;" cluster pages",IF(B112="Cluster",(COUNTIF($C$3:$C$553,SUBSTITUTE(SUBSTITUTE(C112,"?","~?"),"*","~*"))-1)&amp;" supporting pages",""))</f>
        <v/>
      </c>
      <c r="J112">
        <f>IF(B112="Pillar","Informational",IF(OR(B112="Cluster",B112="Supporting"),INDEX(Attributes!$D$3:$D$52,Q112)&amp;"",""))</f>
        <v/>
      </c>
      <c r="K112">
        <f>IF(B112="","",IF(B112="Pillar","Pillar guide (entity hub)",IF(B112="Cluster","Hub page for this attribute",IF(INDEX(Values!$C$3:$C$502,P112)="Yes","Entity page (profile of the sub-entity)",IFERROR(INDEX(Lists!$B$3:$B$6,MATCH(J112,Lists!$A$3:$A$6,0)),"Article")))))</f>
        <v/>
      </c>
      <c r="L112">
        <f>IF(B112="Pillar",Entity!$B$6&amp;"",IF(B112="Cluster",INDEX(Attributes!$I$3:$I$52,Q112)&amp;"",IF(B112="Supporting",INDEX(Values!$F$3:$F$502,P112)&amp;"","")))</f>
        <v/>
      </c>
      <c r="M112">
        <f>IF(B112="","",IF(L112&lt;&gt;"","Covered","Gap"))</f>
        <v/>
      </c>
      <c r="N112">
        <f>IF(B112="Pillar",SUMIFS(Values!$E$3:$E$502,Values!$I$3:$I$502,"Yes"),IF(B112="Cluster",SUMIFS(Values!$E$3:$E$502,Values!$A$3:$A$502,SUBSTITUTE(SUBSTITUTE(C112,"?","~?"),"*","~*"),Values!$I$3:$I$502,"Yes"),IF(B112="Supporting",N(INDEX(Values!$E$3:$E$502,P112)),"")))</f>
        <v/>
      </c>
      <c r="O112">
        <f>IF(B112="","",IF(B112="Pillar",100,IF(B112="Cluster",N(INDEX(Attributes!$E$3:$E$52,Q112))*25+IF(M112="Gap",10,0),N(INDEX(Attributes!$E$3:$E$52,Q112))*20+MIN(20,ROUND(LOG10(N(N112)+1)*5,0))+IF(M112="Gap",10,0)+IF(INDEX(Values!$D$3:$D$502,P112)="Yes",5,0))))</f>
        <v/>
      </c>
      <c r="P112">
        <f>IF(B112="Supporting",MATCH(A112-1-Entity!$B$14,Values!$J$3:$J$502,0),"")</f>
        <v/>
      </c>
      <c r="Q112">
        <f>IF(C112="","",MATCH(C112,Attributes!$A$3:$A$52,0))</f>
        <v/>
      </c>
      <c r="R112">
        <f>IF(B112="Pillar",SUBSTITUTE(Entity!$B$7,"{entity}",LOWER(Entity!$B$3)),IF(B112="Cluster",IF(INDEX(Attributes!$G$3:$G$52,Q112)&lt;&gt;"",INDEX(Attributes!$G$3:$G$52,Q112),SUBSTITUTE(SUBSTITUTE(Entity!$B$8,"{entity}",LOWER(Entity!$B$3)),"{attribute}",LOWER(C112))),IF(B112="Supporting",SUBSTITUTE(SUBSTITUTE(SUBSTITUTE(IF(INDEX(Attributes!$H$3:$H$52,Q112)&lt;&gt;"",INDEX(Attributes!$H$3:$H$52,Q112),Entity!$B$9),"{entity}",LOWER(Entity!$B$3)),"{value}",D112),"{attribute}",LOWER(C112)),"")))</f>
        <v/>
      </c>
    </row>
    <row r="113">
      <c r="A113">
        <f>ROW()-2</f>
        <v/>
      </c>
      <c r="B113">
        <f>IF(A113=1,"Pillar",IF(A113&lt;=1+Entity!$B$14,"Cluster",IF(A113&lt;=1+Entity!$B$14+Entity!$B$15,"Supporting","")))</f>
        <v/>
      </c>
      <c r="C113">
        <f>IF(B113="Cluster",INDEX(Attributes!$A$3:$A$52,MATCH(A113-1,Attributes!$P$3:$P$52,0)),IF(B113="Supporting",INDEX(Values!$A$3:$A$502,P113),""))</f>
        <v/>
      </c>
      <c r="D113">
        <f>IF(B113="Supporting",INDEX(Values!$B$3:$B$502,P113),"")</f>
        <v/>
      </c>
      <c r="E113">
        <f>IF(R113="","",UPPER(LEFT(R113,1))&amp;MID(R113,2,500))</f>
        <v/>
      </c>
      <c r="F113">
        <f>IF(E113="","",LOWER(SUBSTITUTE(SUBSTITUTE(SUBSTITUTE(SUBSTITUTE(SUBSTITUTE(SUBSTITUTE(SUBSTITUTE(TRIM(E113),":",""),",",""),"'",""),"&amp;","and"),"£",""),"  "," ")," ","-")))</f>
        <v/>
      </c>
      <c r="G113">
        <f>IF(B113="Cluster",$E$3,IF(B113="Supporting",INDEX($E$3:$E$553,MATCH(C113,$C$3:$C$553,0)),""))</f>
        <v/>
      </c>
      <c r="H113">
        <f>IF(B113="Supporting",IFERROR(INDEX($E$3:$E$553,1+Entity!$B$14+INDEX(Values!$O$3:$O$502,P113)),""),IF(B113="Cluster",IF(Entity!$B$14&lt;2,"",INDEX($E$3:$E$553,IF(A113-1=Entity!$B$14,2,A113+1))),""))</f>
        <v/>
      </c>
      <c r="I113">
        <f>IF(B113="Pillar",Entity!$B$14&amp;" cluster pages",IF(B113="Cluster",(COUNTIF($C$3:$C$553,SUBSTITUTE(SUBSTITUTE(C113,"?","~?"),"*","~*"))-1)&amp;" supporting pages",""))</f>
        <v/>
      </c>
      <c r="J113">
        <f>IF(B113="Pillar","Informational",IF(OR(B113="Cluster",B113="Supporting"),INDEX(Attributes!$D$3:$D$52,Q113)&amp;"",""))</f>
        <v/>
      </c>
      <c r="K113">
        <f>IF(B113="","",IF(B113="Pillar","Pillar guide (entity hub)",IF(B113="Cluster","Hub page for this attribute",IF(INDEX(Values!$C$3:$C$502,P113)="Yes","Entity page (profile of the sub-entity)",IFERROR(INDEX(Lists!$B$3:$B$6,MATCH(J113,Lists!$A$3:$A$6,0)),"Article")))))</f>
        <v/>
      </c>
      <c r="L113">
        <f>IF(B113="Pillar",Entity!$B$6&amp;"",IF(B113="Cluster",INDEX(Attributes!$I$3:$I$52,Q113)&amp;"",IF(B113="Supporting",INDEX(Values!$F$3:$F$502,P113)&amp;"","")))</f>
        <v/>
      </c>
      <c r="M113">
        <f>IF(B113="","",IF(L113&lt;&gt;"","Covered","Gap"))</f>
        <v/>
      </c>
      <c r="N113">
        <f>IF(B113="Pillar",SUMIFS(Values!$E$3:$E$502,Values!$I$3:$I$502,"Yes"),IF(B113="Cluster",SUMIFS(Values!$E$3:$E$502,Values!$A$3:$A$502,SUBSTITUTE(SUBSTITUTE(C113,"?","~?"),"*","~*"),Values!$I$3:$I$502,"Yes"),IF(B113="Supporting",N(INDEX(Values!$E$3:$E$502,P113)),"")))</f>
        <v/>
      </c>
      <c r="O113">
        <f>IF(B113="","",IF(B113="Pillar",100,IF(B113="Cluster",N(INDEX(Attributes!$E$3:$E$52,Q113))*25+IF(M113="Gap",10,0),N(INDEX(Attributes!$E$3:$E$52,Q113))*20+MIN(20,ROUND(LOG10(N(N113)+1)*5,0))+IF(M113="Gap",10,0)+IF(INDEX(Values!$D$3:$D$502,P113)="Yes",5,0))))</f>
        <v/>
      </c>
      <c r="P113">
        <f>IF(B113="Supporting",MATCH(A113-1-Entity!$B$14,Values!$J$3:$J$502,0),"")</f>
        <v/>
      </c>
      <c r="Q113">
        <f>IF(C113="","",MATCH(C113,Attributes!$A$3:$A$52,0))</f>
        <v/>
      </c>
      <c r="R113">
        <f>IF(B113="Pillar",SUBSTITUTE(Entity!$B$7,"{entity}",LOWER(Entity!$B$3)),IF(B113="Cluster",IF(INDEX(Attributes!$G$3:$G$52,Q113)&lt;&gt;"",INDEX(Attributes!$G$3:$G$52,Q113),SUBSTITUTE(SUBSTITUTE(Entity!$B$8,"{entity}",LOWER(Entity!$B$3)),"{attribute}",LOWER(C113))),IF(B113="Supporting",SUBSTITUTE(SUBSTITUTE(SUBSTITUTE(IF(INDEX(Attributes!$H$3:$H$52,Q113)&lt;&gt;"",INDEX(Attributes!$H$3:$H$52,Q113),Entity!$B$9),"{entity}",LOWER(Entity!$B$3)),"{value}",D113),"{attribute}",LOWER(C113)),"")))</f>
        <v/>
      </c>
    </row>
    <row r="114">
      <c r="A114">
        <f>ROW()-2</f>
        <v/>
      </c>
      <c r="B114">
        <f>IF(A114=1,"Pillar",IF(A114&lt;=1+Entity!$B$14,"Cluster",IF(A114&lt;=1+Entity!$B$14+Entity!$B$15,"Supporting","")))</f>
        <v/>
      </c>
      <c r="C114">
        <f>IF(B114="Cluster",INDEX(Attributes!$A$3:$A$52,MATCH(A114-1,Attributes!$P$3:$P$52,0)),IF(B114="Supporting",INDEX(Values!$A$3:$A$502,P114),""))</f>
        <v/>
      </c>
      <c r="D114">
        <f>IF(B114="Supporting",INDEX(Values!$B$3:$B$502,P114),"")</f>
        <v/>
      </c>
      <c r="E114">
        <f>IF(R114="","",UPPER(LEFT(R114,1))&amp;MID(R114,2,500))</f>
        <v/>
      </c>
      <c r="F114">
        <f>IF(E114="","",LOWER(SUBSTITUTE(SUBSTITUTE(SUBSTITUTE(SUBSTITUTE(SUBSTITUTE(SUBSTITUTE(SUBSTITUTE(TRIM(E114),":",""),",",""),"'",""),"&amp;","and"),"£",""),"  "," ")," ","-")))</f>
        <v/>
      </c>
      <c r="G114">
        <f>IF(B114="Cluster",$E$3,IF(B114="Supporting",INDEX($E$3:$E$553,MATCH(C114,$C$3:$C$553,0)),""))</f>
        <v/>
      </c>
      <c r="H114">
        <f>IF(B114="Supporting",IFERROR(INDEX($E$3:$E$553,1+Entity!$B$14+INDEX(Values!$O$3:$O$502,P114)),""),IF(B114="Cluster",IF(Entity!$B$14&lt;2,"",INDEX($E$3:$E$553,IF(A114-1=Entity!$B$14,2,A114+1))),""))</f>
        <v/>
      </c>
      <c r="I114">
        <f>IF(B114="Pillar",Entity!$B$14&amp;" cluster pages",IF(B114="Cluster",(COUNTIF($C$3:$C$553,SUBSTITUTE(SUBSTITUTE(C114,"?","~?"),"*","~*"))-1)&amp;" supporting pages",""))</f>
        <v/>
      </c>
      <c r="J114">
        <f>IF(B114="Pillar","Informational",IF(OR(B114="Cluster",B114="Supporting"),INDEX(Attributes!$D$3:$D$52,Q114)&amp;"",""))</f>
        <v/>
      </c>
      <c r="K114">
        <f>IF(B114="","",IF(B114="Pillar","Pillar guide (entity hub)",IF(B114="Cluster","Hub page for this attribute",IF(INDEX(Values!$C$3:$C$502,P114)="Yes","Entity page (profile of the sub-entity)",IFERROR(INDEX(Lists!$B$3:$B$6,MATCH(J114,Lists!$A$3:$A$6,0)),"Article")))))</f>
        <v/>
      </c>
      <c r="L114">
        <f>IF(B114="Pillar",Entity!$B$6&amp;"",IF(B114="Cluster",INDEX(Attributes!$I$3:$I$52,Q114)&amp;"",IF(B114="Supporting",INDEX(Values!$F$3:$F$502,P114)&amp;"","")))</f>
        <v/>
      </c>
      <c r="M114">
        <f>IF(B114="","",IF(L114&lt;&gt;"","Covered","Gap"))</f>
        <v/>
      </c>
      <c r="N114">
        <f>IF(B114="Pillar",SUMIFS(Values!$E$3:$E$502,Values!$I$3:$I$502,"Yes"),IF(B114="Cluster",SUMIFS(Values!$E$3:$E$502,Values!$A$3:$A$502,SUBSTITUTE(SUBSTITUTE(C114,"?","~?"),"*","~*"),Values!$I$3:$I$502,"Yes"),IF(B114="Supporting",N(INDEX(Values!$E$3:$E$502,P114)),"")))</f>
        <v/>
      </c>
      <c r="O114">
        <f>IF(B114="","",IF(B114="Pillar",100,IF(B114="Cluster",N(INDEX(Attributes!$E$3:$E$52,Q114))*25+IF(M114="Gap",10,0),N(INDEX(Attributes!$E$3:$E$52,Q114))*20+MIN(20,ROUND(LOG10(N(N114)+1)*5,0))+IF(M114="Gap",10,0)+IF(INDEX(Values!$D$3:$D$502,P114)="Yes",5,0))))</f>
        <v/>
      </c>
      <c r="P114">
        <f>IF(B114="Supporting",MATCH(A114-1-Entity!$B$14,Values!$J$3:$J$502,0),"")</f>
        <v/>
      </c>
      <c r="Q114">
        <f>IF(C114="","",MATCH(C114,Attributes!$A$3:$A$52,0))</f>
        <v/>
      </c>
      <c r="R114">
        <f>IF(B114="Pillar",SUBSTITUTE(Entity!$B$7,"{entity}",LOWER(Entity!$B$3)),IF(B114="Cluster",IF(INDEX(Attributes!$G$3:$G$52,Q114)&lt;&gt;"",INDEX(Attributes!$G$3:$G$52,Q114),SUBSTITUTE(SUBSTITUTE(Entity!$B$8,"{entity}",LOWER(Entity!$B$3)),"{attribute}",LOWER(C114))),IF(B114="Supporting",SUBSTITUTE(SUBSTITUTE(SUBSTITUTE(IF(INDEX(Attributes!$H$3:$H$52,Q114)&lt;&gt;"",INDEX(Attributes!$H$3:$H$52,Q114),Entity!$B$9),"{entity}",LOWER(Entity!$B$3)),"{value}",D114),"{attribute}",LOWER(C114)),"")))</f>
        <v/>
      </c>
    </row>
    <row r="115">
      <c r="A115">
        <f>ROW()-2</f>
        <v/>
      </c>
      <c r="B115">
        <f>IF(A115=1,"Pillar",IF(A115&lt;=1+Entity!$B$14,"Cluster",IF(A115&lt;=1+Entity!$B$14+Entity!$B$15,"Supporting","")))</f>
        <v/>
      </c>
      <c r="C115">
        <f>IF(B115="Cluster",INDEX(Attributes!$A$3:$A$52,MATCH(A115-1,Attributes!$P$3:$P$52,0)),IF(B115="Supporting",INDEX(Values!$A$3:$A$502,P115),""))</f>
        <v/>
      </c>
      <c r="D115">
        <f>IF(B115="Supporting",INDEX(Values!$B$3:$B$502,P115),"")</f>
        <v/>
      </c>
      <c r="E115">
        <f>IF(R115="","",UPPER(LEFT(R115,1))&amp;MID(R115,2,500))</f>
        <v/>
      </c>
      <c r="F115">
        <f>IF(E115="","",LOWER(SUBSTITUTE(SUBSTITUTE(SUBSTITUTE(SUBSTITUTE(SUBSTITUTE(SUBSTITUTE(SUBSTITUTE(TRIM(E115),":",""),",",""),"'",""),"&amp;","and"),"£",""),"  "," ")," ","-")))</f>
        <v/>
      </c>
      <c r="G115">
        <f>IF(B115="Cluster",$E$3,IF(B115="Supporting",INDEX($E$3:$E$553,MATCH(C115,$C$3:$C$553,0)),""))</f>
        <v/>
      </c>
      <c r="H115">
        <f>IF(B115="Supporting",IFERROR(INDEX($E$3:$E$553,1+Entity!$B$14+INDEX(Values!$O$3:$O$502,P115)),""),IF(B115="Cluster",IF(Entity!$B$14&lt;2,"",INDEX($E$3:$E$553,IF(A115-1=Entity!$B$14,2,A115+1))),""))</f>
        <v/>
      </c>
      <c r="I115">
        <f>IF(B115="Pillar",Entity!$B$14&amp;" cluster pages",IF(B115="Cluster",(COUNTIF($C$3:$C$553,SUBSTITUTE(SUBSTITUTE(C115,"?","~?"),"*","~*"))-1)&amp;" supporting pages",""))</f>
        <v/>
      </c>
      <c r="J115">
        <f>IF(B115="Pillar","Informational",IF(OR(B115="Cluster",B115="Supporting"),INDEX(Attributes!$D$3:$D$52,Q115)&amp;"",""))</f>
        <v/>
      </c>
      <c r="K115">
        <f>IF(B115="","",IF(B115="Pillar","Pillar guide (entity hub)",IF(B115="Cluster","Hub page for this attribute",IF(INDEX(Values!$C$3:$C$502,P115)="Yes","Entity page (profile of the sub-entity)",IFERROR(INDEX(Lists!$B$3:$B$6,MATCH(J115,Lists!$A$3:$A$6,0)),"Article")))))</f>
        <v/>
      </c>
      <c r="L115">
        <f>IF(B115="Pillar",Entity!$B$6&amp;"",IF(B115="Cluster",INDEX(Attributes!$I$3:$I$52,Q115)&amp;"",IF(B115="Supporting",INDEX(Values!$F$3:$F$502,P115)&amp;"","")))</f>
        <v/>
      </c>
      <c r="M115">
        <f>IF(B115="","",IF(L115&lt;&gt;"","Covered","Gap"))</f>
        <v/>
      </c>
      <c r="N115">
        <f>IF(B115="Pillar",SUMIFS(Values!$E$3:$E$502,Values!$I$3:$I$502,"Yes"),IF(B115="Cluster",SUMIFS(Values!$E$3:$E$502,Values!$A$3:$A$502,SUBSTITUTE(SUBSTITUTE(C115,"?","~?"),"*","~*"),Values!$I$3:$I$502,"Yes"),IF(B115="Supporting",N(INDEX(Values!$E$3:$E$502,P115)),"")))</f>
        <v/>
      </c>
      <c r="O115">
        <f>IF(B115="","",IF(B115="Pillar",100,IF(B115="Cluster",N(INDEX(Attributes!$E$3:$E$52,Q115))*25+IF(M115="Gap",10,0),N(INDEX(Attributes!$E$3:$E$52,Q115))*20+MIN(20,ROUND(LOG10(N(N115)+1)*5,0))+IF(M115="Gap",10,0)+IF(INDEX(Values!$D$3:$D$502,P115)="Yes",5,0))))</f>
        <v/>
      </c>
      <c r="P115">
        <f>IF(B115="Supporting",MATCH(A115-1-Entity!$B$14,Values!$J$3:$J$502,0),"")</f>
        <v/>
      </c>
      <c r="Q115">
        <f>IF(C115="","",MATCH(C115,Attributes!$A$3:$A$52,0))</f>
        <v/>
      </c>
      <c r="R115">
        <f>IF(B115="Pillar",SUBSTITUTE(Entity!$B$7,"{entity}",LOWER(Entity!$B$3)),IF(B115="Cluster",IF(INDEX(Attributes!$G$3:$G$52,Q115)&lt;&gt;"",INDEX(Attributes!$G$3:$G$52,Q115),SUBSTITUTE(SUBSTITUTE(Entity!$B$8,"{entity}",LOWER(Entity!$B$3)),"{attribute}",LOWER(C115))),IF(B115="Supporting",SUBSTITUTE(SUBSTITUTE(SUBSTITUTE(IF(INDEX(Attributes!$H$3:$H$52,Q115)&lt;&gt;"",INDEX(Attributes!$H$3:$H$52,Q115),Entity!$B$9),"{entity}",LOWER(Entity!$B$3)),"{value}",D115),"{attribute}",LOWER(C115)),"")))</f>
        <v/>
      </c>
    </row>
    <row r="116">
      <c r="A116">
        <f>ROW()-2</f>
        <v/>
      </c>
      <c r="B116">
        <f>IF(A116=1,"Pillar",IF(A116&lt;=1+Entity!$B$14,"Cluster",IF(A116&lt;=1+Entity!$B$14+Entity!$B$15,"Supporting","")))</f>
        <v/>
      </c>
      <c r="C116">
        <f>IF(B116="Cluster",INDEX(Attributes!$A$3:$A$52,MATCH(A116-1,Attributes!$P$3:$P$52,0)),IF(B116="Supporting",INDEX(Values!$A$3:$A$502,P116),""))</f>
        <v/>
      </c>
      <c r="D116">
        <f>IF(B116="Supporting",INDEX(Values!$B$3:$B$502,P116),"")</f>
        <v/>
      </c>
      <c r="E116">
        <f>IF(R116="","",UPPER(LEFT(R116,1))&amp;MID(R116,2,500))</f>
        <v/>
      </c>
      <c r="F116">
        <f>IF(E116="","",LOWER(SUBSTITUTE(SUBSTITUTE(SUBSTITUTE(SUBSTITUTE(SUBSTITUTE(SUBSTITUTE(SUBSTITUTE(TRIM(E116),":",""),",",""),"'",""),"&amp;","and"),"£",""),"  "," ")," ","-")))</f>
        <v/>
      </c>
      <c r="G116">
        <f>IF(B116="Cluster",$E$3,IF(B116="Supporting",INDEX($E$3:$E$553,MATCH(C116,$C$3:$C$553,0)),""))</f>
        <v/>
      </c>
      <c r="H116">
        <f>IF(B116="Supporting",IFERROR(INDEX($E$3:$E$553,1+Entity!$B$14+INDEX(Values!$O$3:$O$502,P116)),""),IF(B116="Cluster",IF(Entity!$B$14&lt;2,"",INDEX($E$3:$E$553,IF(A116-1=Entity!$B$14,2,A116+1))),""))</f>
        <v/>
      </c>
      <c r="I116">
        <f>IF(B116="Pillar",Entity!$B$14&amp;" cluster pages",IF(B116="Cluster",(COUNTIF($C$3:$C$553,SUBSTITUTE(SUBSTITUTE(C116,"?","~?"),"*","~*"))-1)&amp;" supporting pages",""))</f>
        <v/>
      </c>
      <c r="J116">
        <f>IF(B116="Pillar","Informational",IF(OR(B116="Cluster",B116="Supporting"),INDEX(Attributes!$D$3:$D$52,Q116)&amp;"",""))</f>
        <v/>
      </c>
      <c r="K116">
        <f>IF(B116="","",IF(B116="Pillar","Pillar guide (entity hub)",IF(B116="Cluster","Hub page for this attribute",IF(INDEX(Values!$C$3:$C$502,P116)="Yes","Entity page (profile of the sub-entity)",IFERROR(INDEX(Lists!$B$3:$B$6,MATCH(J116,Lists!$A$3:$A$6,0)),"Article")))))</f>
        <v/>
      </c>
      <c r="L116">
        <f>IF(B116="Pillar",Entity!$B$6&amp;"",IF(B116="Cluster",INDEX(Attributes!$I$3:$I$52,Q116)&amp;"",IF(B116="Supporting",INDEX(Values!$F$3:$F$502,P116)&amp;"","")))</f>
        <v/>
      </c>
      <c r="M116">
        <f>IF(B116="","",IF(L116&lt;&gt;"","Covered","Gap"))</f>
        <v/>
      </c>
      <c r="N116">
        <f>IF(B116="Pillar",SUMIFS(Values!$E$3:$E$502,Values!$I$3:$I$502,"Yes"),IF(B116="Cluster",SUMIFS(Values!$E$3:$E$502,Values!$A$3:$A$502,SUBSTITUTE(SUBSTITUTE(C116,"?","~?"),"*","~*"),Values!$I$3:$I$502,"Yes"),IF(B116="Supporting",N(INDEX(Values!$E$3:$E$502,P116)),"")))</f>
        <v/>
      </c>
      <c r="O116">
        <f>IF(B116="","",IF(B116="Pillar",100,IF(B116="Cluster",N(INDEX(Attributes!$E$3:$E$52,Q116))*25+IF(M116="Gap",10,0),N(INDEX(Attributes!$E$3:$E$52,Q116))*20+MIN(20,ROUND(LOG10(N(N116)+1)*5,0))+IF(M116="Gap",10,0)+IF(INDEX(Values!$D$3:$D$502,P116)="Yes",5,0))))</f>
        <v/>
      </c>
      <c r="P116">
        <f>IF(B116="Supporting",MATCH(A116-1-Entity!$B$14,Values!$J$3:$J$502,0),"")</f>
        <v/>
      </c>
      <c r="Q116">
        <f>IF(C116="","",MATCH(C116,Attributes!$A$3:$A$52,0))</f>
        <v/>
      </c>
      <c r="R116">
        <f>IF(B116="Pillar",SUBSTITUTE(Entity!$B$7,"{entity}",LOWER(Entity!$B$3)),IF(B116="Cluster",IF(INDEX(Attributes!$G$3:$G$52,Q116)&lt;&gt;"",INDEX(Attributes!$G$3:$G$52,Q116),SUBSTITUTE(SUBSTITUTE(Entity!$B$8,"{entity}",LOWER(Entity!$B$3)),"{attribute}",LOWER(C116))),IF(B116="Supporting",SUBSTITUTE(SUBSTITUTE(SUBSTITUTE(IF(INDEX(Attributes!$H$3:$H$52,Q116)&lt;&gt;"",INDEX(Attributes!$H$3:$H$52,Q116),Entity!$B$9),"{entity}",LOWER(Entity!$B$3)),"{value}",D116),"{attribute}",LOWER(C116)),"")))</f>
        <v/>
      </c>
    </row>
    <row r="117">
      <c r="A117">
        <f>ROW()-2</f>
        <v/>
      </c>
      <c r="B117">
        <f>IF(A117=1,"Pillar",IF(A117&lt;=1+Entity!$B$14,"Cluster",IF(A117&lt;=1+Entity!$B$14+Entity!$B$15,"Supporting","")))</f>
        <v/>
      </c>
      <c r="C117">
        <f>IF(B117="Cluster",INDEX(Attributes!$A$3:$A$52,MATCH(A117-1,Attributes!$P$3:$P$52,0)),IF(B117="Supporting",INDEX(Values!$A$3:$A$502,P117),""))</f>
        <v/>
      </c>
      <c r="D117">
        <f>IF(B117="Supporting",INDEX(Values!$B$3:$B$502,P117),"")</f>
        <v/>
      </c>
      <c r="E117">
        <f>IF(R117="","",UPPER(LEFT(R117,1))&amp;MID(R117,2,500))</f>
        <v/>
      </c>
      <c r="F117">
        <f>IF(E117="","",LOWER(SUBSTITUTE(SUBSTITUTE(SUBSTITUTE(SUBSTITUTE(SUBSTITUTE(SUBSTITUTE(SUBSTITUTE(TRIM(E117),":",""),",",""),"'",""),"&amp;","and"),"£",""),"  "," ")," ","-")))</f>
        <v/>
      </c>
      <c r="G117">
        <f>IF(B117="Cluster",$E$3,IF(B117="Supporting",INDEX($E$3:$E$553,MATCH(C117,$C$3:$C$553,0)),""))</f>
        <v/>
      </c>
      <c r="H117">
        <f>IF(B117="Supporting",IFERROR(INDEX($E$3:$E$553,1+Entity!$B$14+INDEX(Values!$O$3:$O$502,P117)),""),IF(B117="Cluster",IF(Entity!$B$14&lt;2,"",INDEX($E$3:$E$553,IF(A117-1=Entity!$B$14,2,A117+1))),""))</f>
        <v/>
      </c>
      <c r="I117">
        <f>IF(B117="Pillar",Entity!$B$14&amp;" cluster pages",IF(B117="Cluster",(COUNTIF($C$3:$C$553,SUBSTITUTE(SUBSTITUTE(C117,"?","~?"),"*","~*"))-1)&amp;" supporting pages",""))</f>
        <v/>
      </c>
      <c r="J117">
        <f>IF(B117="Pillar","Informational",IF(OR(B117="Cluster",B117="Supporting"),INDEX(Attributes!$D$3:$D$52,Q117)&amp;"",""))</f>
        <v/>
      </c>
      <c r="K117">
        <f>IF(B117="","",IF(B117="Pillar","Pillar guide (entity hub)",IF(B117="Cluster","Hub page for this attribute",IF(INDEX(Values!$C$3:$C$502,P117)="Yes","Entity page (profile of the sub-entity)",IFERROR(INDEX(Lists!$B$3:$B$6,MATCH(J117,Lists!$A$3:$A$6,0)),"Article")))))</f>
        <v/>
      </c>
      <c r="L117">
        <f>IF(B117="Pillar",Entity!$B$6&amp;"",IF(B117="Cluster",INDEX(Attributes!$I$3:$I$52,Q117)&amp;"",IF(B117="Supporting",INDEX(Values!$F$3:$F$502,P117)&amp;"","")))</f>
        <v/>
      </c>
      <c r="M117">
        <f>IF(B117="","",IF(L117&lt;&gt;"","Covered","Gap"))</f>
        <v/>
      </c>
      <c r="N117">
        <f>IF(B117="Pillar",SUMIFS(Values!$E$3:$E$502,Values!$I$3:$I$502,"Yes"),IF(B117="Cluster",SUMIFS(Values!$E$3:$E$502,Values!$A$3:$A$502,SUBSTITUTE(SUBSTITUTE(C117,"?","~?"),"*","~*"),Values!$I$3:$I$502,"Yes"),IF(B117="Supporting",N(INDEX(Values!$E$3:$E$502,P117)),"")))</f>
        <v/>
      </c>
      <c r="O117">
        <f>IF(B117="","",IF(B117="Pillar",100,IF(B117="Cluster",N(INDEX(Attributes!$E$3:$E$52,Q117))*25+IF(M117="Gap",10,0),N(INDEX(Attributes!$E$3:$E$52,Q117))*20+MIN(20,ROUND(LOG10(N(N117)+1)*5,0))+IF(M117="Gap",10,0)+IF(INDEX(Values!$D$3:$D$502,P117)="Yes",5,0))))</f>
        <v/>
      </c>
      <c r="P117">
        <f>IF(B117="Supporting",MATCH(A117-1-Entity!$B$14,Values!$J$3:$J$502,0),"")</f>
        <v/>
      </c>
      <c r="Q117">
        <f>IF(C117="","",MATCH(C117,Attributes!$A$3:$A$52,0))</f>
        <v/>
      </c>
      <c r="R117">
        <f>IF(B117="Pillar",SUBSTITUTE(Entity!$B$7,"{entity}",LOWER(Entity!$B$3)),IF(B117="Cluster",IF(INDEX(Attributes!$G$3:$G$52,Q117)&lt;&gt;"",INDEX(Attributes!$G$3:$G$52,Q117),SUBSTITUTE(SUBSTITUTE(Entity!$B$8,"{entity}",LOWER(Entity!$B$3)),"{attribute}",LOWER(C117))),IF(B117="Supporting",SUBSTITUTE(SUBSTITUTE(SUBSTITUTE(IF(INDEX(Attributes!$H$3:$H$52,Q117)&lt;&gt;"",INDEX(Attributes!$H$3:$H$52,Q117),Entity!$B$9),"{entity}",LOWER(Entity!$B$3)),"{value}",D117),"{attribute}",LOWER(C117)),"")))</f>
        <v/>
      </c>
    </row>
    <row r="118">
      <c r="A118">
        <f>ROW()-2</f>
        <v/>
      </c>
      <c r="B118">
        <f>IF(A118=1,"Pillar",IF(A118&lt;=1+Entity!$B$14,"Cluster",IF(A118&lt;=1+Entity!$B$14+Entity!$B$15,"Supporting","")))</f>
        <v/>
      </c>
      <c r="C118">
        <f>IF(B118="Cluster",INDEX(Attributes!$A$3:$A$52,MATCH(A118-1,Attributes!$P$3:$P$52,0)),IF(B118="Supporting",INDEX(Values!$A$3:$A$502,P118),""))</f>
        <v/>
      </c>
      <c r="D118">
        <f>IF(B118="Supporting",INDEX(Values!$B$3:$B$502,P118),"")</f>
        <v/>
      </c>
      <c r="E118">
        <f>IF(R118="","",UPPER(LEFT(R118,1))&amp;MID(R118,2,500))</f>
        <v/>
      </c>
      <c r="F118">
        <f>IF(E118="","",LOWER(SUBSTITUTE(SUBSTITUTE(SUBSTITUTE(SUBSTITUTE(SUBSTITUTE(SUBSTITUTE(SUBSTITUTE(TRIM(E118),":",""),",",""),"'",""),"&amp;","and"),"£",""),"  "," ")," ","-")))</f>
        <v/>
      </c>
      <c r="G118">
        <f>IF(B118="Cluster",$E$3,IF(B118="Supporting",INDEX($E$3:$E$553,MATCH(C118,$C$3:$C$553,0)),""))</f>
        <v/>
      </c>
      <c r="H118">
        <f>IF(B118="Supporting",IFERROR(INDEX($E$3:$E$553,1+Entity!$B$14+INDEX(Values!$O$3:$O$502,P118)),""),IF(B118="Cluster",IF(Entity!$B$14&lt;2,"",INDEX($E$3:$E$553,IF(A118-1=Entity!$B$14,2,A118+1))),""))</f>
        <v/>
      </c>
      <c r="I118">
        <f>IF(B118="Pillar",Entity!$B$14&amp;" cluster pages",IF(B118="Cluster",(COUNTIF($C$3:$C$553,SUBSTITUTE(SUBSTITUTE(C118,"?","~?"),"*","~*"))-1)&amp;" supporting pages",""))</f>
        <v/>
      </c>
      <c r="J118">
        <f>IF(B118="Pillar","Informational",IF(OR(B118="Cluster",B118="Supporting"),INDEX(Attributes!$D$3:$D$52,Q118)&amp;"",""))</f>
        <v/>
      </c>
      <c r="K118">
        <f>IF(B118="","",IF(B118="Pillar","Pillar guide (entity hub)",IF(B118="Cluster","Hub page for this attribute",IF(INDEX(Values!$C$3:$C$502,P118)="Yes","Entity page (profile of the sub-entity)",IFERROR(INDEX(Lists!$B$3:$B$6,MATCH(J118,Lists!$A$3:$A$6,0)),"Article")))))</f>
        <v/>
      </c>
      <c r="L118">
        <f>IF(B118="Pillar",Entity!$B$6&amp;"",IF(B118="Cluster",INDEX(Attributes!$I$3:$I$52,Q118)&amp;"",IF(B118="Supporting",INDEX(Values!$F$3:$F$502,P118)&amp;"","")))</f>
        <v/>
      </c>
      <c r="M118">
        <f>IF(B118="","",IF(L118&lt;&gt;"","Covered","Gap"))</f>
        <v/>
      </c>
      <c r="N118">
        <f>IF(B118="Pillar",SUMIFS(Values!$E$3:$E$502,Values!$I$3:$I$502,"Yes"),IF(B118="Cluster",SUMIFS(Values!$E$3:$E$502,Values!$A$3:$A$502,SUBSTITUTE(SUBSTITUTE(C118,"?","~?"),"*","~*"),Values!$I$3:$I$502,"Yes"),IF(B118="Supporting",N(INDEX(Values!$E$3:$E$502,P118)),"")))</f>
        <v/>
      </c>
      <c r="O118">
        <f>IF(B118="","",IF(B118="Pillar",100,IF(B118="Cluster",N(INDEX(Attributes!$E$3:$E$52,Q118))*25+IF(M118="Gap",10,0),N(INDEX(Attributes!$E$3:$E$52,Q118))*20+MIN(20,ROUND(LOG10(N(N118)+1)*5,0))+IF(M118="Gap",10,0)+IF(INDEX(Values!$D$3:$D$502,P118)="Yes",5,0))))</f>
        <v/>
      </c>
      <c r="P118">
        <f>IF(B118="Supporting",MATCH(A118-1-Entity!$B$14,Values!$J$3:$J$502,0),"")</f>
        <v/>
      </c>
      <c r="Q118">
        <f>IF(C118="","",MATCH(C118,Attributes!$A$3:$A$52,0))</f>
        <v/>
      </c>
      <c r="R118">
        <f>IF(B118="Pillar",SUBSTITUTE(Entity!$B$7,"{entity}",LOWER(Entity!$B$3)),IF(B118="Cluster",IF(INDEX(Attributes!$G$3:$G$52,Q118)&lt;&gt;"",INDEX(Attributes!$G$3:$G$52,Q118),SUBSTITUTE(SUBSTITUTE(Entity!$B$8,"{entity}",LOWER(Entity!$B$3)),"{attribute}",LOWER(C118))),IF(B118="Supporting",SUBSTITUTE(SUBSTITUTE(SUBSTITUTE(IF(INDEX(Attributes!$H$3:$H$52,Q118)&lt;&gt;"",INDEX(Attributes!$H$3:$H$52,Q118),Entity!$B$9),"{entity}",LOWER(Entity!$B$3)),"{value}",D118),"{attribute}",LOWER(C118)),"")))</f>
        <v/>
      </c>
    </row>
    <row r="119">
      <c r="A119">
        <f>ROW()-2</f>
        <v/>
      </c>
      <c r="B119">
        <f>IF(A119=1,"Pillar",IF(A119&lt;=1+Entity!$B$14,"Cluster",IF(A119&lt;=1+Entity!$B$14+Entity!$B$15,"Supporting","")))</f>
        <v/>
      </c>
      <c r="C119">
        <f>IF(B119="Cluster",INDEX(Attributes!$A$3:$A$52,MATCH(A119-1,Attributes!$P$3:$P$52,0)),IF(B119="Supporting",INDEX(Values!$A$3:$A$502,P119),""))</f>
        <v/>
      </c>
      <c r="D119">
        <f>IF(B119="Supporting",INDEX(Values!$B$3:$B$502,P119),"")</f>
        <v/>
      </c>
      <c r="E119">
        <f>IF(R119="","",UPPER(LEFT(R119,1))&amp;MID(R119,2,500))</f>
        <v/>
      </c>
      <c r="F119">
        <f>IF(E119="","",LOWER(SUBSTITUTE(SUBSTITUTE(SUBSTITUTE(SUBSTITUTE(SUBSTITUTE(SUBSTITUTE(SUBSTITUTE(TRIM(E119),":",""),",",""),"'",""),"&amp;","and"),"£",""),"  "," ")," ","-")))</f>
        <v/>
      </c>
      <c r="G119">
        <f>IF(B119="Cluster",$E$3,IF(B119="Supporting",INDEX($E$3:$E$553,MATCH(C119,$C$3:$C$553,0)),""))</f>
        <v/>
      </c>
      <c r="H119">
        <f>IF(B119="Supporting",IFERROR(INDEX($E$3:$E$553,1+Entity!$B$14+INDEX(Values!$O$3:$O$502,P119)),""),IF(B119="Cluster",IF(Entity!$B$14&lt;2,"",INDEX($E$3:$E$553,IF(A119-1=Entity!$B$14,2,A119+1))),""))</f>
        <v/>
      </c>
      <c r="I119">
        <f>IF(B119="Pillar",Entity!$B$14&amp;" cluster pages",IF(B119="Cluster",(COUNTIF($C$3:$C$553,SUBSTITUTE(SUBSTITUTE(C119,"?","~?"),"*","~*"))-1)&amp;" supporting pages",""))</f>
        <v/>
      </c>
      <c r="J119">
        <f>IF(B119="Pillar","Informational",IF(OR(B119="Cluster",B119="Supporting"),INDEX(Attributes!$D$3:$D$52,Q119)&amp;"",""))</f>
        <v/>
      </c>
      <c r="K119">
        <f>IF(B119="","",IF(B119="Pillar","Pillar guide (entity hub)",IF(B119="Cluster","Hub page for this attribute",IF(INDEX(Values!$C$3:$C$502,P119)="Yes","Entity page (profile of the sub-entity)",IFERROR(INDEX(Lists!$B$3:$B$6,MATCH(J119,Lists!$A$3:$A$6,0)),"Article")))))</f>
        <v/>
      </c>
      <c r="L119">
        <f>IF(B119="Pillar",Entity!$B$6&amp;"",IF(B119="Cluster",INDEX(Attributes!$I$3:$I$52,Q119)&amp;"",IF(B119="Supporting",INDEX(Values!$F$3:$F$502,P119)&amp;"","")))</f>
        <v/>
      </c>
      <c r="M119">
        <f>IF(B119="","",IF(L119&lt;&gt;"","Covered","Gap"))</f>
        <v/>
      </c>
      <c r="N119">
        <f>IF(B119="Pillar",SUMIFS(Values!$E$3:$E$502,Values!$I$3:$I$502,"Yes"),IF(B119="Cluster",SUMIFS(Values!$E$3:$E$502,Values!$A$3:$A$502,SUBSTITUTE(SUBSTITUTE(C119,"?","~?"),"*","~*"),Values!$I$3:$I$502,"Yes"),IF(B119="Supporting",N(INDEX(Values!$E$3:$E$502,P119)),"")))</f>
        <v/>
      </c>
      <c r="O119">
        <f>IF(B119="","",IF(B119="Pillar",100,IF(B119="Cluster",N(INDEX(Attributes!$E$3:$E$52,Q119))*25+IF(M119="Gap",10,0),N(INDEX(Attributes!$E$3:$E$52,Q119))*20+MIN(20,ROUND(LOG10(N(N119)+1)*5,0))+IF(M119="Gap",10,0)+IF(INDEX(Values!$D$3:$D$502,P119)="Yes",5,0))))</f>
        <v/>
      </c>
      <c r="P119">
        <f>IF(B119="Supporting",MATCH(A119-1-Entity!$B$14,Values!$J$3:$J$502,0),"")</f>
        <v/>
      </c>
      <c r="Q119">
        <f>IF(C119="","",MATCH(C119,Attributes!$A$3:$A$52,0))</f>
        <v/>
      </c>
      <c r="R119">
        <f>IF(B119="Pillar",SUBSTITUTE(Entity!$B$7,"{entity}",LOWER(Entity!$B$3)),IF(B119="Cluster",IF(INDEX(Attributes!$G$3:$G$52,Q119)&lt;&gt;"",INDEX(Attributes!$G$3:$G$52,Q119),SUBSTITUTE(SUBSTITUTE(Entity!$B$8,"{entity}",LOWER(Entity!$B$3)),"{attribute}",LOWER(C119))),IF(B119="Supporting",SUBSTITUTE(SUBSTITUTE(SUBSTITUTE(IF(INDEX(Attributes!$H$3:$H$52,Q119)&lt;&gt;"",INDEX(Attributes!$H$3:$H$52,Q119),Entity!$B$9),"{entity}",LOWER(Entity!$B$3)),"{value}",D119),"{attribute}",LOWER(C119)),"")))</f>
        <v/>
      </c>
    </row>
    <row r="120">
      <c r="A120">
        <f>ROW()-2</f>
        <v/>
      </c>
      <c r="B120">
        <f>IF(A120=1,"Pillar",IF(A120&lt;=1+Entity!$B$14,"Cluster",IF(A120&lt;=1+Entity!$B$14+Entity!$B$15,"Supporting","")))</f>
        <v/>
      </c>
      <c r="C120">
        <f>IF(B120="Cluster",INDEX(Attributes!$A$3:$A$52,MATCH(A120-1,Attributes!$P$3:$P$52,0)),IF(B120="Supporting",INDEX(Values!$A$3:$A$502,P120),""))</f>
        <v/>
      </c>
      <c r="D120">
        <f>IF(B120="Supporting",INDEX(Values!$B$3:$B$502,P120),"")</f>
        <v/>
      </c>
      <c r="E120">
        <f>IF(R120="","",UPPER(LEFT(R120,1))&amp;MID(R120,2,500))</f>
        <v/>
      </c>
      <c r="F120">
        <f>IF(E120="","",LOWER(SUBSTITUTE(SUBSTITUTE(SUBSTITUTE(SUBSTITUTE(SUBSTITUTE(SUBSTITUTE(SUBSTITUTE(TRIM(E120),":",""),",",""),"'",""),"&amp;","and"),"£",""),"  "," ")," ","-")))</f>
        <v/>
      </c>
      <c r="G120">
        <f>IF(B120="Cluster",$E$3,IF(B120="Supporting",INDEX($E$3:$E$553,MATCH(C120,$C$3:$C$553,0)),""))</f>
        <v/>
      </c>
      <c r="H120">
        <f>IF(B120="Supporting",IFERROR(INDEX($E$3:$E$553,1+Entity!$B$14+INDEX(Values!$O$3:$O$502,P120)),""),IF(B120="Cluster",IF(Entity!$B$14&lt;2,"",INDEX($E$3:$E$553,IF(A120-1=Entity!$B$14,2,A120+1))),""))</f>
        <v/>
      </c>
      <c r="I120">
        <f>IF(B120="Pillar",Entity!$B$14&amp;" cluster pages",IF(B120="Cluster",(COUNTIF($C$3:$C$553,SUBSTITUTE(SUBSTITUTE(C120,"?","~?"),"*","~*"))-1)&amp;" supporting pages",""))</f>
        <v/>
      </c>
      <c r="J120">
        <f>IF(B120="Pillar","Informational",IF(OR(B120="Cluster",B120="Supporting"),INDEX(Attributes!$D$3:$D$52,Q120)&amp;"",""))</f>
        <v/>
      </c>
      <c r="K120">
        <f>IF(B120="","",IF(B120="Pillar","Pillar guide (entity hub)",IF(B120="Cluster","Hub page for this attribute",IF(INDEX(Values!$C$3:$C$502,P120)="Yes","Entity page (profile of the sub-entity)",IFERROR(INDEX(Lists!$B$3:$B$6,MATCH(J120,Lists!$A$3:$A$6,0)),"Article")))))</f>
        <v/>
      </c>
      <c r="L120">
        <f>IF(B120="Pillar",Entity!$B$6&amp;"",IF(B120="Cluster",INDEX(Attributes!$I$3:$I$52,Q120)&amp;"",IF(B120="Supporting",INDEX(Values!$F$3:$F$502,P120)&amp;"","")))</f>
        <v/>
      </c>
      <c r="M120">
        <f>IF(B120="","",IF(L120&lt;&gt;"","Covered","Gap"))</f>
        <v/>
      </c>
      <c r="N120">
        <f>IF(B120="Pillar",SUMIFS(Values!$E$3:$E$502,Values!$I$3:$I$502,"Yes"),IF(B120="Cluster",SUMIFS(Values!$E$3:$E$502,Values!$A$3:$A$502,SUBSTITUTE(SUBSTITUTE(C120,"?","~?"),"*","~*"),Values!$I$3:$I$502,"Yes"),IF(B120="Supporting",N(INDEX(Values!$E$3:$E$502,P120)),"")))</f>
        <v/>
      </c>
      <c r="O120">
        <f>IF(B120="","",IF(B120="Pillar",100,IF(B120="Cluster",N(INDEX(Attributes!$E$3:$E$52,Q120))*25+IF(M120="Gap",10,0),N(INDEX(Attributes!$E$3:$E$52,Q120))*20+MIN(20,ROUND(LOG10(N(N120)+1)*5,0))+IF(M120="Gap",10,0)+IF(INDEX(Values!$D$3:$D$502,P120)="Yes",5,0))))</f>
        <v/>
      </c>
      <c r="P120">
        <f>IF(B120="Supporting",MATCH(A120-1-Entity!$B$14,Values!$J$3:$J$502,0),"")</f>
        <v/>
      </c>
      <c r="Q120">
        <f>IF(C120="","",MATCH(C120,Attributes!$A$3:$A$52,0))</f>
        <v/>
      </c>
      <c r="R120">
        <f>IF(B120="Pillar",SUBSTITUTE(Entity!$B$7,"{entity}",LOWER(Entity!$B$3)),IF(B120="Cluster",IF(INDEX(Attributes!$G$3:$G$52,Q120)&lt;&gt;"",INDEX(Attributes!$G$3:$G$52,Q120),SUBSTITUTE(SUBSTITUTE(Entity!$B$8,"{entity}",LOWER(Entity!$B$3)),"{attribute}",LOWER(C120))),IF(B120="Supporting",SUBSTITUTE(SUBSTITUTE(SUBSTITUTE(IF(INDEX(Attributes!$H$3:$H$52,Q120)&lt;&gt;"",INDEX(Attributes!$H$3:$H$52,Q120),Entity!$B$9),"{entity}",LOWER(Entity!$B$3)),"{value}",D120),"{attribute}",LOWER(C120)),"")))</f>
        <v/>
      </c>
    </row>
    <row r="121">
      <c r="A121">
        <f>ROW()-2</f>
        <v/>
      </c>
      <c r="B121">
        <f>IF(A121=1,"Pillar",IF(A121&lt;=1+Entity!$B$14,"Cluster",IF(A121&lt;=1+Entity!$B$14+Entity!$B$15,"Supporting","")))</f>
        <v/>
      </c>
      <c r="C121">
        <f>IF(B121="Cluster",INDEX(Attributes!$A$3:$A$52,MATCH(A121-1,Attributes!$P$3:$P$52,0)),IF(B121="Supporting",INDEX(Values!$A$3:$A$502,P121),""))</f>
        <v/>
      </c>
      <c r="D121">
        <f>IF(B121="Supporting",INDEX(Values!$B$3:$B$502,P121),"")</f>
        <v/>
      </c>
      <c r="E121">
        <f>IF(R121="","",UPPER(LEFT(R121,1))&amp;MID(R121,2,500))</f>
        <v/>
      </c>
      <c r="F121">
        <f>IF(E121="","",LOWER(SUBSTITUTE(SUBSTITUTE(SUBSTITUTE(SUBSTITUTE(SUBSTITUTE(SUBSTITUTE(SUBSTITUTE(TRIM(E121),":",""),",",""),"'",""),"&amp;","and"),"£",""),"  "," ")," ","-")))</f>
        <v/>
      </c>
      <c r="G121">
        <f>IF(B121="Cluster",$E$3,IF(B121="Supporting",INDEX($E$3:$E$553,MATCH(C121,$C$3:$C$553,0)),""))</f>
        <v/>
      </c>
      <c r="H121">
        <f>IF(B121="Supporting",IFERROR(INDEX($E$3:$E$553,1+Entity!$B$14+INDEX(Values!$O$3:$O$502,P121)),""),IF(B121="Cluster",IF(Entity!$B$14&lt;2,"",INDEX($E$3:$E$553,IF(A121-1=Entity!$B$14,2,A121+1))),""))</f>
        <v/>
      </c>
      <c r="I121">
        <f>IF(B121="Pillar",Entity!$B$14&amp;" cluster pages",IF(B121="Cluster",(COUNTIF($C$3:$C$553,SUBSTITUTE(SUBSTITUTE(C121,"?","~?"),"*","~*"))-1)&amp;" supporting pages",""))</f>
        <v/>
      </c>
      <c r="J121">
        <f>IF(B121="Pillar","Informational",IF(OR(B121="Cluster",B121="Supporting"),INDEX(Attributes!$D$3:$D$52,Q121)&amp;"",""))</f>
        <v/>
      </c>
      <c r="K121">
        <f>IF(B121="","",IF(B121="Pillar","Pillar guide (entity hub)",IF(B121="Cluster","Hub page for this attribute",IF(INDEX(Values!$C$3:$C$502,P121)="Yes","Entity page (profile of the sub-entity)",IFERROR(INDEX(Lists!$B$3:$B$6,MATCH(J121,Lists!$A$3:$A$6,0)),"Article")))))</f>
        <v/>
      </c>
      <c r="L121">
        <f>IF(B121="Pillar",Entity!$B$6&amp;"",IF(B121="Cluster",INDEX(Attributes!$I$3:$I$52,Q121)&amp;"",IF(B121="Supporting",INDEX(Values!$F$3:$F$502,P121)&amp;"","")))</f>
        <v/>
      </c>
      <c r="M121">
        <f>IF(B121="","",IF(L121&lt;&gt;"","Covered","Gap"))</f>
        <v/>
      </c>
      <c r="N121">
        <f>IF(B121="Pillar",SUMIFS(Values!$E$3:$E$502,Values!$I$3:$I$502,"Yes"),IF(B121="Cluster",SUMIFS(Values!$E$3:$E$502,Values!$A$3:$A$502,SUBSTITUTE(SUBSTITUTE(C121,"?","~?"),"*","~*"),Values!$I$3:$I$502,"Yes"),IF(B121="Supporting",N(INDEX(Values!$E$3:$E$502,P121)),"")))</f>
        <v/>
      </c>
      <c r="O121">
        <f>IF(B121="","",IF(B121="Pillar",100,IF(B121="Cluster",N(INDEX(Attributes!$E$3:$E$52,Q121))*25+IF(M121="Gap",10,0),N(INDEX(Attributes!$E$3:$E$52,Q121))*20+MIN(20,ROUND(LOG10(N(N121)+1)*5,0))+IF(M121="Gap",10,0)+IF(INDEX(Values!$D$3:$D$502,P121)="Yes",5,0))))</f>
        <v/>
      </c>
      <c r="P121">
        <f>IF(B121="Supporting",MATCH(A121-1-Entity!$B$14,Values!$J$3:$J$502,0),"")</f>
        <v/>
      </c>
      <c r="Q121">
        <f>IF(C121="","",MATCH(C121,Attributes!$A$3:$A$52,0))</f>
        <v/>
      </c>
      <c r="R121">
        <f>IF(B121="Pillar",SUBSTITUTE(Entity!$B$7,"{entity}",LOWER(Entity!$B$3)),IF(B121="Cluster",IF(INDEX(Attributes!$G$3:$G$52,Q121)&lt;&gt;"",INDEX(Attributes!$G$3:$G$52,Q121),SUBSTITUTE(SUBSTITUTE(Entity!$B$8,"{entity}",LOWER(Entity!$B$3)),"{attribute}",LOWER(C121))),IF(B121="Supporting",SUBSTITUTE(SUBSTITUTE(SUBSTITUTE(IF(INDEX(Attributes!$H$3:$H$52,Q121)&lt;&gt;"",INDEX(Attributes!$H$3:$H$52,Q121),Entity!$B$9),"{entity}",LOWER(Entity!$B$3)),"{value}",D121),"{attribute}",LOWER(C121)),"")))</f>
        <v/>
      </c>
    </row>
    <row r="122">
      <c r="A122">
        <f>ROW()-2</f>
        <v/>
      </c>
      <c r="B122">
        <f>IF(A122=1,"Pillar",IF(A122&lt;=1+Entity!$B$14,"Cluster",IF(A122&lt;=1+Entity!$B$14+Entity!$B$15,"Supporting","")))</f>
        <v/>
      </c>
      <c r="C122">
        <f>IF(B122="Cluster",INDEX(Attributes!$A$3:$A$52,MATCH(A122-1,Attributes!$P$3:$P$52,0)),IF(B122="Supporting",INDEX(Values!$A$3:$A$502,P122),""))</f>
        <v/>
      </c>
      <c r="D122">
        <f>IF(B122="Supporting",INDEX(Values!$B$3:$B$502,P122),"")</f>
        <v/>
      </c>
      <c r="E122">
        <f>IF(R122="","",UPPER(LEFT(R122,1))&amp;MID(R122,2,500))</f>
        <v/>
      </c>
      <c r="F122">
        <f>IF(E122="","",LOWER(SUBSTITUTE(SUBSTITUTE(SUBSTITUTE(SUBSTITUTE(SUBSTITUTE(SUBSTITUTE(SUBSTITUTE(TRIM(E122),":",""),",",""),"'",""),"&amp;","and"),"£",""),"  "," ")," ","-")))</f>
        <v/>
      </c>
      <c r="G122">
        <f>IF(B122="Cluster",$E$3,IF(B122="Supporting",INDEX($E$3:$E$553,MATCH(C122,$C$3:$C$553,0)),""))</f>
        <v/>
      </c>
      <c r="H122">
        <f>IF(B122="Supporting",IFERROR(INDEX($E$3:$E$553,1+Entity!$B$14+INDEX(Values!$O$3:$O$502,P122)),""),IF(B122="Cluster",IF(Entity!$B$14&lt;2,"",INDEX($E$3:$E$553,IF(A122-1=Entity!$B$14,2,A122+1))),""))</f>
        <v/>
      </c>
      <c r="I122">
        <f>IF(B122="Pillar",Entity!$B$14&amp;" cluster pages",IF(B122="Cluster",(COUNTIF($C$3:$C$553,SUBSTITUTE(SUBSTITUTE(C122,"?","~?"),"*","~*"))-1)&amp;" supporting pages",""))</f>
        <v/>
      </c>
      <c r="J122">
        <f>IF(B122="Pillar","Informational",IF(OR(B122="Cluster",B122="Supporting"),INDEX(Attributes!$D$3:$D$52,Q122)&amp;"",""))</f>
        <v/>
      </c>
      <c r="K122">
        <f>IF(B122="","",IF(B122="Pillar","Pillar guide (entity hub)",IF(B122="Cluster","Hub page for this attribute",IF(INDEX(Values!$C$3:$C$502,P122)="Yes","Entity page (profile of the sub-entity)",IFERROR(INDEX(Lists!$B$3:$B$6,MATCH(J122,Lists!$A$3:$A$6,0)),"Article")))))</f>
        <v/>
      </c>
      <c r="L122">
        <f>IF(B122="Pillar",Entity!$B$6&amp;"",IF(B122="Cluster",INDEX(Attributes!$I$3:$I$52,Q122)&amp;"",IF(B122="Supporting",INDEX(Values!$F$3:$F$502,P122)&amp;"","")))</f>
        <v/>
      </c>
      <c r="M122">
        <f>IF(B122="","",IF(L122&lt;&gt;"","Covered","Gap"))</f>
        <v/>
      </c>
      <c r="N122">
        <f>IF(B122="Pillar",SUMIFS(Values!$E$3:$E$502,Values!$I$3:$I$502,"Yes"),IF(B122="Cluster",SUMIFS(Values!$E$3:$E$502,Values!$A$3:$A$502,SUBSTITUTE(SUBSTITUTE(C122,"?","~?"),"*","~*"),Values!$I$3:$I$502,"Yes"),IF(B122="Supporting",N(INDEX(Values!$E$3:$E$502,P122)),"")))</f>
        <v/>
      </c>
      <c r="O122">
        <f>IF(B122="","",IF(B122="Pillar",100,IF(B122="Cluster",N(INDEX(Attributes!$E$3:$E$52,Q122))*25+IF(M122="Gap",10,0),N(INDEX(Attributes!$E$3:$E$52,Q122))*20+MIN(20,ROUND(LOG10(N(N122)+1)*5,0))+IF(M122="Gap",10,0)+IF(INDEX(Values!$D$3:$D$502,P122)="Yes",5,0))))</f>
        <v/>
      </c>
      <c r="P122">
        <f>IF(B122="Supporting",MATCH(A122-1-Entity!$B$14,Values!$J$3:$J$502,0),"")</f>
        <v/>
      </c>
      <c r="Q122">
        <f>IF(C122="","",MATCH(C122,Attributes!$A$3:$A$52,0))</f>
        <v/>
      </c>
      <c r="R122">
        <f>IF(B122="Pillar",SUBSTITUTE(Entity!$B$7,"{entity}",LOWER(Entity!$B$3)),IF(B122="Cluster",IF(INDEX(Attributes!$G$3:$G$52,Q122)&lt;&gt;"",INDEX(Attributes!$G$3:$G$52,Q122),SUBSTITUTE(SUBSTITUTE(Entity!$B$8,"{entity}",LOWER(Entity!$B$3)),"{attribute}",LOWER(C122))),IF(B122="Supporting",SUBSTITUTE(SUBSTITUTE(SUBSTITUTE(IF(INDEX(Attributes!$H$3:$H$52,Q122)&lt;&gt;"",INDEX(Attributes!$H$3:$H$52,Q122),Entity!$B$9),"{entity}",LOWER(Entity!$B$3)),"{value}",D122),"{attribute}",LOWER(C122)),"")))</f>
        <v/>
      </c>
    </row>
    <row r="123">
      <c r="A123">
        <f>ROW()-2</f>
        <v/>
      </c>
      <c r="B123">
        <f>IF(A123=1,"Pillar",IF(A123&lt;=1+Entity!$B$14,"Cluster",IF(A123&lt;=1+Entity!$B$14+Entity!$B$15,"Supporting","")))</f>
        <v/>
      </c>
      <c r="C123">
        <f>IF(B123="Cluster",INDEX(Attributes!$A$3:$A$52,MATCH(A123-1,Attributes!$P$3:$P$52,0)),IF(B123="Supporting",INDEX(Values!$A$3:$A$502,P123),""))</f>
        <v/>
      </c>
      <c r="D123">
        <f>IF(B123="Supporting",INDEX(Values!$B$3:$B$502,P123),"")</f>
        <v/>
      </c>
      <c r="E123">
        <f>IF(R123="","",UPPER(LEFT(R123,1))&amp;MID(R123,2,500))</f>
        <v/>
      </c>
      <c r="F123">
        <f>IF(E123="","",LOWER(SUBSTITUTE(SUBSTITUTE(SUBSTITUTE(SUBSTITUTE(SUBSTITUTE(SUBSTITUTE(SUBSTITUTE(TRIM(E123),":",""),",",""),"'",""),"&amp;","and"),"£",""),"  "," ")," ","-")))</f>
        <v/>
      </c>
      <c r="G123">
        <f>IF(B123="Cluster",$E$3,IF(B123="Supporting",INDEX($E$3:$E$553,MATCH(C123,$C$3:$C$553,0)),""))</f>
        <v/>
      </c>
      <c r="H123">
        <f>IF(B123="Supporting",IFERROR(INDEX($E$3:$E$553,1+Entity!$B$14+INDEX(Values!$O$3:$O$502,P123)),""),IF(B123="Cluster",IF(Entity!$B$14&lt;2,"",INDEX($E$3:$E$553,IF(A123-1=Entity!$B$14,2,A123+1))),""))</f>
        <v/>
      </c>
      <c r="I123">
        <f>IF(B123="Pillar",Entity!$B$14&amp;" cluster pages",IF(B123="Cluster",(COUNTIF($C$3:$C$553,SUBSTITUTE(SUBSTITUTE(C123,"?","~?"),"*","~*"))-1)&amp;" supporting pages",""))</f>
        <v/>
      </c>
      <c r="J123">
        <f>IF(B123="Pillar","Informational",IF(OR(B123="Cluster",B123="Supporting"),INDEX(Attributes!$D$3:$D$52,Q123)&amp;"",""))</f>
        <v/>
      </c>
      <c r="K123">
        <f>IF(B123="","",IF(B123="Pillar","Pillar guide (entity hub)",IF(B123="Cluster","Hub page for this attribute",IF(INDEX(Values!$C$3:$C$502,P123)="Yes","Entity page (profile of the sub-entity)",IFERROR(INDEX(Lists!$B$3:$B$6,MATCH(J123,Lists!$A$3:$A$6,0)),"Article")))))</f>
        <v/>
      </c>
      <c r="L123">
        <f>IF(B123="Pillar",Entity!$B$6&amp;"",IF(B123="Cluster",INDEX(Attributes!$I$3:$I$52,Q123)&amp;"",IF(B123="Supporting",INDEX(Values!$F$3:$F$502,P123)&amp;"","")))</f>
        <v/>
      </c>
      <c r="M123">
        <f>IF(B123="","",IF(L123&lt;&gt;"","Covered","Gap"))</f>
        <v/>
      </c>
      <c r="N123">
        <f>IF(B123="Pillar",SUMIFS(Values!$E$3:$E$502,Values!$I$3:$I$502,"Yes"),IF(B123="Cluster",SUMIFS(Values!$E$3:$E$502,Values!$A$3:$A$502,SUBSTITUTE(SUBSTITUTE(C123,"?","~?"),"*","~*"),Values!$I$3:$I$502,"Yes"),IF(B123="Supporting",N(INDEX(Values!$E$3:$E$502,P123)),"")))</f>
        <v/>
      </c>
      <c r="O123">
        <f>IF(B123="","",IF(B123="Pillar",100,IF(B123="Cluster",N(INDEX(Attributes!$E$3:$E$52,Q123))*25+IF(M123="Gap",10,0),N(INDEX(Attributes!$E$3:$E$52,Q123))*20+MIN(20,ROUND(LOG10(N(N123)+1)*5,0))+IF(M123="Gap",10,0)+IF(INDEX(Values!$D$3:$D$502,P123)="Yes",5,0))))</f>
        <v/>
      </c>
      <c r="P123">
        <f>IF(B123="Supporting",MATCH(A123-1-Entity!$B$14,Values!$J$3:$J$502,0),"")</f>
        <v/>
      </c>
      <c r="Q123">
        <f>IF(C123="","",MATCH(C123,Attributes!$A$3:$A$52,0))</f>
        <v/>
      </c>
      <c r="R123">
        <f>IF(B123="Pillar",SUBSTITUTE(Entity!$B$7,"{entity}",LOWER(Entity!$B$3)),IF(B123="Cluster",IF(INDEX(Attributes!$G$3:$G$52,Q123)&lt;&gt;"",INDEX(Attributes!$G$3:$G$52,Q123),SUBSTITUTE(SUBSTITUTE(Entity!$B$8,"{entity}",LOWER(Entity!$B$3)),"{attribute}",LOWER(C123))),IF(B123="Supporting",SUBSTITUTE(SUBSTITUTE(SUBSTITUTE(IF(INDEX(Attributes!$H$3:$H$52,Q123)&lt;&gt;"",INDEX(Attributes!$H$3:$H$52,Q123),Entity!$B$9),"{entity}",LOWER(Entity!$B$3)),"{value}",D123),"{attribute}",LOWER(C123)),"")))</f>
        <v/>
      </c>
    </row>
    <row r="124">
      <c r="A124">
        <f>ROW()-2</f>
        <v/>
      </c>
      <c r="B124">
        <f>IF(A124=1,"Pillar",IF(A124&lt;=1+Entity!$B$14,"Cluster",IF(A124&lt;=1+Entity!$B$14+Entity!$B$15,"Supporting","")))</f>
        <v/>
      </c>
      <c r="C124">
        <f>IF(B124="Cluster",INDEX(Attributes!$A$3:$A$52,MATCH(A124-1,Attributes!$P$3:$P$52,0)),IF(B124="Supporting",INDEX(Values!$A$3:$A$502,P124),""))</f>
        <v/>
      </c>
      <c r="D124">
        <f>IF(B124="Supporting",INDEX(Values!$B$3:$B$502,P124),"")</f>
        <v/>
      </c>
      <c r="E124">
        <f>IF(R124="","",UPPER(LEFT(R124,1))&amp;MID(R124,2,500))</f>
        <v/>
      </c>
      <c r="F124">
        <f>IF(E124="","",LOWER(SUBSTITUTE(SUBSTITUTE(SUBSTITUTE(SUBSTITUTE(SUBSTITUTE(SUBSTITUTE(SUBSTITUTE(TRIM(E124),":",""),",",""),"'",""),"&amp;","and"),"£",""),"  "," ")," ","-")))</f>
        <v/>
      </c>
      <c r="G124">
        <f>IF(B124="Cluster",$E$3,IF(B124="Supporting",INDEX($E$3:$E$553,MATCH(C124,$C$3:$C$553,0)),""))</f>
        <v/>
      </c>
      <c r="H124">
        <f>IF(B124="Supporting",IFERROR(INDEX($E$3:$E$553,1+Entity!$B$14+INDEX(Values!$O$3:$O$502,P124)),""),IF(B124="Cluster",IF(Entity!$B$14&lt;2,"",INDEX($E$3:$E$553,IF(A124-1=Entity!$B$14,2,A124+1))),""))</f>
        <v/>
      </c>
      <c r="I124">
        <f>IF(B124="Pillar",Entity!$B$14&amp;" cluster pages",IF(B124="Cluster",(COUNTIF($C$3:$C$553,SUBSTITUTE(SUBSTITUTE(C124,"?","~?"),"*","~*"))-1)&amp;" supporting pages",""))</f>
        <v/>
      </c>
      <c r="J124">
        <f>IF(B124="Pillar","Informational",IF(OR(B124="Cluster",B124="Supporting"),INDEX(Attributes!$D$3:$D$52,Q124)&amp;"",""))</f>
        <v/>
      </c>
      <c r="K124">
        <f>IF(B124="","",IF(B124="Pillar","Pillar guide (entity hub)",IF(B124="Cluster","Hub page for this attribute",IF(INDEX(Values!$C$3:$C$502,P124)="Yes","Entity page (profile of the sub-entity)",IFERROR(INDEX(Lists!$B$3:$B$6,MATCH(J124,Lists!$A$3:$A$6,0)),"Article")))))</f>
        <v/>
      </c>
      <c r="L124">
        <f>IF(B124="Pillar",Entity!$B$6&amp;"",IF(B124="Cluster",INDEX(Attributes!$I$3:$I$52,Q124)&amp;"",IF(B124="Supporting",INDEX(Values!$F$3:$F$502,P124)&amp;"","")))</f>
        <v/>
      </c>
      <c r="M124">
        <f>IF(B124="","",IF(L124&lt;&gt;"","Covered","Gap"))</f>
        <v/>
      </c>
      <c r="N124">
        <f>IF(B124="Pillar",SUMIFS(Values!$E$3:$E$502,Values!$I$3:$I$502,"Yes"),IF(B124="Cluster",SUMIFS(Values!$E$3:$E$502,Values!$A$3:$A$502,SUBSTITUTE(SUBSTITUTE(C124,"?","~?"),"*","~*"),Values!$I$3:$I$502,"Yes"),IF(B124="Supporting",N(INDEX(Values!$E$3:$E$502,P124)),"")))</f>
        <v/>
      </c>
      <c r="O124">
        <f>IF(B124="","",IF(B124="Pillar",100,IF(B124="Cluster",N(INDEX(Attributes!$E$3:$E$52,Q124))*25+IF(M124="Gap",10,0),N(INDEX(Attributes!$E$3:$E$52,Q124))*20+MIN(20,ROUND(LOG10(N(N124)+1)*5,0))+IF(M124="Gap",10,0)+IF(INDEX(Values!$D$3:$D$502,P124)="Yes",5,0))))</f>
        <v/>
      </c>
      <c r="P124">
        <f>IF(B124="Supporting",MATCH(A124-1-Entity!$B$14,Values!$J$3:$J$502,0),"")</f>
        <v/>
      </c>
      <c r="Q124">
        <f>IF(C124="","",MATCH(C124,Attributes!$A$3:$A$52,0))</f>
        <v/>
      </c>
      <c r="R124">
        <f>IF(B124="Pillar",SUBSTITUTE(Entity!$B$7,"{entity}",LOWER(Entity!$B$3)),IF(B124="Cluster",IF(INDEX(Attributes!$G$3:$G$52,Q124)&lt;&gt;"",INDEX(Attributes!$G$3:$G$52,Q124),SUBSTITUTE(SUBSTITUTE(Entity!$B$8,"{entity}",LOWER(Entity!$B$3)),"{attribute}",LOWER(C124))),IF(B124="Supporting",SUBSTITUTE(SUBSTITUTE(SUBSTITUTE(IF(INDEX(Attributes!$H$3:$H$52,Q124)&lt;&gt;"",INDEX(Attributes!$H$3:$H$52,Q124),Entity!$B$9),"{entity}",LOWER(Entity!$B$3)),"{value}",D124),"{attribute}",LOWER(C124)),"")))</f>
        <v/>
      </c>
    </row>
    <row r="125">
      <c r="A125">
        <f>ROW()-2</f>
        <v/>
      </c>
      <c r="B125">
        <f>IF(A125=1,"Pillar",IF(A125&lt;=1+Entity!$B$14,"Cluster",IF(A125&lt;=1+Entity!$B$14+Entity!$B$15,"Supporting","")))</f>
        <v/>
      </c>
      <c r="C125">
        <f>IF(B125="Cluster",INDEX(Attributes!$A$3:$A$52,MATCH(A125-1,Attributes!$P$3:$P$52,0)),IF(B125="Supporting",INDEX(Values!$A$3:$A$502,P125),""))</f>
        <v/>
      </c>
      <c r="D125">
        <f>IF(B125="Supporting",INDEX(Values!$B$3:$B$502,P125),"")</f>
        <v/>
      </c>
      <c r="E125">
        <f>IF(R125="","",UPPER(LEFT(R125,1))&amp;MID(R125,2,500))</f>
        <v/>
      </c>
      <c r="F125">
        <f>IF(E125="","",LOWER(SUBSTITUTE(SUBSTITUTE(SUBSTITUTE(SUBSTITUTE(SUBSTITUTE(SUBSTITUTE(SUBSTITUTE(TRIM(E125),":",""),",",""),"'",""),"&amp;","and"),"£",""),"  "," ")," ","-")))</f>
        <v/>
      </c>
      <c r="G125">
        <f>IF(B125="Cluster",$E$3,IF(B125="Supporting",INDEX($E$3:$E$553,MATCH(C125,$C$3:$C$553,0)),""))</f>
        <v/>
      </c>
      <c r="H125">
        <f>IF(B125="Supporting",IFERROR(INDEX($E$3:$E$553,1+Entity!$B$14+INDEX(Values!$O$3:$O$502,P125)),""),IF(B125="Cluster",IF(Entity!$B$14&lt;2,"",INDEX($E$3:$E$553,IF(A125-1=Entity!$B$14,2,A125+1))),""))</f>
        <v/>
      </c>
      <c r="I125">
        <f>IF(B125="Pillar",Entity!$B$14&amp;" cluster pages",IF(B125="Cluster",(COUNTIF($C$3:$C$553,SUBSTITUTE(SUBSTITUTE(C125,"?","~?"),"*","~*"))-1)&amp;" supporting pages",""))</f>
        <v/>
      </c>
      <c r="J125">
        <f>IF(B125="Pillar","Informational",IF(OR(B125="Cluster",B125="Supporting"),INDEX(Attributes!$D$3:$D$52,Q125)&amp;"",""))</f>
        <v/>
      </c>
      <c r="K125">
        <f>IF(B125="","",IF(B125="Pillar","Pillar guide (entity hub)",IF(B125="Cluster","Hub page for this attribute",IF(INDEX(Values!$C$3:$C$502,P125)="Yes","Entity page (profile of the sub-entity)",IFERROR(INDEX(Lists!$B$3:$B$6,MATCH(J125,Lists!$A$3:$A$6,0)),"Article")))))</f>
        <v/>
      </c>
      <c r="L125">
        <f>IF(B125="Pillar",Entity!$B$6&amp;"",IF(B125="Cluster",INDEX(Attributes!$I$3:$I$52,Q125)&amp;"",IF(B125="Supporting",INDEX(Values!$F$3:$F$502,P125)&amp;"","")))</f>
        <v/>
      </c>
      <c r="M125">
        <f>IF(B125="","",IF(L125&lt;&gt;"","Covered","Gap"))</f>
        <v/>
      </c>
      <c r="N125">
        <f>IF(B125="Pillar",SUMIFS(Values!$E$3:$E$502,Values!$I$3:$I$502,"Yes"),IF(B125="Cluster",SUMIFS(Values!$E$3:$E$502,Values!$A$3:$A$502,SUBSTITUTE(SUBSTITUTE(C125,"?","~?"),"*","~*"),Values!$I$3:$I$502,"Yes"),IF(B125="Supporting",N(INDEX(Values!$E$3:$E$502,P125)),"")))</f>
        <v/>
      </c>
      <c r="O125">
        <f>IF(B125="","",IF(B125="Pillar",100,IF(B125="Cluster",N(INDEX(Attributes!$E$3:$E$52,Q125))*25+IF(M125="Gap",10,0),N(INDEX(Attributes!$E$3:$E$52,Q125))*20+MIN(20,ROUND(LOG10(N(N125)+1)*5,0))+IF(M125="Gap",10,0)+IF(INDEX(Values!$D$3:$D$502,P125)="Yes",5,0))))</f>
        <v/>
      </c>
      <c r="P125">
        <f>IF(B125="Supporting",MATCH(A125-1-Entity!$B$14,Values!$J$3:$J$502,0),"")</f>
        <v/>
      </c>
      <c r="Q125">
        <f>IF(C125="","",MATCH(C125,Attributes!$A$3:$A$52,0))</f>
        <v/>
      </c>
      <c r="R125">
        <f>IF(B125="Pillar",SUBSTITUTE(Entity!$B$7,"{entity}",LOWER(Entity!$B$3)),IF(B125="Cluster",IF(INDEX(Attributes!$G$3:$G$52,Q125)&lt;&gt;"",INDEX(Attributes!$G$3:$G$52,Q125),SUBSTITUTE(SUBSTITUTE(Entity!$B$8,"{entity}",LOWER(Entity!$B$3)),"{attribute}",LOWER(C125))),IF(B125="Supporting",SUBSTITUTE(SUBSTITUTE(SUBSTITUTE(IF(INDEX(Attributes!$H$3:$H$52,Q125)&lt;&gt;"",INDEX(Attributes!$H$3:$H$52,Q125),Entity!$B$9),"{entity}",LOWER(Entity!$B$3)),"{value}",D125),"{attribute}",LOWER(C125)),"")))</f>
        <v/>
      </c>
    </row>
    <row r="126">
      <c r="A126">
        <f>ROW()-2</f>
        <v/>
      </c>
      <c r="B126">
        <f>IF(A126=1,"Pillar",IF(A126&lt;=1+Entity!$B$14,"Cluster",IF(A126&lt;=1+Entity!$B$14+Entity!$B$15,"Supporting","")))</f>
        <v/>
      </c>
      <c r="C126">
        <f>IF(B126="Cluster",INDEX(Attributes!$A$3:$A$52,MATCH(A126-1,Attributes!$P$3:$P$52,0)),IF(B126="Supporting",INDEX(Values!$A$3:$A$502,P126),""))</f>
        <v/>
      </c>
      <c r="D126">
        <f>IF(B126="Supporting",INDEX(Values!$B$3:$B$502,P126),"")</f>
        <v/>
      </c>
      <c r="E126">
        <f>IF(R126="","",UPPER(LEFT(R126,1))&amp;MID(R126,2,500))</f>
        <v/>
      </c>
      <c r="F126">
        <f>IF(E126="","",LOWER(SUBSTITUTE(SUBSTITUTE(SUBSTITUTE(SUBSTITUTE(SUBSTITUTE(SUBSTITUTE(SUBSTITUTE(TRIM(E126),":",""),",",""),"'",""),"&amp;","and"),"£",""),"  "," ")," ","-")))</f>
        <v/>
      </c>
      <c r="G126">
        <f>IF(B126="Cluster",$E$3,IF(B126="Supporting",INDEX($E$3:$E$553,MATCH(C126,$C$3:$C$553,0)),""))</f>
        <v/>
      </c>
      <c r="H126">
        <f>IF(B126="Supporting",IFERROR(INDEX($E$3:$E$553,1+Entity!$B$14+INDEX(Values!$O$3:$O$502,P126)),""),IF(B126="Cluster",IF(Entity!$B$14&lt;2,"",INDEX($E$3:$E$553,IF(A126-1=Entity!$B$14,2,A126+1))),""))</f>
        <v/>
      </c>
      <c r="I126">
        <f>IF(B126="Pillar",Entity!$B$14&amp;" cluster pages",IF(B126="Cluster",(COUNTIF($C$3:$C$553,SUBSTITUTE(SUBSTITUTE(C126,"?","~?"),"*","~*"))-1)&amp;" supporting pages",""))</f>
        <v/>
      </c>
      <c r="J126">
        <f>IF(B126="Pillar","Informational",IF(OR(B126="Cluster",B126="Supporting"),INDEX(Attributes!$D$3:$D$52,Q126)&amp;"",""))</f>
        <v/>
      </c>
      <c r="K126">
        <f>IF(B126="","",IF(B126="Pillar","Pillar guide (entity hub)",IF(B126="Cluster","Hub page for this attribute",IF(INDEX(Values!$C$3:$C$502,P126)="Yes","Entity page (profile of the sub-entity)",IFERROR(INDEX(Lists!$B$3:$B$6,MATCH(J126,Lists!$A$3:$A$6,0)),"Article")))))</f>
        <v/>
      </c>
      <c r="L126">
        <f>IF(B126="Pillar",Entity!$B$6&amp;"",IF(B126="Cluster",INDEX(Attributes!$I$3:$I$52,Q126)&amp;"",IF(B126="Supporting",INDEX(Values!$F$3:$F$502,P126)&amp;"","")))</f>
        <v/>
      </c>
      <c r="M126">
        <f>IF(B126="","",IF(L126&lt;&gt;"","Covered","Gap"))</f>
        <v/>
      </c>
      <c r="N126">
        <f>IF(B126="Pillar",SUMIFS(Values!$E$3:$E$502,Values!$I$3:$I$502,"Yes"),IF(B126="Cluster",SUMIFS(Values!$E$3:$E$502,Values!$A$3:$A$502,SUBSTITUTE(SUBSTITUTE(C126,"?","~?"),"*","~*"),Values!$I$3:$I$502,"Yes"),IF(B126="Supporting",N(INDEX(Values!$E$3:$E$502,P126)),"")))</f>
        <v/>
      </c>
      <c r="O126">
        <f>IF(B126="","",IF(B126="Pillar",100,IF(B126="Cluster",N(INDEX(Attributes!$E$3:$E$52,Q126))*25+IF(M126="Gap",10,0),N(INDEX(Attributes!$E$3:$E$52,Q126))*20+MIN(20,ROUND(LOG10(N(N126)+1)*5,0))+IF(M126="Gap",10,0)+IF(INDEX(Values!$D$3:$D$502,P126)="Yes",5,0))))</f>
        <v/>
      </c>
      <c r="P126">
        <f>IF(B126="Supporting",MATCH(A126-1-Entity!$B$14,Values!$J$3:$J$502,0),"")</f>
        <v/>
      </c>
      <c r="Q126">
        <f>IF(C126="","",MATCH(C126,Attributes!$A$3:$A$52,0))</f>
        <v/>
      </c>
      <c r="R126">
        <f>IF(B126="Pillar",SUBSTITUTE(Entity!$B$7,"{entity}",LOWER(Entity!$B$3)),IF(B126="Cluster",IF(INDEX(Attributes!$G$3:$G$52,Q126)&lt;&gt;"",INDEX(Attributes!$G$3:$G$52,Q126),SUBSTITUTE(SUBSTITUTE(Entity!$B$8,"{entity}",LOWER(Entity!$B$3)),"{attribute}",LOWER(C126))),IF(B126="Supporting",SUBSTITUTE(SUBSTITUTE(SUBSTITUTE(IF(INDEX(Attributes!$H$3:$H$52,Q126)&lt;&gt;"",INDEX(Attributes!$H$3:$H$52,Q126),Entity!$B$9),"{entity}",LOWER(Entity!$B$3)),"{value}",D126),"{attribute}",LOWER(C126)),"")))</f>
        <v/>
      </c>
    </row>
    <row r="127">
      <c r="A127">
        <f>ROW()-2</f>
        <v/>
      </c>
      <c r="B127">
        <f>IF(A127=1,"Pillar",IF(A127&lt;=1+Entity!$B$14,"Cluster",IF(A127&lt;=1+Entity!$B$14+Entity!$B$15,"Supporting","")))</f>
        <v/>
      </c>
      <c r="C127">
        <f>IF(B127="Cluster",INDEX(Attributes!$A$3:$A$52,MATCH(A127-1,Attributes!$P$3:$P$52,0)),IF(B127="Supporting",INDEX(Values!$A$3:$A$502,P127),""))</f>
        <v/>
      </c>
      <c r="D127">
        <f>IF(B127="Supporting",INDEX(Values!$B$3:$B$502,P127),"")</f>
        <v/>
      </c>
      <c r="E127">
        <f>IF(R127="","",UPPER(LEFT(R127,1))&amp;MID(R127,2,500))</f>
        <v/>
      </c>
      <c r="F127">
        <f>IF(E127="","",LOWER(SUBSTITUTE(SUBSTITUTE(SUBSTITUTE(SUBSTITUTE(SUBSTITUTE(SUBSTITUTE(SUBSTITUTE(TRIM(E127),":",""),",",""),"'",""),"&amp;","and"),"£",""),"  "," ")," ","-")))</f>
        <v/>
      </c>
      <c r="G127">
        <f>IF(B127="Cluster",$E$3,IF(B127="Supporting",INDEX($E$3:$E$553,MATCH(C127,$C$3:$C$553,0)),""))</f>
        <v/>
      </c>
      <c r="H127">
        <f>IF(B127="Supporting",IFERROR(INDEX($E$3:$E$553,1+Entity!$B$14+INDEX(Values!$O$3:$O$502,P127)),""),IF(B127="Cluster",IF(Entity!$B$14&lt;2,"",INDEX($E$3:$E$553,IF(A127-1=Entity!$B$14,2,A127+1))),""))</f>
        <v/>
      </c>
      <c r="I127">
        <f>IF(B127="Pillar",Entity!$B$14&amp;" cluster pages",IF(B127="Cluster",(COUNTIF($C$3:$C$553,SUBSTITUTE(SUBSTITUTE(C127,"?","~?"),"*","~*"))-1)&amp;" supporting pages",""))</f>
        <v/>
      </c>
      <c r="J127">
        <f>IF(B127="Pillar","Informational",IF(OR(B127="Cluster",B127="Supporting"),INDEX(Attributes!$D$3:$D$52,Q127)&amp;"",""))</f>
        <v/>
      </c>
      <c r="K127">
        <f>IF(B127="","",IF(B127="Pillar","Pillar guide (entity hub)",IF(B127="Cluster","Hub page for this attribute",IF(INDEX(Values!$C$3:$C$502,P127)="Yes","Entity page (profile of the sub-entity)",IFERROR(INDEX(Lists!$B$3:$B$6,MATCH(J127,Lists!$A$3:$A$6,0)),"Article")))))</f>
        <v/>
      </c>
      <c r="L127">
        <f>IF(B127="Pillar",Entity!$B$6&amp;"",IF(B127="Cluster",INDEX(Attributes!$I$3:$I$52,Q127)&amp;"",IF(B127="Supporting",INDEX(Values!$F$3:$F$502,P127)&amp;"","")))</f>
        <v/>
      </c>
      <c r="M127">
        <f>IF(B127="","",IF(L127&lt;&gt;"","Covered","Gap"))</f>
        <v/>
      </c>
      <c r="N127">
        <f>IF(B127="Pillar",SUMIFS(Values!$E$3:$E$502,Values!$I$3:$I$502,"Yes"),IF(B127="Cluster",SUMIFS(Values!$E$3:$E$502,Values!$A$3:$A$502,SUBSTITUTE(SUBSTITUTE(C127,"?","~?"),"*","~*"),Values!$I$3:$I$502,"Yes"),IF(B127="Supporting",N(INDEX(Values!$E$3:$E$502,P127)),"")))</f>
        <v/>
      </c>
      <c r="O127">
        <f>IF(B127="","",IF(B127="Pillar",100,IF(B127="Cluster",N(INDEX(Attributes!$E$3:$E$52,Q127))*25+IF(M127="Gap",10,0),N(INDEX(Attributes!$E$3:$E$52,Q127))*20+MIN(20,ROUND(LOG10(N(N127)+1)*5,0))+IF(M127="Gap",10,0)+IF(INDEX(Values!$D$3:$D$502,P127)="Yes",5,0))))</f>
        <v/>
      </c>
      <c r="P127">
        <f>IF(B127="Supporting",MATCH(A127-1-Entity!$B$14,Values!$J$3:$J$502,0),"")</f>
        <v/>
      </c>
      <c r="Q127">
        <f>IF(C127="","",MATCH(C127,Attributes!$A$3:$A$52,0))</f>
        <v/>
      </c>
      <c r="R127">
        <f>IF(B127="Pillar",SUBSTITUTE(Entity!$B$7,"{entity}",LOWER(Entity!$B$3)),IF(B127="Cluster",IF(INDEX(Attributes!$G$3:$G$52,Q127)&lt;&gt;"",INDEX(Attributes!$G$3:$G$52,Q127),SUBSTITUTE(SUBSTITUTE(Entity!$B$8,"{entity}",LOWER(Entity!$B$3)),"{attribute}",LOWER(C127))),IF(B127="Supporting",SUBSTITUTE(SUBSTITUTE(SUBSTITUTE(IF(INDEX(Attributes!$H$3:$H$52,Q127)&lt;&gt;"",INDEX(Attributes!$H$3:$H$52,Q127),Entity!$B$9),"{entity}",LOWER(Entity!$B$3)),"{value}",D127),"{attribute}",LOWER(C127)),"")))</f>
        <v/>
      </c>
    </row>
    <row r="128">
      <c r="A128">
        <f>ROW()-2</f>
        <v/>
      </c>
      <c r="B128">
        <f>IF(A128=1,"Pillar",IF(A128&lt;=1+Entity!$B$14,"Cluster",IF(A128&lt;=1+Entity!$B$14+Entity!$B$15,"Supporting","")))</f>
        <v/>
      </c>
      <c r="C128">
        <f>IF(B128="Cluster",INDEX(Attributes!$A$3:$A$52,MATCH(A128-1,Attributes!$P$3:$P$52,0)),IF(B128="Supporting",INDEX(Values!$A$3:$A$502,P128),""))</f>
        <v/>
      </c>
      <c r="D128">
        <f>IF(B128="Supporting",INDEX(Values!$B$3:$B$502,P128),"")</f>
        <v/>
      </c>
      <c r="E128">
        <f>IF(R128="","",UPPER(LEFT(R128,1))&amp;MID(R128,2,500))</f>
        <v/>
      </c>
      <c r="F128">
        <f>IF(E128="","",LOWER(SUBSTITUTE(SUBSTITUTE(SUBSTITUTE(SUBSTITUTE(SUBSTITUTE(SUBSTITUTE(SUBSTITUTE(TRIM(E128),":",""),",",""),"'",""),"&amp;","and"),"£",""),"  "," ")," ","-")))</f>
        <v/>
      </c>
      <c r="G128">
        <f>IF(B128="Cluster",$E$3,IF(B128="Supporting",INDEX($E$3:$E$553,MATCH(C128,$C$3:$C$553,0)),""))</f>
        <v/>
      </c>
      <c r="H128">
        <f>IF(B128="Supporting",IFERROR(INDEX($E$3:$E$553,1+Entity!$B$14+INDEX(Values!$O$3:$O$502,P128)),""),IF(B128="Cluster",IF(Entity!$B$14&lt;2,"",INDEX($E$3:$E$553,IF(A128-1=Entity!$B$14,2,A128+1))),""))</f>
        <v/>
      </c>
      <c r="I128">
        <f>IF(B128="Pillar",Entity!$B$14&amp;" cluster pages",IF(B128="Cluster",(COUNTIF($C$3:$C$553,SUBSTITUTE(SUBSTITUTE(C128,"?","~?"),"*","~*"))-1)&amp;" supporting pages",""))</f>
        <v/>
      </c>
      <c r="J128">
        <f>IF(B128="Pillar","Informational",IF(OR(B128="Cluster",B128="Supporting"),INDEX(Attributes!$D$3:$D$52,Q128)&amp;"",""))</f>
        <v/>
      </c>
      <c r="K128">
        <f>IF(B128="","",IF(B128="Pillar","Pillar guide (entity hub)",IF(B128="Cluster","Hub page for this attribute",IF(INDEX(Values!$C$3:$C$502,P128)="Yes","Entity page (profile of the sub-entity)",IFERROR(INDEX(Lists!$B$3:$B$6,MATCH(J128,Lists!$A$3:$A$6,0)),"Article")))))</f>
        <v/>
      </c>
      <c r="L128">
        <f>IF(B128="Pillar",Entity!$B$6&amp;"",IF(B128="Cluster",INDEX(Attributes!$I$3:$I$52,Q128)&amp;"",IF(B128="Supporting",INDEX(Values!$F$3:$F$502,P128)&amp;"","")))</f>
        <v/>
      </c>
      <c r="M128">
        <f>IF(B128="","",IF(L128&lt;&gt;"","Covered","Gap"))</f>
        <v/>
      </c>
      <c r="N128">
        <f>IF(B128="Pillar",SUMIFS(Values!$E$3:$E$502,Values!$I$3:$I$502,"Yes"),IF(B128="Cluster",SUMIFS(Values!$E$3:$E$502,Values!$A$3:$A$502,SUBSTITUTE(SUBSTITUTE(C128,"?","~?"),"*","~*"),Values!$I$3:$I$502,"Yes"),IF(B128="Supporting",N(INDEX(Values!$E$3:$E$502,P128)),"")))</f>
        <v/>
      </c>
      <c r="O128">
        <f>IF(B128="","",IF(B128="Pillar",100,IF(B128="Cluster",N(INDEX(Attributes!$E$3:$E$52,Q128))*25+IF(M128="Gap",10,0),N(INDEX(Attributes!$E$3:$E$52,Q128))*20+MIN(20,ROUND(LOG10(N(N128)+1)*5,0))+IF(M128="Gap",10,0)+IF(INDEX(Values!$D$3:$D$502,P128)="Yes",5,0))))</f>
        <v/>
      </c>
      <c r="P128">
        <f>IF(B128="Supporting",MATCH(A128-1-Entity!$B$14,Values!$J$3:$J$502,0),"")</f>
        <v/>
      </c>
      <c r="Q128">
        <f>IF(C128="","",MATCH(C128,Attributes!$A$3:$A$52,0))</f>
        <v/>
      </c>
      <c r="R128">
        <f>IF(B128="Pillar",SUBSTITUTE(Entity!$B$7,"{entity}",LOWER(Entity!$B$3)),IF(B128="Cluster",IF(INDEX(Attributes!$G$3:$G$52,Q128)&lt;&gt;"",INDEX(Attributes!$G$3:$G$52,Q128),SUBSTITUTE(SUBSTITUTE(Entity!$B$8,"{entity}",LOWER(Entity!$B$3)),"{attribute}",LOWER(C128))),IF(B128="Supporting",SUBSTITUTE(SUBSTITUTE(SUBSTITUTE(IF(INDEX(Attributes!$H$3:$H$52,Q128)&lt;&gt;"",INDEX(Attributes!$H$3:$H$52,Q128),Entity!$B$9),"{entity}",LOWER(Entity!$B$3)),"{value}",D128),"{attribute}",LOWER(C128)),"")))</f>
        <v/>
      </c>
    </row>
    <row r="129">
      <c r="A129">
        <f>ROW()-2</f>
        <v/>
      </c>
      <c r="B129">
        <f>IF(A129=1,"Pillar",IF(A129&lt;=1+Entity!$B$14,"Cluster",IF(A129&lt;=1+Entity!$B$14+Entity!$B$15,"Supporting","")))</f>
        <v/>
      </c>
      <c r="C129">
        <f>IF(B129="Cluster",INDEX(Attributes!$A$3:$A$52,MATCH(A129-1,Attributes!$P$3:$P$52,0)),IF(B129="Supporting",INDEX(Values!$A$3:$A$502,P129),""))</f>
        <v/>
      </c>
      <c r="D129">
        <f>IF(B129="Supporting",INDEX(Values!$B$3:$B$502,P129),"")</f>
        <v/>
      </c>
      <c r="E129">
        <f>IF(R129="","",UPPER(LEFT(R129,1))&amp;MID(R129,2,500))</f>
        <v/>
      </c>
      <c r="F129">
        <f>IF(E129="","",LOWER(SUBSTITUTE(SUBSTITUTE(SUBSTITUTE(SUBSTITUTE(SUBSTITUTE(SUBSTITUTE(SUBSTITUTE(TRIM(E129),":",""),",",""),"'",""),"&amp;","and"),"£",""),"  "," ")," ","-")))</f>
        <v/>
      </c>
      <c r="G129">
        <f>IF(B129="Cluster",$E$3,IF(B129="Supporting",INDEX($E$3:$E$553,MATCH(C129,$C$3:$C$553,0)),""))</f>
        <v/>
      </c>
      <c r="H129">
        <f>IF(B129="Supporting",IFERROR(INDEX($E$3:$E$553,1+Entity!$B$14+INDEX(Values!$O$3:$O$502,P129)),""),IF(B129="Cluster",IF(Entity!$B$14&lt;2,"",INDEX($E$3:$E$553,IF(A129-1=Entity!$B$14,2,A129+1))),""))</f>
        <v/>
      </c>
      <c r="I129">
        <f>IF(B129="Pillar",Entity!$B$14&amp;" cluster pages",IF(B129="Cluster",(COUNTIF($C$3:$C$553,SUBSTITUTE(SUBSTITUTE(C129,"?","~?"),"*","~*"))-1)&amp;" supporting pages",""))</f>
        <v/>
      </c>
      <c r="J129">
        <f>IF(B129="Pillar","Informational",IF(OR(B129="Cluster",B129="Supporting"),INDEX(Attributes!$D$3:$D$52,Q129)&amp;"",""))</f>
        <v/>
      </c>
      <c r="K129">
        <f>IF(B129="","",IF(B129="Pillar","Pillar guide (entity hub)",IF(B129="Cluster","Hub page for this attribute",IF(INDEX(Values!$C$3:$C$502,P129)="Yes","Entity page (profile of the sub-entity)",IFERROR(INDEX(Lists!$B$3:$B$6,MATCH(J129,Lists!$A$3:$A$6,0)),"Article")))))</f>
        <v/>
      </c>
      <c r="L129">
        <f>IF(B129="Pillar",Entity!$B$6&amp;"",IF(B129="Cluster",INDEX(Attributes!$I$3:$I$52,Q129)&amp;"",IF(B129="Supporting",INDEX(Values!$F$3:$F$502,P129)&amp;"","")))</f>
        <v/>
      </c>
      <c r="M129">
        <f>IF(B129="","",IF(L129&lt;&gt;"","Covered","Gap"))</f>
        <v/>
      </c>
      <c r="N129">
        <f>IF(B129="Pillar",SUMIFS(Values!$E$3:$E$502,Values!$I$3:$I$502,"Yes"),IF(B129="Cluster",SUMIFS(Values!$E$3:$E$502,Values!$A$3:$A$502,SUBSTITUTE(SUBSTITUTE(C129,"?","~?"),"*","~*"),Values!$I$3:$I$502,"Yes"),IF(B129="Supporting",N(INDEX(Values!$E$3:$E$502,P129)),"")))</f>
        <v/>
      </c>
      <c r="O129">
        <f>IF(B129="","",IF(B129="Pillar",100,IF(B129="Cluster",N(INDEX(Attributes!$E$3:$E$52,Q129))*25+IF(M129="Gap",10,0),N(INDEX(Attributes!$E$3:$E$52,Q129))*20+MIN(20,ROUND(LOG10(N(N129)+1)*5,0))+IF(M129="Gap",10,0)+IF(INDEX(Values!$D$3:$D$502,P129)="Yes",5,0))))</f>
        <v/>
      </c>
      <c r="P129">
        <f>IF(B129="Supporting",MATCH(A129-1-Entity!$B$14,Values!$J$3:$J$502,0),"")</f>
        <v/>
      </c>
      <c r="Q129">
        <f>IF(C129="","",MATCH(C129,Attributes!$A$3:$A$52,0))</f>
        <v/>
      </c>
      <c r="R129">
        <f>IF(B129="Pillar",SUBSTITUTE(Entity!$B$7,"{entity}",LOWER(Entity!$B$3)),IF(B129="Cluster",IF(INDEX(Attributes!$G$3:$G$52,Q129)&lt;&gt;"",INDEX(Attributes!$G$3:$G$52,Q129),SUBSTITUTE(SUBSTITUTE(Entity!$B$8,"{entity}",LOWER(Entity!$B$3)),"{attribute}",LOWER(C129))),IF(B129="Supporting",SUBSTITUTE(SUBSTITUTE(SUBSTITUTE(IF(INDEX(Attributes!$H$3:$H$52,Q129)&lt;&gt;"",INDEX(Attributes!$H$3:$H$52,Q129),Entity!$B$9),"{entity}",LOWER(Entity!$B$3)),"{value}",D129),"{attribute}",LOWER(C129)),"")))</f>
        <v/>
      </c>
    </row>
    <row r="130">
      <c r="A130">
        <f>ROW()-2</f>
        <v/>
      </c>
      <c r="B130">
        <f>IF(A130=1,"Pillar",IF(A130&lt;=1+Entity!$B$14,"Cluster",IF(A130&lt;=1+Entity!$B$14+Entity!$B$15,"Supporting","")))</f>
        <v/>
      </c>
      <c r="C130">
        <f>IF(B130="Cluster",INDEX(Attributes!$A$3:$A$52,MATCH(A130-1,Attributes!$P$3:$P$52,0)),IF(B130="Supporting",INDEX(Values!$A$3:$A$502,P130),""))</f>
        <v/>
      </c>
      <c r="D130">
        <f>IF(B130="Supporting",INDEX(Values!$B$3:$B$502,P130),"")</f>
        <v/>
      </c>
      <c r="E130">
        <f>IF(R130="","",UPPER(LEFT(R130,1))&amp;MID(R130,2,500))</f>
        <v/>
      </c>
      <c r="F130">
        <f>IF(E130="","",LOWER(SUBSTITUTE(SUBSTITUTE(SUBSTITUTE(SUBSTITUTE(SUBSTITUTE(SUBSTITUTE(SUBSTITUTE(TRIM(E130),":",""),",",""),"'",""),"&amp;","and"),"£",""),"  "," ")," ","-")))</f>
        <v/>
      </c>
      <c r="G130">
        <f>IF(B130="Cluster",$E$3,IF(B130="Supporting",INDEX($E$3:$E$553,MATCH(C130,$C$3:$C$553,0)),""))</f>
        <v/>
      </c>
      <c r="H130">
        <f>IF(B130="Supporting",IFERROR(INDEX($E$3:$E$553,1+Entity!$B$14+INDEX(Values!$O$3:$O$502,P130)),""),IF(B130="Cluster",IF(Entity!$B$14&lt;2,"",INDEX($E$3:$E$553,IF(A130-1=Entity!$B$14,2,A130+1))),""))</f>
        <v/>
      </c>
      <c r="I130">
        <f>IF(B130="Pillar",Entity!$B$14&amp;" cluster pages",IF(B130="Cluster",(COUNTIF($C$3:$C$553,SUBSTITUTE(SUBSTITUTE(C130,"?","~?"),"*","~*"))-1)&amp;" supporting pages",""))</f>
        <v/>
      </c>
      <c r="J130">
        <f>IF(B130="Pillar","Informational",IF(OR(B130="Cluster",B130="Supporting"),INDEX(Attributes!$D$3:$D$52,Q130)&amp;"",""))</f>
        <v/>
      </c>
      <c r="K130">
        <f>IF(B130="","",IF(B130="Pillar","Pillar guide (entity hub)",IF(B130="Cluster","Hub page for this attribute",IF(INDEX(Values!$C$3:$C$502,P130)="Yes","Entity page (profile of the sub-entity)",IFERROR(INDEX(Lists!$B$3:$B$6,MATCH(J130,Lists!$A$3:$A$6,0)),"Article")))))</f>
        <v/>
      </c>
      <c r="L130">
        <f>IF(B130="Pillar",Entity!$B$6&amp;"",IF(B130="Cluster",INDEX(Attributes!$I$3:$I$52,Q130)&amp;"",IF(B130="Supporting",INDEX(Values!$F$3:$F$502,P130)&amp;"","")))</f>
        <v/>
      </c>
      <c r="M130">
        <f>IF(B130="","",IF(L130&lt;&gt;"","Covered","Gap"))</f>
        <v/>
      </c>
      <c r="N130">
        <f>IF(B130="Pillar",SUMIFS(Values!$E$3:$E$502,Values!$I$3:$I$502,"Yes"),IF(B130="Cluster",SUMIFS(Values!$E$3:$E$502,Values!$A$3:$A$502,SUBSTITUTE(SUBSTITUTE(C130,"?","~?"),"*","~*"),Values!$I$3:$I$502,"Yes"),IF(B130="Supporting",N(INDEX(Values!$E$3:$E$502,P130)),"")))</f>
        <v/>
      </c>
      <c r="O130">
        <f>IF(B130="","",IF(B130="Pillar",100,IF(B130="Cluster",N(INDEX(Attributes!$E$3:$E$52,Q130))*25+IF(M130="Gap",10,0),N(INDEX(Attributes!$E$3:$E$52,Q130))*20+MIN(20,ROUND(LOG10(N(N130)+1)*5,0))+IF(M130="Gap",10,0)+IF(INDEX(Values!$D$3:$D$502,P130)="Yes",5,0))))</f>
        <v/>
      </c>
      <c r="P130">
        <f>IF(B130="Supporting",MATCH(A130-1-Entity!$B$14,Values!$J$3:$J$502,0),"")</f>
        <v/>
      </c>
      <c r="Q130">
        <f>IF(C130="","",MATCH(C130,Attributes!$A$3:$A$52,0))</f>
        <v/>
      </c>
      <c r="R130">
        <f>IF(B130="Pillar",SUBSTITUTE(Entity!$B$7,"{entity}",LOWER(Entity!$B$3)),IF(B130="Cluster",IF(INDEX(Attributes!$G$3:$G$52,Q130)&lt;&gt;"",INDEX(Attributes!$G$3:$G$52,Q130),SUBSTITUTE(SUBSTITUTE(Entity!$B$8,"{entity}",LOWER(Entity!$B$3)),"{attribute}",LOWER(C130))),IF(B130="Supporting",SUBSTITUTE(SUBSTITUTE(SUBSTITUTE(IF(INDEX(Attributes!$H$3:$H$52,Q130)&lt;&gt;"",INDEX(Attributes!$H$3:$H$52,Q130),Entity!$B$9),"{entity}",LOWER(Entity!$B$3)),"{value}",D130),"{attribute}",LOWER(C130)),"")))</f>
        <v/>
      </c>
    </row>
    <row r="131">
      <c r="A131">
        <f>ROW()-2</f>
        <v/>
      </c>
      <c r="B131">
        <f>IF(A131=1,"Pillar",IF(A131&lt;=1+Entity!$B$14,"Cluster",IF(A131&lt;=1+Entity!$B$14+Entity!$B$15,"Supporting","")))</f>
        <v/>
      </c>
      <c r="C131">
        <f>IF(B131="Cluster",INDEX(Attributes!$A$3:$A$52,MATCH(A131-1,Attributes!$P$3:$P$52,0)),IF(B131="Supporting",INDEX(Values!$A$3:$A$502,P131),""))</f>
        <v/>
      </c>
      <c r="D131">
        <f>IF(B131="Supporting",INDEX(Values!$B$3:$B$502,P131),"")</f>
        <v/>
      </c>
      <c r="E131">
        <f>IF(R131="","",UPPER(LEFT(R131,1))&amp;MID(R131,2,500))</f>
        <v/>
      </c>
      <c r="F131">
        <f>IF(E131="","",LOWER(SUBSTITUTE(SUBSTITUTE(SUBSTITUTE(SUBSTITUTE(SUBSTITUTE(SUBSTITUTE(SUBSTITUTE(TRIM(E131),":",""),",",""),"'",""),"&amp;","and"),"£",""),"  "," ")," ","-")))</f>
        <v/>
      </c>
      <c r="G131">
        <f>IF(B131="Cluster",$E$3,IF(B131="Supporting",INDEX($E$3:$E$553,MATCH(C131,$C$3:$C$553,0)),""))</f>
        <v/>
      </c>
      <c r="H131">
        <f>IF(B131="Supporting",IFERROR(INDEX($E$3:$E$553,1+Entity!$B$14+INDEX(Values!$O$3:$O$502,P131)),""),IF(B131="Cluster",IF(Entity!$B$14&lt;2,"",INDEX($E$3:$E$553,IF(A131-1=Entity!$B$14,2,A131+1))),""))</f>
        <v/>
      </c>
      <c r="I131">
        <f>IF(B131="Pillar",Entity!$B$14&amp;" cluster pages",IF(B131="Cluster",(COUNTIF($C$3:$C$553,SUBSTITUTE(SUBSTITUTE(C131,"?","~?"),"*","~*"))-1)&amp;" supporting pages",""))</f>
        <v/>
      </c>
      <c r="J131">
        <f>IF(B131="Pillar","Informational",IF(OR(B131="Cluster",B131="Supporting"),INDEX(Attributes!$D$3:$D$52,Q131)&amp;"",""))</f>
        <v/>
      </c>
      <c r="K131">
        <f>IF(B131="","",IF(B131="Pillar","Pillar guide (entity hub)",IF(B131="Cluster","Hub page for this attribute",IF(INDEX(Values!$C$3:$C$502,P131)="Yes","Entity page (profile of the sub-entity)",IFERROR(INDEX(Lists!$B$3:$B$6,MATCH(J131,Lists!$A$3:$A$6,0)),"Article")))))</f>
        <v/>
      </c>
      <c r="L131">
        <f>IF(B131="Pillar",Entity!$B$6&amp;"",IF(B131="Cluster",INDEX(Attributes!$I$3:$I$52,Q131)&amp;"",IF(B131="Supporting",INDEX(Values!$F$3:$F$502,P131)&amp;"","")))</f>
        <v/>
      </c>
      <c r="M131">
        <f>IF(B131="","",IF(L131&lt;&gt;"","Covered","Gap"))</f>
        <v/>
      </c>
      <c r="N131">
        <f>IF(B131="Pillar",SUMIFS(Values!$E$3:$E$502,Values!$I$3:$I$502,"Yes"),IF(B131="Cluster",SUMIFS(Values!$E$3:$E$502,Values!$A$3:$A$502,SUBSTITUTE(SUBSTITUTE(C131,"?","~?"),"*","~*"),Values!$I$3:$I$502,"Yes"),IF(B131="Supporting",N(INDEX(Values!$E$3:$E$502,P131)),"")))</f>
        <v/>
      </c>
      <c r="O131">
        <f>IF(B131="","",IF(B131="Pillar",100,IF(B131="Cluster",N(INDEX(Attributes!$E$3:$E$52,Q131))*25+IF(M131="Gap",10,0),N(INDEX(Attributes!$E$3:$E$52,Q131))*20+MIN(20,ROUND(LOG10(N(N131)+1)*5,0))+IF(M131="Gap",10,0)+IF(INDEX(Values!$D$3:$D$502,P131)="Yes",5,0))))</f>
        <v/>
      </c>
      <c r="P131">
        <f>IF(B131="Supporting",MATCH(A131-1-Entity!$B$14,Values!$J$3:$J$502,0),"")</f>
        <v/>
      </c>
      <c r="Q131">
        <f>IF(C131="","",MATCH(C131,Attributes!$A$3:$A$52,0))</f>
        <v/>
      </c>
      <c r="R131">
        <f>IF(B131="Pillar",SUBSTITUTE(Entity!$B$7,"{entity}",LOWER(Entity!$B$3)),IF(B131="Cluster",IF(INDEX(Attributes!$G$3:$G$52,Q131)&lt;&gt;"",INDEX(Attributes!$G$3:$G$52,Q131),SUBSTITUTE(SUBSTITUTE(Entity!$B$8,"{entity}",LOWER(Entity!$B$3)),"{attribute}",LOWER(C131))),IF(B131="Supporting",SUBSTITUTE(SUBSTITUTE(SUBSTITUTE(IF(INDEX(Attributes!$H$3:$H$52,Q131)&lt;&gt;"",INDEX(Attributes!$H$3:$H$52,Q131),Entity!$B$9),"{entity}",LOWER(Entity!$B$3)),"{value}",D131),"{attribute}",LOWER(C131)),"")))</f>
        <v/>
      </c>
    </row>
    <row r="132">
      <c r="A132">
        <f>ROW()-2</f>
        <v/>
      </c>
      <c r="B132">
        <f>IF(A132=1,"Pillar",IF(A132&lt;=1+Entity!$B$14,"Cluster",IF(A132&lt;=1+Entity!$B$14+Entity!$B$15,"Supporting","")))</f>
        <v/>
      </c>
      <c r="C132">
        <f>IF(B132="Cluster",INDEX(Attributes!$A$3:$A$52,MATCH(A132-1,Attributes!$P$3:$P$52,0)),IF(B132="Supporting",INDEX(Values!$A$3:$A$502,P132),""))</f>
        <v/>
      </c>
      <c r="D132">
        <f>IF(B132="Supporting",INDEX(Values!$B$3:$B$502,P132),"")</f>
        <v/>
      </c>
      <c r="E132">
        <f>IF(R132="","",UPPER(LEFT(R132,1))&amp;MID(R132,2,500))</f>
        <v/>
      </c>
      <c r="F132">
        <f>IF(E132="","",LOWER(SUBSTITUTE(SUBSTITUTE(SUBSTITUTE(SUBSTITUTE(SUBSTITUTE(SUBSTITUTE(SUBSTITUTE(TRIM(E132),":",""),",",""),"'",""),"&amp;","and"),"£",""),"  "," ")," ","-")))</f>
        <v/>
      </c>
      <c r="G132">
        <f>IF(B132="Cluster",$E$3,IF(B132="Supporting",INDEX($E$3:$E$553,MATCH(C132,$C$3:$C$553,0)),""))</f>
        <v/>
      </c>
      <c r="H132">
        <f>IF(B132="Supporting",IFERROR(INDEX($E$3:$E$553,1+Entity!$B$14+INDEX(Values!$O$3:$O$502,P132)),""),IF(B132="Cluster",IF(Entity!$B$14&lt;2,"",INDEX($E$3:$E$553,IF(A132-1=Entity!$B$14,2,A132+1))),""))</f>
        <v/>
      </c>
      <c r="I132">
        <f>IF(B132="Pillar",Entity!$B$14&amp;" cluster pages",IF(B132="Cluster",(COUNTIF($C$3:$C$553,SUBSTITUTE(SUBSTITUTE(C132,"?","~?"),"*","~*"))-1)&amp;" supporting pages",""))</f>
        <v/>
      </c>
      <c r="J132">
        <f>IF(B132="Pillar","Informational",IF(OR(B132="Cluster",B132="Supporting"),INDEX(Attributes!$D$3:$D$52,Q132)&amp;"",""))</f>
        <v/>
      </c>
      <c r="K132">
        <f>IF(B132="","",IF(B132="Pillar","Pillar guide (entity hub)",IF(B132="Cluster","Hub page for this attribute",IF(INDEX(Values!$C$3:$C$502,P132)="Yes","Entity page (profile of the sub-entity)",IFERROR(INDEX(Lists!$B$3:$B$6,MATCH(J132,Lists!$A$3:$A$6,0)),"Article")))))</f>
        <v/>
      </c>
      <c r="L132">
        <f>IF(B132="Pillar",Entity!$B$6&amp;"",IF(B132="Cluster",INDEX(Attributes!$I$3:$I$52,Q132)&amp;"",IF(B132="Supporting",INDEX(Values!$F$3:$F$502,P132)&amp;"","")))</f>
        <v/>
      </c>
      <c r="M132">
        <f>IF(B132="","",IF(L132&lt;&gt;"","Covered","Gap"))</f>
        <v/>
      </c>
      <c r="N132">
        <f>IF(B132="Pillar",SUMIFS(Values!$E$3:$E$502,Values!$I$3:$I$502,"Yes"),IF(B132="Cluster",SUMIFS(Values!$E$3:$E$502,Values!$A$3:$A$502,SUBSTITUTE(SUBSTITUTE(C132,"?","~?"),"*","~*"),Values!$I$3:$I$502,"Yes"),IF(B132="Supporting",N(INDEX(Values!$E$3:$E$502,P132)),"")))</f>
        <v/>
      </c>
      <c r="O132">
        <f>IF(B132="","",IF(B132="Pillar",100,IF(B132="Cluster",N(INDEX(Attributes!$E$3:$E$52,Q132))*25+IF(M132="Gap",10,0),N(INDEX(Attributes!$E$3:$E$52,Q132))*20+MIN(20,ROUND(LOG10(N(N132)+1)*5,0))+IF(M132="Gap",10,0)+IF(INDEX(Values!$D$3:$D$502,P132)="Yes",5,0))))</f>
        <v/>
      </c>
      <c r="P132">
        <f>IF(B132="Supporting",MATCH(A132-1-Entity!$B$14,Values!$J$3:$J$502,0),"")</f>
        <v/>
      </c>
      <c r="Q132">
        <f>IF(C132="","",MATCH(C132,Attributes!$A$3:$A$52,0))</f>
        <v/>
      </c>
      <c r="R132">
        <f>IF(B132="Pillar",SUBSTITUTE(Entity!$B$7,"{entity}",LOWER(Entity!$B$3)),IF(B132="Cluster",IF(INDEX(Attributes!$G$3:$G$52,Q132)&lt;&gt;"",INDEX(Attributes!$G$3:$G$52,Q132),SUBSTITUTE(SUBSTITUTE(Entity!$B$8,"{entity}",LOWER(Entity!$B$3)),"{attribute}",LOWER(C132))),IF(B132="Supporting",SUBSTITUTE(SUBSTITUTE(SUBSTITUTE(IF(INDEX(Attributes!$H$3:$H$52,Q132)&lt;&gt;"",INDEX(Attributes!$H$3:$H$52,Q132),Entity!$B$9),"{entity}",LOWER(Entity!$B$3)),"{value}",D132),"{attribute}",LOWER(C132)),"")))</f>
        <v/>
      </c>
    </row>
    <row r="133">
      <c r="A133">
        <f>ROW()-2</f>
        <v/>
      </c>
      <c r="B133">
        <f>IF(A133=1,"Pillar",IF(A133&lt;=1+Entity!$B$14,"Cluster",IF(A133&lt;=1+Entity!$B$14+Entity!$B$15,"Supporting","")))</f>
        <v/>
      </c>
      <c r="C133">
        <f>IF(B133="Cluster",INDEX(Attributes!$A$3:$A$52,MATCH(A133-1,Attributes!$P$3:$P$52,0)),IF(B133="Supporting",INDEX(Values!$A$3:$A$502,P133),""))</f>
        <v/>
      </c>
      <c r="D133">
        <f>IF(B133="Supporting",INDEX(Values!$B$3:$B$502,P133),"")</f>
        <v/>
      </c>
      <c r="E133">
        <f>IF(R133="","",UPPER(LEFT(R133,1))&amp;MID(R133,2,500))</f>
        <v/>
      </c>
      <c r="F133">
        <f>IF(E133="","",LOWER(SUBSTITUTE(SUBSTITUTE(SUBSTITUTE(SUBSTITUTE(SUBSTITUTE(SUBSTITUTE(SUBSTITUTE(TRIM(E133),":",""),",",""),"'",""),"&amp;","and"),"£",""),"  "," ")," ","-")))</f>
        <v/>
      </c>
      <c r="G133">
        <f>IF(B133="Cluster",$E$3,IF(B133="Supporting",INDEX($E$3:$E$553,MATCH(C133,$C$3:$C$553,0)),""))</f>
        <v/>
      </c>
      <c r="H133">
        <f>IF(B133="Supporting",IFERROR(INDEX($E$3:$E$553,1+Entity!$B$14+INDEX(Values!$O$3:$O$502,P133)),""),IF(B133="Cluster",IF(Entity!$B$14&lt;2,"",INDEX($E$3:$E$553,IF(A133-1=Entity!$B$14,2,A133+1))),""))</f>
        <v/>
      </c>
      <c r="I133">
        <f>IF(B133="Pillar",Entity!$B$14&amp;" cluster pages",IF(B133="Cluster",(COUNTIF($C$3:$C$553,SUBSTITUTE(SUBSTITUTE(C133,"?","~?"),"*","~*"))-1)&amp;" supporting pages",""))</f>
        <v/>
      </c>
      <c r="J133">
        <f>IF(B133="Pillar","Informational",IF(OR(B133="Cluster",B133="Supporting"),INDEX(Attributes!$D$3:$D$52,Q133)&amp;"",""))</f>
        <v/>
      </c>
      <c r="K133">
        <f>IF(B133="","",IF(B133="Pillar","Pillar guide (entity hub)",IF(B133="Cluster","Hub page for this attribute",IF(INDEX(Values!$C$3:$C$502,P133)="Yes","Entity page (profile of the sub-entity)",IFERROR(INDEX(Lists!$B$3:$B$6,MATCH(J133,Lists!$A$3:$A$6,0)),"Article")))))</f>
        <v/>
      </c>
      <c r="L133">
        <f>IF(B133="Pillar",Entity!$B$6&amp;"",IF(B133="Cluster",INDEX(Attributes!$I$3:$I$52,Q133)&amp;"",IF(B133="Supporting",INDEX(Values!$F$3:$F$502,P133)&amp;"","")))</f>
        <v/>
      </c>
      <c r="M133">
        <f>IF(B133="","",IF(L133&lt;&gt;"","Covered","Gap"))</f>
        <v/>
      </c>
      <c r="N133">
        <f>IF(B133="Pillar",SUMIFS(Values!$E$3:$E$502,Values!$I$3:$I$502,"Yes"),IF(B133="Cluster",SUMIFS(Values!$E$3:$E$502,Values!$A$3:$A$502,SUBSTITUTE(SUBSTITUTE(C133,"?","~?"),"*","~*"),Values!$I$3:$I$502,"Yes"),IF(B133="Supporting",N(INDEX(Values!$E$3:$E$502,P133)),"")))</f>
        <v/>
      </c>
      <c r="O133">
        <f>IF(B133="","",IF(B133="Pillar",100,IF(B133="Cluster",N(INDEX(Attributes!$E$3:$E$52,Q133))*25+IF(M133="Gap",10,0),N(INDEX(Attributes!$E$3:$E$52,Q133))*20+MIN(20,ROUND(LOG10(N(N133)+1)*5,0))+IF(M133="Gap",10,0)+IF(INDEX(Values!$D$3:$D$502,P133)="Yes",5,0))))</f>
        <v/>
      </c>
      <c r="P133">
        <f>IF(B133="Supporting",MATCH(A133-1-Entity!$B$14,Values!$J$3:$J$502,0),"")</f>
        <v/>
      </c>
      <c r="Q133">
        <f>IF(C133="","",MATCH(C133,Attributes!$A$3:$A$52,0))</f>
        <v/>
      </c>
      <c r="R133">
        <f>IF(B133="Pillar",SUBSTITUTE(Entity!$B$7,"{entity}",LOWER(Entity!$B$3)),IF(B133="Cluster",IF(INDEX(Attributes!$G$3:$G$52,Q133)&lt;&gt;"",INDEX(Attributes!$G$3:$G$52,Q133),SUBSTITUTE(SUBSTITUTE(Entity!$B$8,"{entity}",LOWER(Entity!$B$3)),"{attribute}",LOWER(C133))),IF(B133="Supporting",SUBSTITUTE(SUBSTITUTE(SUBSTITUTE(IF(INDEX(Attributes!$H$3:$H$52,Q133)&lt;&gt;"",INDEX(Attributes!$H$3:$H$52,Q133),Entity!$B$9),"{entity}",LOWER(Entity!$B$3)),"{value}",D133),"{attribute}",LOWER(C133)),"")))</f>
        <v/>
      </c>
    </row>
    <row r="134">
      <c r="A134">
        <f>ROW()-2</f>
        <v/>
      </c>
      <c r="B134">
        <f>IF(A134=1,"Pillar",IF(A134&lt;=1+Entity!$B$14,"Cluster",IF(A134&lt;=1+Entity!$B$14+Entity!$B$15,"Supporting","")))</f>
        <v/>
      </c>
      <c r="C134">
        <f>IF(B134="Cluster",INDEX(Attributes!$A$3:$A$52,MATCH(A134-1,Attributes!$P$3:$P$52,0)),IF(B134="Supporting",INDEX(Values!$A$3:$A$502,P134),""))</f>
        <v/>
      </c>
      <c r="D134">
        <f>IF(B134="Supporting",INDEX(Values!$B$3:$B$502,P134),"")</f>
        <v/>
      </c>
      <c r="E134">
        <f>IF(R134="","",UPPER(LEFT(R134,1))&amp;MID(R134,2,500))</f>
        <v/>
      </c>
      <c r="F134">
        <f>IF(E134="","",LOWER(SUBSTITUTE(SUBSTITUTE(SUBSTITUTE(SUBSTITUTE(SUBSTITUTE(SUBSTITUTE(SUBSTITUTE(TRIM(E134),":",""),",",""),"'",""),"&amp;","and"),"£",""),"  "," ")," ","-")))</f>
        <v/>
      </c>
      <c r="G134">
        <f>IF(B134="Cluster",$E$3,IF(B134="Supporting",INDEX($E$3:$E$553,MATCH(C134,$C$3:$C$553,0)),""))</f>
        <v/>
      </c>
      <c r="H134">
        <f>IF(B134="Supporting",IFERROR(INDEX($E$3:$E$553,1+Entity!$B$14+INDEX(Values!$O$3:$O$502,P134)),""),IF(B134="Cluster",IF(Entity!$B$14&lt;2,"",INDEX($E$3:$E$553,IF(A134-1=Entity!$B$14,2,A134+1))),""))</f>
        <v/>
      </c>
      <c r="I134">
        <f>IF(B134="Pillar",Entity!$B$14&amp;" cluster pages",IF(B134="Cluster",(COUNTIF($C$3:$C$553,SUBSTITUTE(SUBSTITUTE(C134,"?","~?"),"*","~*"))-1)&amp;" supporting pages",""))</f>
        <v/>
      </c>
      <c r="J134">
        <f>IF(B134="Pillar","Informational",IF(OR(B134="Cluster",B134="Supporting"),INDEX(Attributes!$D$3:$D$52,Q134)&amp;"",""))</f>
        <v/>
      </c>
      <c r="K134">
        <f>IF(B134="","",IF(B134="Pillar","Pillar guide (entity hub)",IF(B134="Cluster","Hub page for this attribute",IF(INDEX(Values!$C$3:$C$502,P134)="Yes","Entity page (profile of the sub-entity)",IFERROR(INDEX(Lists!$B$3:$B$6,MATCH(J134,Lists!$A$3:$A$6,0)),"Article")))))</f>
        <v/>
      </c>
      <c r="L134">
        <f>IF(B134="Pillar",Entity!$B$6&amp;"",IF(B134="Cluster",INDEX(Attributes!$I$3:$I$52,Q134)&amp;"",IF(B134="Supporting",INDEX(Values!$F$3:$F$502,P134)&amp;"","")))</f>
        <v/>
      </c>
      <c r="M134">
        <f>IF(B134="","",IF(L134&lt;&gt;"","Covered","Gap"))</f>
        <v/>
      </c>
      <c r="N134">
        <f>IF(B134="Pillar",SUMIFS(Values!$E$3:$E$502,Values!$I$3:$I$502,"Yes"),IF(B134="Cluster",SUMIFS(Values!$E$3:$E$502,Values!$A$3:$A$502,SUBSTITUTE(SUBSTITUTE(C134,"?","~?"),"*","~*"),Values!$I$3:$I$502,"Yes"),IF(B134="Supporting",N(INDEX(Values!$E$3:$E$502,P134)),"")))</f>
        <v/>
      </c>
      <c r="O134">
        <f>IF(B134="","",IF(B134="Pillar",100,IF(B134="Cluster",N(INDEX(Attributes!$E$3:$E$52,Q134))*25+IF(M134="Gap",10,0),N(INDEX(Attributes!$E$3:$E$52,Q134))*20+MIN(20,ROUND(LOG10(N(N134)+1)*5,0))+IF(M134="Gap",10,0)+IF(INDEX(Values!$D$3:$D$502,P134)="Yes",5,0))))</f>
        <v/>
      </c>
      <c r="P134">
        <f>IF(B134="Supporting",MATCH(A134-1-Entity!$B$14,Values!$J$3:$J$502,0),"")</f>
        <v/>
      </c>
      <c r="Q134">
        <f>IF(C134="","",MATCH(C134,Attributes!$A$3:$A$52,0))</f>
        <v/>
      </c>
      <c r="R134">
        <f>IF(B134="Pillar",SUBSTITUTE(Entity!$B$7,"{entity}",LOWER(Entity!$B$3)),IF(B134="Cluster",IF(INDEX(Attributes!$G$3:$G$52,Q134)&lt;&gt;"",INDEX(Attributes!$G$3:$G$52,Q134),SUBSTITUTE(SUBSTITUTE(Entity!$B$8,"{entity}",LOWER(Entity!$B$3)),"{attribute}",LOWER(C134))),IF(B134="Supporting",SUBSTITUTE(SUBSTITUTE(SUBSTITUTE(IF(INDEX(Attributes!$H$3:$H$52,Q134)&lt;&gt;"",INDEX(Attributes!$H$3:$H$52,Q134),Entity!$B$9),"{entity}",LOWER(Entity!$B$3)),"{value}",D134),"{attribute}",LOWER(C134)),"")))</f>
        <v/>
      </c>
    </row>
    <row r="135">
      <c r="A135">
        <f>ROW()-2</f>
        <v/>
      </c>
      <c r="B135">
        <f>IF(A135=1,"Pillar",IF(A135&lt;=1+Entity!$B$14,"Cluster",IF(A135&lt;=1+Entity!$B$14+Entity!$B$15,"Supporting","")))</f>
        <v/>
      </c>
      <c r="C135">
        <f>IF(B135="Cluster",INDEX(Attributes!$A$3:$A$52,MATCH(A135-1,Attributes!$P$3:$P$52,0)),IF(B135="Supporting",INDEX(Values!$A$3:$A$502,P135),""))</f>
        <v/>
      </c>
      <c r="D135">
        <f>IF(B135="Supporting",INDEX(Values!$B$3:$B$502,P135),"")</f>
        <v/>
      </c>
      <c r="E135">
        <f>IF(R135="","",UPPER(LEFT(R135,1))&amp;MID(R135,2,500))</f>
        <v/>
      </c>
      <c r="F135">
        <f>IF(E135="","",LOWER(SUBSTITUTE(SUBSTITUTE(SUBSTITUTE(SUBSTITUTE(SUBSTITUTE(SUBSTITUTE(SUBSTITUTE(TRIM(E135),":",""),",",""),"'",""),"&amp;","and"),"£",""),"  "," ")," ","-")))</f>
        <v/>
      </c>
      <c r="G135">
        <f>IF(B135="Cluster",$E$3,IF(B135="Supporting",INDEX($E$3:$E$553,MATCH(C135,$C$3:$C$553,0)),""))</f>
        <v/>
      </c>
      <c r="H135">
        <f>IF(B135="Supporting",IFERROR(INDEX($E$3:$E$553,1+Entity!$B$14+INDEX(Values!$O$3:$O$502,P135)),""),IF(B135="Cluster",IF(Entity!$B$14&lt;2,"",INDEX($E$3:$E$553,IF(A135-1=Entity!$B$14,2,A135+1))),""))</f>
        <v/>
      </c>
      <c r="I135">
        <f>IF(B135="Pillar",Entity!$B$14&amp;" cluster pages",IF(B135="Cluster",(COUNTIF($C$3:$C$553,SUBSTITUTE(SUBSTITUTE(C135,"?","~?"),"*","~*"))-1)&amp;" supporting pages",""))</f>
        <v/>
      </c>
      <c r="J135">
        <f>IF(B135="Pillar","Informational",IF(OR(B135="Cluster",B135="Supporting"),INDEX(Attributes!$D$3:$D$52,Q135)&amp;"",""))</f>
        <v/>
      </c>
      <c r="K135">
        <f>IF(B135="","",IF(B135="Pillar","Pillar guide (entity hub)",IF(B135="Cluster","Hub page for this attribute",IF(INDEX(Values!$C$3:$C$502,P135)="Yes","Entity page (profile of the sub-entity)",IFERROR(INDEX(Lists!$B$3:$B$6,MATCH(J135,Lists!$A$3:$A$6,0)),"Article")))))</f>
        <v/>
      </c>
      <c r="L135">
        <f>IF(B135="Pillar",Entity!$B$6&amp;"",IF(B135="Cluster",INDEX(Attributes!$I$3:$I$52,Q135)&amp;"",IF(B135="Supporting",INDEX(Values!$F$3:$F$502,P135)&amp;"","")))</f>
        <v/>
      </c>
      <c r="M135">
        <f>IF(B135="","",IF(L135&lt;&gt;"","Covered","Gap"))</f>
        <v/>
      </c>
      <c r="N135">
        <f>IF(B135="Pillar",SUMIFS(Values!$E$3:$E$502,Values!$I$3:$I$502,"Yes"),IF(B135="Cluster",SUMIFS(Values!$E$3:$E$502,Values!$A$3:$A$502,SUBSTITUTE(SUBSTITUTE(C135,"?","~?"),"*","~*"),Values!$I$3:$I$502,"Yes"),IF(B135="Supporting",N(INDEX(Values!$E$3:$E$502,P135)),"")))</f>
        <v/>
      </c>
      <c r="O135">
        <f>IF(B135="","",IF(B135="Pillar",100,IF(B135="Cluster",N(INDEX(Attributes!$E$3:$E$52,Q135))*25+IF(M135="Gap",10,0),N(INDEX(Attributes!$E$3:$E$52,Q135))*20+MIN(20,ROUND(LOG10(N(N135)+1)*5,0))+IF(M135="Gap",10,0)+IF(INDEX(Values!$D$3:$D$502,P135)="Yes",5,0))))</f>
        <v/>
      </c>
      <c r="P135">
        <f>IF(B135="Supporting",MATCH(A135-1-Entity!$B$14,Values!$J$3:$J$502,0),"")</f>
        <v/>
      </c>
      <c r="Q135">
        <f>IF(C135="","",MATCH(C135,Attributes!$A$3:$A$52,0))</f>
        <v/>
      </c>
      <c r="R135">
        <f>IF(B135="Pillar",SUBSTITUTE(Entity!$B$7,"{entity}",LOWER(Entity!$B$3)),IF(B135="Cluster",IF(INDEX(Attributes!$G$3:$G$52,Q135)&lt;&gt;"",INDEX(Attributes!$G$3:$G$52,Q135),SUBSTITUTE(SUBSTITUTE(Entity!$B$8,"{entity}",LOWER(Entity!$B$3)),"{attribute}",LOWER(C135))),IF(B135="Supporting",SUBSTITUTE(SUBSTITUTE(SUBSTITUTE(IF(INDEX(Attributes!$H$3:$H$52,Q135)&lt;&gt;"",INDEX(Attributes!$H$3:$H$52,Q135),Entity!$B$9),"{entity}",LOWER(Entity!$B$3)),"{value}",D135),"{attribute}",LOWER(C135)),"")))</f>
        <v/>
      </c>
    </row>
    <row r="136">
      <c r="A136">
        <f>ROW()-2</f>
        <v/>
      </c>
      <c r="B136">
        <f>IF(A136=1,"Pillar",IF(A136&lt;=1+Entity!$B$14,"Cluster",IF(A136&lt;=1+Entity!$B$14+Entity!$B$15,"Supporting","")))</f>
        <v/>
      </c>
      <c r="C136">
        <f>IF(B136="Cluster",INDEX(Attributes!$A$3:$A$52,MATCH(A136-1,Attributes!$P$3:$P$52,0)),IF(B136="Supporting",INDEX(Values!$A$3:$A$502,P136),""))</f>
        <v/>
      </c>
      <c r="D136">
        <f>IF(B136="Supporting",INDEX(Values!$B$3:$B$502,P136),"")</f>
        <v/>
      </c>
      <c r="E136">
        <f>IF(R136="","",UPPER(LEFT(R136,1))&amp;MID(R136,2,500))</f>
        <v/>
      </c>
      <c r="F136">
        <f>IF(E136="","",LOWER(SUBSTITUTE(SUBSTITUTE(SUBSTITUTE(SUBSTITUTE(SUBSTITUTE(SUBSTITUTE(SUBSTITUTE(TRIM(E136),":",""),",",""),"'",""),"&amp;","and"),"£",""),"  "," ")," ","-")))</f>
        <v/>
      </c>
      <c r="G136">
        <f>IF(B136="Cluster",$E$3,IF(B136="Supporting",INDEX($E$3:$E$553,MATCH(C136,$C$3:$C$553,0)),""))</f>
        <v/>
      </c>
      <c r="H136">
        <f>IF(B136="Supporting",IFERROR(INDEX($E$3:$E$553,1+Entity!$B$14+INDEX(Values!$O$3:$O$502,P136)),""),IF(B136="Cluster",IF(Entity!$B$14&lt;2,"",INDEX($E$3:$E$553,IF(A136-1=Entity!$B$14,2,A136+1))),""))</f>
        <v/>
      </c>
      <c r="I136">
        <f>IF(B136="Pillar",Entity!$B$14&amp;" cluster pages",IF(B136="Cluster",(COUNTIF($C$3:$C$553,SUBSTITUTE(SUBSTITUTE(C136,"?","~?"),"*","~*"))-1)&amp;" supporting pages",""))</f>
        <v/>
      </c>
      <c r="J136">
        <f>IF(B136="Pillar","Informational",IF(OR(B136="Cluster",B136="Supporting"),INDEX(Attributes!$D$3:$D$52,Q136)&amp;"",""))</f>
        <v/>
      </c>
      <c r="K136">
        <f>IF(B136="","",IF(B136="Pillar","Pillar guide (entity hub)",IF(B136="Cluster","Hub page for this attribute",IF(INDEX(Values!$C$3:$C$502,P136)="Yes","Entity page (profile of the sub-entity)",IFERROR(INDEX(Lists!$B$3:$B$6,MATCH(J136,Lists!$A$3:$A$6,0)),"Article")))))</f>
        <v/>
      </c>
      <c r="L136">
        <f>IF(B136="Pillar",Entity!$B$6&amp;"",IF(B136="Cluster",INDEX(Attributes!$I$3:$I$52,Q136)&amp;"",IF(B136="Supporting",INDEX(Values!$F$3:$F$502,P136)&amp;"","")))</f>
        <v/>
      </c>
      <c r="M136">
        <f>IF(B136="","",IF(L136&lt;&gt;"","Covered","Gap"))</f>
        <v/>
      </c>
      <c r="N136">
        <f>IF(B136="Pillar",SUMIFS(Values!$E$3:$E$502,Values!$I$3:$I$502,"Yes"),IF(B136="Cluster",SUMIFS(Values!$E$3:$E$502,Values!$A$3:$A$502,SUBSTITUTE(SUBSTITUTE(C136,"?","~?"),"*","~*"),Values!$I$3:$I$502,"Yes"),IF(B136="Supporting",N(INDEX(Values!$E$3:$E$502,P136)),"")))</f>
        <v/>
      </c>
      <c r="O136">
        <f>IF(B136="","",IF(B136="Pillar",100,IF(B136="Cluster",N(INDEX(Attributes!$E$3:$E$52,Q136))*25+IF(M136="Gap",10,0),N(INDEX(Attributes!$E$3:$E$52,Q136))*20+MIN(20,ROUND(LOG10(N(N136)+1)*5,0))+IF(M136="Gap",10,0)+IF(INDEX(Values!$D$3:$D$502,P136)="Yes",5,0))))</f>
        <v/>
      </c>
      <c r="P136">
        <f>IF(B136="Supporting",MATCH(A136-1-Entity!$B$14,Values!$J$3:$J$502,0),"")</f>
        <v/>
      </c>
      <c r="Q136">
        <f>IF(C136="","",MATCH(C136,Attributes!$A$3:$A$52,0))</f>
        <v/>
      </c>
      <c r="R136">
        <f>IF(B136="Pillar",SUBSTITUTE(Entity!$B$7,"{entity}",LOWER(Entity!$B$3)),IF(B136="Cluster",IF(INDEX(Attributes!$G$3:$G$52,Q136)&lt;&gt;"",INDEX(Attributes!$G$3:$G$52,Q136),SUBSTITUTE(SUBSTITUTE(Entity!$B$8,"{entity}",LOWER(Entity!$B$3)),"{attribute}",LOWER(C136))),IF(B136="Supporting",SUBSTITUTE(SUBSTITUTE(SUBSTITUTE(IF(INDEX(Attributes!$H$3:$H$52,Q136)&lt;&gt;"",INDEX(Attributes!$H$3:$H$52,Q136),Entity!$B$9),"{entity}",LOWER(Entity!$B$3)),"{value}",D136),"{attribute}",LOWER(C136)),"")))</f>
        <v/>
      </c>
    </row>
    <row r="137">
      <c r="A137">
        <f>ROW()-2</f>
        <v/>
      </c>
      <c r="B137">
        <f>IF(A137=1,"Pillar",IF(A137&lt;=1+Entity!$B$14,"Cluster",IF(A137&lt;=1+Entity!$B$14+Entity!$B$15,"Supporting","")))</f>
        <v/>
      </c>
      <c r="C137">
        <f>IF(B137="Cluster",INDEX(Attributes!$A$3:$A$52,MATCH(A137-1,Attributes!$P$3:$P$52,0)),IF(B137="Supporting",INDEX(Values!$A$3:$A$502,P137),""))</f>
        <v/>
      </c>
      <c r="D137">
        <f>IF(B137="Supporting",INDEX(Values!$B$3:$B$502,P137),"")</f>
        <v/>
      </c>
      <c r="E137">
        <f>IF(R137="","",UPPER(LEFT(R137,1))&amp;MID(R137,2,500))</f>
        <v/>
      </c>
      <c r="F137">
        <f>IF(E137="","",LOWER(SUBSTITUTE(SUBSTITUTE(SUBSTITUTE(SUBSTITUTE(SUBSTITUTE(SUBSTITUTE(SUBSTITUTE(TRIM(E137),":",""),",",""),"'",""),"&amp;","and"),"£",""),"  "," ")," ","-")))</f>
        <v/>
      </c>
      <c r="G137">
        <f>IF(B137="Cluster",$E$3,IF(B137="Supporting",INDEX($E$3:$E$553,MATCH(C137,$C$3:$C$553,0)),""))</f>
        <v/>
      </c>
      <c r="H137">
        <f>IF(B137="Supporting",IFERROR(INDEX($E$3:$E$553,1+Entity!$B$14+INDEX(Values!$O$3:$O$502,P137)),""),IF(B137="Cluster",IF(Entity!$B$14&lt;2,"",INDEX($E$3:$E$553,IF(A137-1=Entity!$B$14,2,A137+1))),""))</f>
        <v/>
      </c>
      <c r="I137">
        <f>IF(B137="Pillar",Entity!$B$14&amp;" cluster pages",IF(B137="Cluster",(COUNTIF($C$3:$C$553,SUBSTITUTE(SUBSTITUTE(C137,"?","~?"),"*","~*"))-1)&amp;" supporting pages",""))</f>
        <v/>
      </c>
      <c r="J137">
        <f>IF(B137="Pillar","Informational",IF(OR(B137="Cluster",B137="Supporting"),INDEX(Attributes!$D$3:$D$52,Q137)&amp;"",""))</f>
        <v/>
      </c>
      <c r="K137">
        <f>IF(B137="","",IF(B137="Pillar","Pillar guide (entity hub)",IF(B137="Cluster","Hub page for this attribute",IF(INDEX(Values!$C$3:$C$502,P137)="Yes","Entity page (profile of the sub-entity)",IFERROR(INDEX(Lists!$B$3:$B$6,MATCH(J137,Lists!$A$3:$A$6,0)),"Article")))))</f>
        <v/>
      </c>
      <c r="L137">
        <f>IF(B137="Pillar",Entity!$B$6&amp;"",IF(B137="Cluster",INDEX(Attributes!$I$3:$I$52,Q137)&amp;"",IF(B137="Supporting",INDEX(Values!$F$3:$F$502,P137)&amp;"","")))</f>
        <v/>
      </c>
      <c r="M137">
        <f>IF(B137="","",IF(L137&lt;&gt;"","Covered","Gap"))</f>
        <v/>
      </c>
      <c r="N137">
        <f>IF(B137="Pillar",SUMIFS(Values!$E$3:$E$502,Values!$I$3:$I$502,"Yes"),IF(B137="Cluster",SUMIFS(Values!$E$3:$E$502,Values!$A$3:$A$502,SUBSTITUTE(SUBSTITUTE(C137,"?","~?"),"*","~*"),Values!$I$3:$I$502,"Yes"),IF(B137="Supporting",N(INDEX(Values!$E$3:$E$502,P137)),"")))</f>
        <v/>
      </c>
      <c r="O137">
        <f>IF(B137="","",IF(B137="Pillar",100,IF(B137="Cluster",N(INDEX(Attributes!$E$3:$E$52,Q137))*25+IF(M137="Gap",10,0),N(INDEX(Attributes!$E$3:$E$52,Q137))*20+MIN(20,ROUND(LOG10(N(N137)+1)*5,0))+IF(M137="Gap",10,0)+IF(INDEX(Values!$D$3:$D$502,P137)="Yes",5,0))))</f>
        <v/>
      </c>
      <c r="P137">
        <f>IF(B137="Supporting",MATCH(A137-1-Entity!$B$14,Values!$J$3:$J$502,0),"")</f>
        <v/>
      </c>
      <c r="Q137">
        <f>IF(C137="","",MATCH(C137,Attributes!$A$3:$A$52,0))</f>
        <v/>
      </c>
      <c r="R137">
        <f>IF(B137="Pillar",SUBSTITUTE(Entity!$B$7,"{entity}",LOWER(Entity!$B$3)),IF(B137="Cluster",IF(INDEX(Attributes!$G$3:$G$52,Q137)&lt;&gt;"",INDEX(Attributes!$G$3:$G$52,Q137),SUBSTITUTE(SUBSTITUTE(Entity!$B$8,"{entity}",LOWER(Entity!$B$3)),"{attribute}",LOWER(C137))),IF(B137="Supporting",SUBSTITUTE(SUBSTITUTE(SUBSTITUTE(IF(INDEX(Attributes!$H$3:$H$52,Q137)&lt;&gt;"",INDEX(Attributes!$H$3:$H$52,Q137),Entity!$B$9),"{entity}",LOWER(Entity!$B$3)),"{value}",D137),"{attribute}",LOWER(C137)),"")))</f>
        <v/>
      </c>
    </row>
    <row r="138">
      <c r="A138">
        <f>ROW()-2</f>
        <v/>
      </c>
      <c r="B138">
        <f>IF(A138=1,"Pillar",IF(A138&lt;=1+Entity!$B$14,"Cluster",IF(A138&lt;=1+Entity!$B$14+Entity!$B$15,"Supporting","")))</f>
        <v/>
      </c>
      <c r="C138">
        <f>IF(B138="Cluster",INDEX(Attributes!$A$3:$A$52,MATCH(A138-1,Attributes!$P$3:$P$52,0)),IF(B138="Supporting",INDEX(Values!$A$3:$A$502,P138),""))</f>
        <v/>
      </c>
      <c r="D138">
        <f>IF(B138="Supporting",INDEX(Values!$B$3:$B$502,P138),"")</f>
        <v/>
      </c>
      <c r="E138">
        <f>IF(R138="","",UPPER(LEFT(R138,1))&amp;MID(R138,2,500))</f>
        <v/>
      </c>
      <c r="F138">
        <f>IF(E138="","",LOWER(SUBSTITUTE(SUBSTITUTE(SUBSTITUTE(SUBSTITUTE(SUBSTITUTE(SUBSTITUTE(SUBSTITUTE(TRIM(E138),":",""),",",""),"'",""),"&amp;","and"),"£",""),"  "," ")," ","-")))</f>
        <v/>
      </c>
      <c r="G138">
        <f>IF(B138="Cluster",$E$3,IF(B138="Supporting",INDEX($E$3:$E$553,MATCH(C138,$C$3:$C$553,0)),""))</f>
        <v/>
      </c>
      <c r="H138">
        <f>IF(B138="Supporting",IFERROR(INDEX($E$3:$E$553,1+Entity!$B$14+INDEX(Values!$O$3:$O$502,P138)),""),IF(B138="Cluster",IF(Entity!$B$14&lt;2,"",INDEX($E$3:$E$553,IF(A138-1=Entity!$B$14,2,A138+1))),""))</f>
        <v/>
      </c>
      <c r="I138">
        <f>IF(B138="Pillar",Entity!$B$14&amp;" cluster pages",IF(B138="Cluster",(COUNTIF($C$3:$C$553,SUBSTITUTE(SUBSTITUTE(C138,"?","~?"),"*","~*"))-1)&amp;" supporting pages",""))</f>
        <v/>
      </c>
      <c r="J138">
        <f>IF(B138="Pillar","Informational",IF(OR(B138="Cluster",B138="Supporting"),INDEX(Attributes!$D$3:$D$52,Q138)&amp;"",""))</f>
        <v/>
      </c>
      <c r="K138">
        <f>IF(B138="","",IF(B138="Pillar","Pillar guide (entity hub)",IF(B138="Cluster","Hub page for this attribute",IF(INDEX(Values!$C$3:$C$502,P138)="Yes","Entity page (profile of the sub-entity)",IFERROR(INDEX(Lists!$B$3:$B$6,MATCH(J138,Lists!$A$3:$A$6,0)),"Article")))))</f>
        <v/>
      </c>
      <c r="L138">
        <f>IF(B138="Pillar",Entity!$B$6&amp;"",IF(B138="Cluster",INDEX(Attributes!$I$3:$I$52,Q138)&amp;"",IF(B138="Supporting",INDEX(Values!$F$3:$F$502,P138)&amp;"","")))</f>
        <v/>
      </c>
      <c r="M138">
        <f>IF(B138="","",IF(L138&lt;&gt;"","Covered","Gap"))</f>
        <v/>
      </c>
      <c r="N138">
        <f>IF(B138="Pillar",SUMIFS(Values!$E$3:$E$502,Values!$I$3:$I$502,"Yes"),IF(B138="Cluster",SUMIFS(Values!$E$3:$E$502,Values!$A$3:$A$502,SUBSTITUTE(SUBSTITUTE(C138,"?","~?"),"*","~*"),Values!$I$3:$I$502,"Yes"),IF(B138="Supporting",N(INDEX(Values!$E$3:$E$502,P138)),"")))</f>
        <v/>
      </c>
      <c r="O138">
        <f>IF(B138="","",IF(B138="Pillar",100,IF(B138="Cluster",N(INDEX(Attributes!$E$3:$E$52,Q138))*25+IF(M138="Gap",10,0),N(INDEX(Attributes!$E$3:$E$52,Q138))*20+MIN(20,ROUND(LOG10(N(N138)+1)*5,0))+IF(M138="Gap",10,0)+IF(INDEX(Values!$D$3:$D$502,P138)="Yes",5,0))))</f>
        <v/>
      </c>
      <c r="P138">
        <f>IF(B138="Supporting",MATCH(A138-1-Entity!$B$14,Values!$J$3:$J$502,0),"")</f>
        <v/>
      </c>
      <c r="Q138">
        <f>IF(C138="","",MATCH(C138,Attributes!$A$3:$A$52,0))</f>
        <v/>
      </c>
      <c r="R138">
        <f>IF(B138="Pillar",SUBSTITUTE(Entity!$B$7,"{entity}",LOWER(Entity!$B$3)),IF(B138="Cluster",IF(INDEX(Attributes!$G$3:$G$52,Q138)&lt;&gt;"",INDEX(Attributes!$G$3:$G$52,Q138),SUBSTITUTE(SUBSTITUTE(Entity!$B$8,"{entity}",LOWER(Entity!$B$3)),"{attribute}",LOWER(C138))),IF(B138="Supporting",SUBSTITUTE(SUBSTITUTE(SUBSTITUTE(IF(INDEX(Attributes!$H$3:$H$52,Q138)&lt;&gt;"",INDEX(Attributes!$H$3:$H$52,Q138),Entity!$B$9),"{entity}",LOWER(Entity!$B$3)),"{value}",D138),"{attribute}",LOWER(C138)),"")))</f>
        <v/>
      </c>
    </row>
    <row r="139">
      <c r="A139">
        <f>ROW()-2</f>
        <v/>
      </c>
      <c r="B139">
        <f>IF(A139=1,"Pillar",IF(A139&lt;=1+Entity!$B$14,"Cluster",IF(A139&lt;=1+Entity!$B$14+Entity!$B$15,"Supporting","")))</f>
        <v/>
      </c>
      <c r="C139">
        <f>IF(B139="Cluster",INDEX(Attributes!$A$3:$A$52,MATCH(A139-1,Attributes!$P$3:$P$52,0)),IF(B139="Supporting",INDEX(Values!$A$3:$A$502,P139),""))</f>
        <v/>
      </c>
      <c r="D139">
        <f>IF(B139="Supporting",INDEX(Values!$B$3:$B$502,P139),"")</f>
        <v/>
      </c>
      <c r="E139">
        <f>IF(R139="","",UPPER(LEFT(R139,1))&amp;MID(R139,2,500))</f>
        <v/>
      </c>
      <c r="F139">
        <f>IF(E139="","",LOWER(SUBSTITUTE(SUBSTITUTE(SUBSTITUTE(SUBSTITUTE(SUBSTITUTE(SUBSTITUTE(SUBSTITUTE(TRIM(E139),":",""),",",""),"'",""),"&amp;","and"),"£",""),"  "," ")," ","-")))</f>
        <v/>
      </c>
      <c r="G139">
        <f>IF(B139="Cluster",$E$3,IF(B139="Supporting",INDEX($E$3:$E$553,MATCH(C139,$C$3:$C$553,0)),""))</f>
        <v/>
      </c>
      <c r="H139">
        <f>IF(B139="Supporting",IFERROR(INDEX($E$3:$E$553,1+Entity!$B$14+INDEX(Values!$O$3:$O$502,P139)),""),IF(B139="Cluster",IF(Entity!$B$14&lt;2,"",INDEX($E$3:$E$553,IF(A139-1=Entity!$B$14,2,A139+1))),""))</f>
        <v/>
      </c>
      <c r="I139">
        <f>IF(B139="Pillar",Entity!$B$14&amp;" cluster pages",IF(B139="Cluster",(COUNTIF($C$3:$C$553,SUBSTITUTE(SUBSTITUTE(C139,"?","~?"),"*","~*"))-1)&amp;" supporting pages",""))</f>
        <v/>
      </c>
      <c r="J139">
        <f>IF(B139="Pillar","Informational",IF(OR(B139="Cluster",B139="Supporting"),INDEX(Attributes!$D$3:$D$52,Q139)&amp;"",""))</f>
        <v/>
      </c>
      <c r="K139">
        <f>IF(B139="","",IF(B139="Pillar","Pillar guide (entity hub)",IF(B139="Cluster","Hub page for this attribute",IF(INDEX(Values!$C$3:$C$502,P139)="Yes","Entity page (profile of the sub-entity)",IFERROR(INDEX(Lists!$B$3:$B$6,MATCH(J139,Lists!$A$3:$A$6,0)),"Article")))))</f>
        <v/>
      </c>
      <c r="L139">
        <f>IF(B139="Pillar",Entity!$B$6&amp;"",IF(B139="Cluster",INDEX(Attributes!$I$3:$I$52,Q139)&amp;"",IF(B139="Supporting",INDEX(Values!$F$3:$F$502,P139)&amp;"","")))</f>
        <v/>
      </c>
      <c r="M139">
        <f>IF(B139="","",IF(L139&lt;&gt;"","Covered","Gap"))</f>
        <v/>
      </c>
      <c r="N139">
        <f>IF(B139="Pillar",SUMIFS(Values!$E$3:$E$502,Values!$I$3:$I$502,"Yes"),IF(B139="Cluster",SUMIFS(Values!$E$3:$E$502,Values!$A$3:$A$502,SUBSTITUTE(SUBSTITUTE(C139,"?","~?"),"*","~*"),Values!$I$3:$I$502,"Yes"),IF(B139="Supporting",N(INDEX(Values!$E$3:$E$502,P139)),"")))</f>
        <v/>
      </c>
      <c r="O139">
        <f>IF(B139="","",IF(B139="Pillar",100,IF(B139="Cluster",N(INDEX(Attributes!$E$3:$E$52,Q139))*25+IF(M139="Gap",10,0),N(INDEX(Attributes!$E$3:$E$52,Q139))*20+MIN(20,ROUND(LOG10(N(N139)+1)*5,0))+IF(M139="Gap",10,0)+IF(INDEX(Values!$D$3:$D$502,P139)="Yes",5,0))))</f>
        <v/>
      </c>
      <c r="P139">
        <f>IF(B139="Supporting",MATCH(A139-1-Entity!$B$14,Values!$J$3:$J$502,0),"")</f>
        <v/>
      </c>
      <c r="Q139">
        <f>IF(C139="","",MATCH(C139,Attributes!$A$3:$A$52,0))</f>
        <v/>
      </c>
      <c r="R139">
        <f>IF(B139="Pillar",SUBSTITUTE(Entity!$B$7,"{entity}",LOWER(Entity!$B$3)),IF(B139="Cluster",IF(INDEX(Attributes!$G$3:$G$52,Q139)&lt;&gt;"",INDEX(Attributes!$G$3:$G$52,Q139),SUBSTITUTE(SUBSTITUTE(Entity!$B$8,"{entity}",LOWER(Entity!$B$3)),"{attribute}",LOWER(C139))),IF(B139="Supporting",SUBSTITUTE(SUBSTITUTE(SUBSTITUTE(IF(INDEX(Attributes!$H$3:$H$52,Q139)&lt;&gt;"",INDEX(Attributes!$H$3:$H$52,Q139),Entity!$B$9),"{entity}",LOWER(Entity!$B$3)),"{value}",D139),"{attribute}",LOWER(C139)),"")))</f>
        <v/>
      </c>
    </row>
    <row r="140">
      <c r="A140">
        <f>ROW()-2</f>
        <v/>
      </c>
      <c r="B140">
        <f>IF(A140=1,"Pillar",IF(A140&lt;=1+Entity!$B$14,"Cluster",IF(A140&lt;=1+Entity!$B$14+Entity!$B$15,"Supporting","")))</f>
        <v/>
      </c>
      <c r="C140">
        <f>IF(B140="Cluster",INDEX(Attributes!$A$3:$A$52,MATCH(A140-1,Attributes!$P$3:$P$52,0)),IF(B140="Supporting",INDEX(Values!$A$3:$A$502,P140),""))</f>
        <v/>
      </c>
      <c r="D140">
        <f>IF(B140="Supporting",INDEX(Values!$B$3:$B$502,P140),"")</f>
        <v/>
      </c>
      <c r="E140">
        <f>IF(R140="","",UPPER(LEFT(R140,1))&amp;MID(R140,2,500))</f>
        <v/>
      </c>
      <c r="F140">
        <f>IF(E140="","",LOWER(SUBSTITUTE(SUBSTITUTE(SUBSTITUTE(SUBSTITUTE(SUBSTITUTE(SUBSTITUTE(SUBSTITUTE(TRIM(E140),":",""),",",""),"'",""),"&amp;","and"),"£",""),"  "," ")," ","-")))</f>
        <v/>
      </c>
      <c r="G140">
        <f>IF(B140="Cluster",$E$3,IF(B140="Supporting",INDEX($E$3:$E$553,MATCH(C140,$C$3:$C$553,0)),""))</f>
        <v/>
      </c>
      <c r="H140">
        <f>IF(B140="Supporting",IFERROR(INDEX($E$3:$E$553,1+Entity!$B$14+INDEX(Values!$O$3:$O$502,P140)),""),IF(B140="Cluster",IF(Entity!$B$14&lt;2,"",INDEX($E$3:$E$553,IF(A140-1=Entity!$B$14,2,A140+1))),""))</f>
        <v/>
      </c>
      <c r="I140">
        <f>IF(B140="Pillar",Entity!$B$14&amp;" cluster pages",IF(B140="Cluster",(COUNTIF($C$3:$C$553,SUBSTITUTE(SUBSTITUTE(C140,"?","~?"),"*","~*"))-1)&amp;" supporting pages",""))</f>
        <v/>
      </c>
      <c r="J140">
        <f>IF(B140="Pillar","Informational",IF(OR(B140="Cluster",B140="Supporting"),INDEX(Attributes!$D$3:$D$52,Q140)&amp;"",""))</f>
        <v/>
      </c>
      <c r="K140">
        <f>IF(B140="","",IF(B140="Pillar","Pillar guide (entity hub)",IF(B140="Cluster","Hub page for this attribute",IF(INDEX(Values!$C$3:$C$502,P140)="Yes","Entity page (profile of the sub-entity)",IFERROR(INDEX(Lists!$B$3:$B$6,MATCH(J140,Lists!$A$3:$A$6,0)),"Article")))))</f>
        <v/>
      </c>
      <c r="L140">
        <f>IF(B140="Pillar",Entity!$B$6&amp;"",IF(B140="Cluster",INDEX(Attributes!$I$3:$I$52,Q140)&amp;"",IF(B140="Supporting",INDEX(Values!$F$3:$F$502,P140)&amp;"","")))</f>
        <v/>
      </c>
      <c r="M140">
        <f>IF(B140="","",IF(L140&lt;&gt;"","Covered","Gap"))</f>
        <v/>
      </c>
      <c r="N140">
        <f>IF(B140="Pillar",SUMIFS(Values!$E$3:$E$502,Values!$I$3:$I$502,"Yes"),IF(B140="Cluster",SUMIFS(Values!$E$3:$E$502,Values!$A$3:$A$502,SUBSTITUTE(SUBSTITUTE(C140,"?","~?"),"*","~*"),Values!$I$3:$I$502,"Yes"),IF(B140="Supporting",N(INDEX(Values!$E$3:$E$502,P140)),"")))</f>
        <v/>
      </c>
      <c r="O140">
        <f>IF(B140="","",IF(B140="Pillar",100,IF(B140="Cluster",N(INDEX(Attributes!$E$3:$E$52,Q140))*25+IF(M140="Gap",10,0),N(INDEX(Attributes!$E$3:$E$52,Q140))*20+MIN(20,ROUND(LOG10(N(N140)+1)*5,0))+IF(M140="Gap",10,0)+IF(INDEX(Values!$D$3:$D$502,P140)="Yes",5,0))))</f>
        <v/>
      </c>
      <c r="P140">
        <f>IF(B140="Supporting",MATCH(A140-1-Entity!$B$14,Values!$J$3:$J$502,0),"")</f>
        <v/>
      </c>
      <c r="Q140">
        <f>IF(C140="","",MATCH(C140,Attributes!$A$3:$A$52,0))</f>
        <v/>
      </c>
      <c r="R140">
        <f>IF(B140="Pillar",SUBSTITUTE(Entity!$B$7,"{entity}",LOWER(Entity!$B$3)),IF(B140="Cluster",IF(INDEX(Attributes!$G$3:$G$52,Q140)&lt;&gt;"",INDEX(Attributes!$G$3:$G$52,Q140),SUBSTITUTE(SUBSTITUTE(Entity!$B$8,"{entity}",LOWER(Entity!$B$3)),"{attribute}",LOWER(C140))),IF(B140="Supporting",SUBSTITUTE(SUBSTITUTE(SUBSTITUTE(IF(INDEX(Attributes!$H$3:$H$52,Q140)&lt;&gt;"",INDEX(Attributes!$H$3:$H$52,Q140),Entity!$B$9),"{entity}",LOWER(Entity!$B$3)),"{value}",D140),"{attribute}",LOWER(C140)),"")))</f>
        <v/>
      </c>
    </row>
    <row r="141">
      <c r="A141">
        <f>ROW()-2</f>
        <v/>
      </c>
      <c r="B141">
        <f>IF(A141=1,"Pillar",IF(A141&lt;=1+Entity!$B$14,"Cluster",IF(A141&lt;=1+Entity!$B$14+Entity!$B$15,"Supporting","")))</f>
        <v/>
      </c>
      <c r="C141">
        <f>IF(B141="Cluster",INDEX(Attributes!$A$3:$A$52,MATCH(A141-1,Attributes!$P$3:$P$52,0)),IF(B141="Supporting",INDEX(Values!$A$3:$A$502,P141),""))</f>
        <v/>
      </c>
      <c r="D141">
        <f>IF(B141="Supporting",INDEX(Values!$B$3:$B$502,P141),"")</f>
        <v/>
      </c>
      <c r="E141">
        <f>IF(R141="","",UPPER(LEFT(R141,1))&amp;MID(R141,2,500))</f>
        <v/>
      </c>
      <c r="F141">
        <f>IF(E141="","",LOWER(SUBSTITUTE(SUBSTITUTE(SUBSTITUTE(SUBSTITUTE(SUBSTITUTE(SUBSTITUTE(SUBSTITUTE(TRIM(E141),":",""),",",""),"'",""),"&amp;","and"),"£",""),"  "," ")," ","-")))</f>
        <v/>
      </c>
      <c r="G141">
        <f>IF(B141="Cluster",$E$3,IF(B141="Supporting",INDEX($E$3:$E$553,MATCH(C141,$C$3:$C$553,0)),""))</f>
        <v/>
      </c>
      <c r="H141">
        <f>IF(B141="Supporting",IFERROR(INDEX($E$3:$E$553,1+Entity!$B$14+INDEX(Values!$O$3:$O$502,P141)),""),IF(B141="Cluster",IF(Entity!$B$14&lt;2,"",INDEX($E$3:$E$553,IF(A141-1=Entity!$B$14,2,A141+1))),""))</f>
        <v/>
      </c>
      <c r="I141">
        <f>IF(B141="Pillar",Entity!$B$14&amp;" cluster pages",IF(B141="Cluster",(COUNTIF($C$3:$C$553,SUBSTITUTE(SUBSTITUTE(C141,"?","~?"),"*","~*"))-1)&amp;" supporting pages",""))</f>
        <v/>
      </c>
      <c r="J141">
        <f>IF(B141="Pillar","Informational",IF(OR(B141="Cluster",B141="Supporting"),INDEX(Attributes!$D$3:$D$52,Q141)&amp;"",""))</f>
        <v/>
      </c>
      <c r="K141">
        <f>IF(B141="","",IF(B141="Pillar","Pillar guide (entity hub)",IF(B141="Cluster","Hub page for this attribute",IF(INDEX(Values!$C$3:$C$502,P141)="Yes","Entity page (profile of the sub-entity)",IFERROR(INDEX(Lists!$B$3:$B$6,MATCH(J141,Lists!$A$3:$A$6,0)),"Article")))))</f>
        <v/>
      </c>
      <c r="L141">
        <f>IF(B141="Pillar",Entity!$B$6&amp;"",IF(B141="Cluster",INDEX(Attributes!$I$3:$I$52,Q141)&amp;"",IF(B141="Supporting",INDEX(Values!$F$3:$F$502,P141)&amp;"","")))</f>
        <v/>
      </c>
      <c r="M141">
        <f>IF(B141="","",IF(L141&lt;&gt;"","Covered","Gap"))</f>
        <v/>
      </c>
      <c r="N141">
        <f>IF(B141="Pillar",SUMIFS(Values!$E$3:$E$502,Values!$I$3:$I$502,"Yes"),IF(B141="Cluster",SUMIFS(Values!$E$3:$E$502,Values!$A$3:$A$502,SUBSTITUTE(SUBSTITUTE(C141,"?","~?"),"*","~*"),Values!$I$3:$I$502,"Yes"),IF(B141="Supporting",N(INDEX(Values!$E$3:$E$502,P141)),"")))</f>
        <v/>
      </c>
      <c r="O141">
        <f>IF(B141="","",IF(B141="Pillar",100,IF(B141="Cluster",N(INDEX(Attributes!$E$3:$E$52,Q141))*25+IF(M141="Gap",10,0),N(INDEX(Attributes!$E$3:$E$52,Q141))*20+MIN(20,ROUND(LOG10(N(N141)+1)*5,0))+IF(M141="Gap",10,0)+IF(INDEX(Values!$D$3:$D$502,P141)="Yes",5,0))))</f>
        <v/>
      </c>
      <c r="P141">
        <f>IF(B141="Supporting",MATCH(A141-1-Entity!$B$14,Values!$J$3:$J$502,0),"")</f>
        <v/>
      </c>
      <c r="Q141">
        <f>IF(C141="","",MATCH(C141,Attributes!$A$3:$A$52,0))</f>
        <v/>
      </c>
      <c r="R141">
        <f>IF(B141="Pillar",SUBSTITUTE(Entity!$B$7,"{entity}",LOWER(Entity!$B$3)),IF(B141="Cluster",IF(INDEX(Attributes!$G$3:$G$52,Q141)&lt;&gt;"",INDEX(Attributes!$G$3:$G$52,Q141),SUBSTITUTE(SUBSTITUTE(Entity!$B$8,"{entity}",LOWER(Entity!$B$3)),"{attribute}",LOWER(C141))),IF(B141="Supporting",SUBSTITUTE(SUBSTITUTE(SUBSTITUTE(IF(INDEX(Attributes!$H$3:$H$52,Q141)&lt;&gt;"",INDEX(Attributes!$H$3:$H$52,Q141),Entity!$B$9),"{entity}",LOWER(Entity!$B$3)),"{value}",D141),"{attribute}",LOWER(C141)),"")))</f>
        <v/>
      </c>
    </row>
    <row r="142">
      <c r="A142">
        <f>ROW()-2</f>
        <v/>
      </c>
      <c r="B142">
        <f>IF(A142=1,"Pillar",IF(A142&lt;=1+Entity!$B$14,"Cluster",IF(A142&lt;=1+Entity!$B$14+Entity!$B$15,"Supporting","")))</f>
        <v/>
      </c>
      <c r="C142">
        <f>IF(B142="Cluster",INDEX(Attributes!$A$3:$A$52,MATCH(A142-1,Attributes!$P$3:$P$52,0)),IF(B142="Supporting",INDEX(Values!$A$3:$A$502,P142),""))</f>
        <v/>
      </c>
      <c r="D142">
        <f>IF(B142="Supporting",INDEX(Values!$B$3:$B$502,P142),"")</f>
        <v/>
      </c>
      <c r="E142">
        <f>IF(R142="","",UPPER(LEFT(R142,1))&amp;MID(R142,2,500))</f>
        <v/>
      </c>
      <c r="F142">
        <f>IF(E142="","",LOWER(SUBSTITUTE(SUBSTITUTE(SUBSTITUTE(SUBSTITUTE(SUBSTITUTE(SUBSTITUTE(SUBSTITUTE(TRIM(E142),":",""),",",""),"'",""),"&amp;","and"),"£",""),"  "," ")," ","-")))</f>
        <v/>
      </c>
      <c r="G142">
        <f>IF(B142="Cluster",$E$3,IF(B142="Supporting",INDEX($E$3:$E$553,MATCH(C142,$C$3:$C$553,0)),""))</f>
        <v/>
      </c>
      <c r="H142">
        <f>IF(B142="Supporting",IFERROR(INDEX($E$3:$E$553,1+Entity!$B$14+INDEX(Values!$O$3:$O$502,P142)),""),IF(B142="Cluster",IF(Entity!$B$14&lt;2,"",INDEX($E$3:$E$553,IF(A142-1=Entity!$B$14,2,A142+1))),""))</f>
        <v/>
      </c>
      <c r="I142">
        <f>IF(B142="Pillar",Entity!$B$14&amp;" cluster pages",IF(B142="Cluster",(COUNTIF($C$3:$C$553,SUBSTITUTE(SUBSTITUTE(C142,"?","~?"),"*","~*"))-1)&amp;" supporting pages",""))</f>
        <v/>
      </c>
      <c r="J142">
        <f>IF(B142="Pillar","Informational",IF(OR(B142="Cluster",B142="Supporting"),INDEX(Attributes!$D$3:$D$52,Q142)&amp;"",""))</f>
        <v/>
      </c>
      <c r="K142">
        <f>IF(B142="","",IF(B142="Pillar","Pillar guide (entity hub)",IF(B142="Cluster","Hub page for this attribute",IF(INDEX(Values!$C$3:$C$502,P142)="Yes","Entity page (profile of the sub-entity)",IFERROR(INDEX(Lists!$B$3:$B$6,MATCH(J142,Lists!$A$3:$A$6,0)),"Article")))))</f>
        <v/>
      </c>
      <c r="L142">
        <f>IF(B142="Pillar",Entity!$B$6&amp;"",IF(B142="Cluster",INDEX(Attributes!$I$3:$I$52,Q142)&amp;"",IF(B142="Supporting",INDEX(Values!$F$3:$F$502,P142)&amp;"","")))</f>
        <v/>
      </c>
      <c r="M142">
        <f>IF(B142="","",IF(L142&lt;&gt;"","Covered","Gap"))</f>
        <v/>
      </c>
      <c r="N142">
        <f>IF(B142="Pillar",SUMIFS(Values!$E$3:$E$502,Values!$I$3:$I$502,"Yes"),IF(B142="Cluster",SUMIFS(Values!$E$3:$E$502,Values!$A$3:$A$502,SUBSTITUTE(SUBSTITUTE(C142,"?","~?"),"*","~*"),Values!$I$3:$I$502,"Yes"),IF(B142="Supporting",N(INDEX(Values!$E$3:$E$502,P142)),"")))</f>
        <v/>
      </c>
      <c r="O142">
        <f>IF(B142="","",IF(B142="Pillar",100,IF(B142="Cluster",N(INDEX(Attributes!$E$3:$E$52,Q142))*25+IF(M142="Gap",10,0),N(INDEX(Attributes!$E$3:$E$52,Q142))*20+MIN(20,ROUND(LOG10(N(N142)+1)*5,0))+IF(M142="Gap",10,0)+IF(INDEX(Values!$D$3:$D$502,P142)="Yes",5,0))))</f>
        <v/>
      </c>
      <c r="P142">
        <f>IF(B142="Supporting",MATCH(A142-1-Entity!$B$14,Values!$J$3:$J$502,0),"")</f>
        <v/>
      </c>
      <c r="Q142">
        <f>IF(C142="","",MATCH(C142,Attributes!$A$3:$A$52,0))</f>
        <v/>
      </c>
      <c r="R142">
        <f>IF(B142="Pillar",SUBSTITUTE(Entity!$B$7,"{entity}",LOWER(Entity!$B$3)),IF(B142="Cluster",IF(INDEX(Attributes!$G$3:$G$52,Q142)&lt;&gt;"",INDEX(Attributes!$G$3:$G$52,Q142),SUBSTITUTE(SUBSTITUTE(Entity!$B$8,"{entity}",LOWER(Entity!$B$3)),"{attribute}",LOWER(C142))),IF(B142="Supporting",SUBSTITUTE(SUBSTITUTE(SUBSTITUTE(IF(INDEX(Attributes!$H$3:$H$52,Q142)&lt;&gt;"",INDEX(Attributes!$H$3:$H$52,Q142),Entity!$B$9),"{entity}",LOWER(Entity!$B$3)),"{value}",D142),"{attribute}",LOWER(C142)),"")))</f>
        <v/>
      </c>
    </row>
    <row r="143">
      <c r="A143">
        <f>ROW()-2</f>
        <v/>
      </c>
      <c r="B143">
        <f>IF(A143=1,"Pillar",IF(A143&lt;=1+Entity!$B$14,"Cluster",IF(A143&lt;=1+Entity!$B$14+Entity!$B$15,"Supporting","")))</f>
        <v/>
      </c>
      <c r="C143">
        <f>IF(B143="Cluster",INDEX(Attributes!$A$3:$A$52,MATCH(A143-1,Attributes!$P$3:$P$52,0)),IF(B143="Supporting",INDEX(Values!$A$3:$A$502,P143),""))</f>
        <v/>
      </c>
      <c r="D143">
        <f>IF(B143="Supporting",INDEX(Values!$B$3:$B$502,P143),"")</f>
        <v/>
      </c>
      <c r="E143">
        <f>IF(R143="","",UPPER(LEFT(R143,1))&amp;MID(R143,2,500))</f>
        <v/>
      </c>
      <c r="F143">
        <f>IF(E143="","",LOWER(SUBSTITUTE(SUBSTITUTE(SUBSTITUTE(SUBSTITUTE(SUBSTITUTE(SUBSTITUTE(SUBSTITUTE(TRIM(E143),":",""),",",""),"'",""),"&amp;","and"),"£",""),"  "," ")," ","-")))</f>
        <v/>
      </c>
      <c r="G143">
        <f>IF(B143="Cluster",$E$3,IF(B143="Supporting",INDEX($E$3:$E$553,MATCH(C143,$C$3:$C$553,0)),""))</f>
        <v/>
      </c>
      <c r="H143">
        <f>IF(B143="Supporting",IFERROR(INDEX($E$3:$E$553,1+Entity!$B$14+INDEX(Values!$O$3:$O$502,P143)),""),IF(B143="Cluster",IF(Entity!$B$14&lt;2,"",INDEX($E$3:$E$553,IF(A143-1=Entity!$B$14,2,A143+1))),""))</f>
        <v/>
      </c>
      <c r="I143">
        <f>IF(B143="Pillar",Entity!$B$14&amp;" cluster pages",IF(B143="Cluster",(COUNTIF($C$3:$C$553,SUBSTITUTE(SUBSTITUTE(C143,"?","~?"),"*","~*"))-1)&amp;" supporting pages",""))</f>
        <v/>
      </c>
      <c r="J143">
        <f>IF(B143="Pillar","Informational",IF(OR(B143="Cluster",B143="Supporting"),INDEX(Attributes!$D$3:$D$52,Q143)&amp;"",""))</f>
        <v/>
      </c>
      <c r="K143">
        <f>IF(B143="","",IF(B143="Pillar","Pillar guide (entity hub)",IF(B143="Cluster","Hub page for this attribute",IF(INDEX(Values!$C$3:$C$502,P143)="Yes","Entity page (profile of the sub-entity)",IFERROR(INDEX(Lists!$B$3:$B$6,MATCH(J143,Lists!$A$3:$A$6,0)),"Article")))))</f>
        <v/>
      </c>
      <c r="L143">
        <f>IF(B143="Pillar",Entity!$B$6&amp;"",IF(B143="Cluster",INDEX(Attributes!$I$3:$I$52,Q143)&amp;"",IF(B143="Supporting",INDEX(Values!$F$3:$F$502,P143)&amp;"","")))</f>
        <v/>
      </c>
      <c r="M143">
        <f>IF(B143="","",IF(L143&lt;&gt;"","Covered","Gap"))</f>
        <v/>
      </c>
      <c r="N143">
        <f>IF(B143="Pillar",SUMIFS(Values!$E$3:$E$502,Values!$I$3:$I$502,"Yes"),IF(B143="Cluster",SUMIFS(Values!$E$3:$E$502,Values!$A$3:$A$502,SUBSTITUTE(SUBSTITUTE(C143,"?","~?"),"*","~*"),Values!$I$3:$I$502,"Yes"),IF(B143="Supporting",N(INDEX(Values!$E$3:$E$502,P143)),"")))</f>
        <v/>
      </c>
      <c r="O143">
        <f>IF(B143="","",IF(B143="Pillar",100,IF(B143="Cluster",N(INDEX(Attributes!$E$3:$E$52,Q143))*25+IF(M143="Gap",10,0),N(INDEX(Attributes!$E$3:$E$52,Q143))*20+MIN(20,ROUND(LOG10(N(N143)+1)*5,0))+IF(M143="Gap",10,0)+IF(INDEX(Values!$D$3:$D$502,P143)="Yes",5,0))))</f>
        <v/>
      </c>
      <c r="P143">
        <f>IF(B143="Supporting",MATCH(A143-1-Entity!$B$14,Values!$J$3:$J$502,0),"")</f>
        <v/>
      </c>
      <c r="Q143">
        <f>IF(C143="","",MATCH(C143,Attributes!$A$3:$A$52,0))</f>
        <v/>
      </c>
      <c r="R143">
        <f>IF(B143="Pillar",SUBSTITUTE(Entity!$B$7,"{entity}",LOWER(Entity!$B$3)),IF(B143="Cluster",IF(INDEX(Attributes!$G$3:$G$52,Q143)&lt;&gt;"",INDEX(Attributes!$G$3:$G$52,Q143),SUBSTITUTE(SUBSTITUTE(Entity!$B$8,"{entity}",LOWER(Entity!$B$3)),"{attribute}",LOWER(C143))),IF(B143="Supporting",SUBSTITUTE(SUBSTITUTE(SUBSTITUTE(IF(INDEX(Attributes!$H$3:$H$52,Q143)&lt;&gt;"",INDEX(Attributes!$H$3:$H$52,Q143),Entity!$B$9),"{entity}",LOWER(Entity!$B$3)),"{value}",D143),"{attribute}",LOWER(C143)),"")))</f>
        <v/>
      </c>
    </row>
    <row r="144">
      <c r="A144">
        <f>ROW()-2</f>
        <v/>
      </c>
      <c r="B144">
        <f>IF(A144=1,"Pillar",IF(A144&lt;=1+Entity!$B$14,"Cluster",IF(A144&lt;=1+Entity!$B$14+Entity!$B$15,"Supporting","")))</f>
        <v/>
      </c>
      <c r="C144">
        <f>IF(B144="Cluster",INDEX(Attributes!$A$3:$A$52,MATCH(A144-1,Attributes!$P$3:$P$52,0)),IF(B144="Supporting",INDEX(Values!$A$3:$A$502,P144),""))</f>
        <v/>
      </c>
      <c r="D144">
        <f>IF(B144="Supporting",INDEX(Values!$B$3:$B$502,P144),"")</f>
        <v/>
      </c>
      <c r="E144">
        <f>IF(R144="","",UPPER(LEFT(R144,1))&amp;MID(R144,2,500))</f>
        <v/>
      </c>
      <c r="F144">
        <f>IF(E144="","",LOWER(SUBSTITUTE(SUBSTITUTE(SUBSTITUTE(SUBSTITUTE(SUBSTITUTE(SUBSTITUTE(SUBSTITUTE(TRIM(E144),":",""),",",""),"'",""),"&amp;","and"),"£",""),"  "," ")," ","-")))</f>
        <v/>
      </c>
      <c r="G144">
        <f>IF(B144="Cluster",$E$3,IF(B144="Supporting",INDEX($E$3:$E$553,MATCH(C144,$C$3:$C$553,0)),""))</f>
        <v/>
      </c>
      <c r="H144">
        <f>IF(B144="Supporting",IFERROR(INDEX($E$3:$E$553,1+Entity!$B$14+INDEX(Values!$O$3:$O$502,P144)),""),IF(B144="Cluster",IF(Entity!$B$14&lt;2,"",INDEX($E$3:$E$553,IF(A144-1=Entity!$B$14,2,A144+1))),""))</f>
        <v/>
      </c>
      <c r="I144">
        <f>IF(B144="Pillar",Entity!$B$14&amp;" cluster pages",IF(B144="Cluster",(COUNTIF($C$3:$C$553,SUBSTITUTE(SUBSTITUTE(C144,"?","~?"),"*","~*"))-1)&amp;" supporting pages",""))</f>
        <v/>
      </c>
      <c r="J144">
        <f>IF(B144="Pillar","Informational",IF(OR(B144="Cluster",B144="Supporting"),INDEX(Attributes!$D$3:$D$52,Q144)&amp;"",""))</f>
        <v/>
      </c>
      <c r="K144">
        <f>IF(B144="","",IF(B144="Pillar","Pillar guide (entity hub)",IF(B144="Cluster","Hub page for this attribute",IF(INDEX(Values!$C$3:$C$502,P144)="Yes","Entity page (profile of the sub-entity)",IFERROR(INDEX(Lists!$B$3:$B$6,MATCH(J144,Lists!$A$3:$A$6,0)),"Article")))))</f>
        <v/>
      </c>
      <c r="L144">
        <f>IF(B144="Pillar",Entity!$B$6&amp;"",IF(B144="Cluster",INDEX(Attributes!$I$3:$I$52,Q144)&amp;"",IF(B144="Supporting",INDEX(Values!$F$3:$F$502,P144)&amp;"","")))</f>
        <v/>
      </c>
      <c r="M144">
        <f>IF(B144="","",IF(L144&lt;&gt;"","Covered","Gap"))</f>
        <v/>
      </c>
      <c r="N144">
        <f>IF(B144="Pillar",SUMIFS(Values!$E$3:$E$502,Values!$I$3:$I$502,"Yes"),IF(B144="Cluster",SUMIFS(Values!$E$3:$E$502,Values!$A$3:$A$502,SUBSTITUTE(SUBSTITUTE(C144,"?","~?"),"*","~*"),Values!$I$3:$I$502,"Yes"),IF(B144="Supporting",N(INDEX(Values!$E$3:$E$502,P144)),"")))</f>
        <v/>
      </c>
      <c r="O144">
        <f>IF(B144="","",IF(B144="Pillar",100,IF(B144="Cluster",N(INDEX(Attributes!$E$3:$E$52,Q144))*25+IF(M144="Gap",10,0),N(INDEX(Attributes!$E$3:$E$52,Q144))*20+MIN(20,ROUND(LOG10(N(N144)+1)*5,0))+IF(M144="Gap",10,0)+IF(INDEX(Values!$D$3:$D$502,P144)="Yes",5,0))))</f>
        <v/>
      </c>
      <c r="P144">
        <f>IF(B144="Supporting",MATCH(A144-1-Entity!$B$14,Values!$J$3:$J$502,0),"")</f>
        <v/>
      </c>
      <c r="Q144">
        <f>IF(C144="","",MATCH(C144,Attributes!$A$3:$A$52,0))</f>
        <v/>
      </c>
      <c r="R144">
        <f>IF(B144="Pillar",SUBSTITUTE(Entity!$B$7,"{entity}",LOWER(Entity!$B$3)),IF(B144="Cluster",IF(INDEX(Attributes!$G$3:$G$52,Q144)&lt;&gt;"",INDEX(Attributes!$G$3:$G$52,Q144),SUBSTITUTE(SUBSTITUTE(Entity!$B$8,"{entity}",LOWER(Entity!$B$3)),"{attribute}",LOWER(C144))),IF(B144="Supporting",SUBSTITUTE(SUBSTITUTE(SUBSTITUTE(IF(INDEX(Attributes!$H$3:$H$52,Q144)&lt;&gt;"",INDEX(Attributes!$H$3:$H$52,Q144),Entity!$B$9),"{entity}",LOWER(Entity!$B$3)),"{value}",D144),"{attribute}",LOWER(C144)),"")))</f>
        <v/>
      </c>
    </row>
    <row r="145">
      <c r="A145">
        <f>ROW()-2</f>
        <v/>
      </c>
      <c r="B145">
        <f>IF(A145=1,"Pillar",IF(A145&lt;=1+Entity!$B$14,"Cluster",IF(A145&lt;=1+Entity!$B$14+Entity!$B$15,"Supporting","")))</f>
        <v/>
      </c>
      <c r="C145">
        <f>IF(B145="Cluster",INDEX(Attributes!$A$3:$A$52,MATCH(A145-1,Attributes!$P$3:$P$52,0)),IF(B145="Supporting",INDEX(Values!$A$3:$A$502,P145),""))</f>
        <v/>
      </c>
      <c r="D145">
        <f>IF(B145="Supporting",INDEX(Values!$B$3:$B$502,P145),"")</f>
        <v/>
      </c>
      <c r="E145">
        <f>IF(R145="","",UPPER(LEFT(R145,1))&amp;MID(R145,2,500))</f>
        <v/>
      </c>
      <c r="F145">
        <f>IF(E145="","",LOWER(SUBSTITUTE(SUBSTITUTE(SUBSTITUTE(SUBSTITUTE(SUBSTITUTE(SUBSTITUTE(SUBSTITUTE(TRIM(E145),":",""),",",""),"'",""),"&amp;","and"),"£",""),"  "," ")," ","-")))</f>
        <v/>
      </c>
      <c r="G145">
        <f>IF(B145="Cluster",$E$3,IF(B145="Supporting",INDEX($E$3:$E$553,MATCH(C145,$C$3:$C$553,0)),""))</f>
        <v/>
      </c>
      <c r="H145">
        <f>IF(B145="Supporting",IFERROR(INDEX($E$3:$E$553,1+Entity!$B$14+INDEX(Values!$O$3:$O$502,P145)),""),IF(B145="Cluster",IF(Entity!$B$14&lt;2,"",INDEX($E$3:$E$553,IF(A145-1=Entity!$B$14,2,A145+1))),""))</f>
        <v/>
      </c>
      <c r="I145">
        <f>IF(B145="Pillar",Entity!$B$14&amp;" cluster pages",IF(B145="Cluster",(COUNTIF($C$3:$C$553,SUBSTITUTE(SUBSTITUTE(C145,"?","~?"),"*","~*"))-1)&amp;" supporting pages",""))</f>
        <v/>
      </c>
      <c r="J145">
        <f>IF(B145="Pillar","Informational",IF(OR(B145="Cluster",B145="Supporting"),INDEX(Attributes!$D$3:$D$52,Q145)&amp;"",""))</f>
        <v/>
      </c>
      <c r="K145">
        <f>IF(B145="","",IF(B145="Pillar","Pillar guide (entity hub)",IF(B145="Cluster","Hub page for this attribute",IF(INDEX(Values!$C$3:$C$502,P145)="Yes","Entity page (profile of the sub-entity)",IFERROR(INDEX(Lists!$B$3:$B$6,MATCH(J145,Lists!$A$3:$A$6,0)),"Article")))))</f>
        <v/>
      </c>
      <c r="L145">
        <f>IF(B145="Pillar",Entity!$B$6&amp;"",IF(B145="Cluster",INDEX(Attributes!$I$3:$I$52,Q145)&amp;"",IF(B145="Supporting",INDEX(Values!$F$3:$F$502,P145)&amp;"","")))</f>
        <v/>
      </c>
      <c r="M145">
        <f>IF(B145="","",IF(L145&lt;&gt;"","Covered","Gap"))</f>
        <v/>
      </c>
      <c r="N145">
        <f>IF(B145="Pillar",SUMIFS(Values!$E$3:$E$502,Values!$I$3:$I$502,"Yes"),IF(B145="Cluster",SUMIFS(Values!$E$3:$E$502,Values!$A$3:$A$502,SUBSTITUTE(SUBSTITUTE(C145,"?","~?"),"*","~*"),Values!$I$3:$I$502,"Yes"),IF(B145="Supporting",N(INDEX(Values!$E$3:$E$502,P145)),"")))</f>
        <v/>
      </c>
      <c r="O145">
        <f>IF(B145="","",IF(B145="Pillar",100,IF(B145="Cluster",N(INDEX(Attributes!$E$3:$E$52,Q145))*25+IF(M145="Gap",10,0),N(INDEX(Attributes!$E$3:$E$52,Q145))*20+MIN(20,ROUND(LOG10(N(N145)+1)*5,0))+IF(M145="Gap",10,0)+IF(INDEX(Values!$D$3:$D$502,P145)="Yes",5,0))))</f>
        <v/>
      </c>
      <c r="P145">
        <f>IF(B145="Supporting",MATCH(A145-1-Entity!$B$14,Values!$J$3:$J$502,0),"")</f>
        <v/>
      </c>
      <c r="Q145">
        <f>IF(C145="","",MATCH(C145,Attributes!$A$3:$A$52,0))</f>
        <v/>
      </c>
      <c r="R145">
        <f>IF(B145="Pillar",SUBSTITUTE(Entity!$B$7,"{entity}",LOWER(Entity!$B$3)),IF(B145="Cluster",IF(INDEX(Attributes!$G$3:$G$52,Q145)&lt;&gt;"",INDEX(Attributes!$G$3:$G$52,Q145),SUBSTITUTE(SUBSTITUTE(Entity!$B$8,"{entity}",LOWER(Entity!$B$3)),"{attribute}",LOWER(C145))),IF(B145="Supporting",SUBSTITUTE(SUBSTITUTE(SUBSTITUTE(IF(INDEX(Attributes!$H$3:$H$52,Q145)&lt;&gt;"",INDEX(Attributes!$H$3:$H$52,Q145),Entity!$B$9),"{entity}",LOWER(Entity!$B$3)),"{value}",D145),"{attribute}",LOWER(C145)),"")))</f>
        <v/>
      </c>
    </row>
    <row r="146">
      <c r="A146">
        <f>ROW()-2</f>
        <v/>
      </c>
      <c r="B146">
        <f>IF(A146=1,"Pillar",IF(A146&lt;=1+Entity!$B$14,"Cluster",IF(A146&lt;=1+Entity!$B$14+Entity!$B$15,"Supporting","")))</f>
        <v/>
      </c>
      <c r="C146">
        <f>IF(B146="Cluster",INDEX(Attributes!$A$3:$A$52,MATCH(A146-1,Attributes!$P$3:$P$52,0)),IF(B146="Supporting",INDEX(Values!$A$3:$A$502,P146),""))</f>
        <v/>
      </c>
      <c r="D146">
        <f>IF(B146="Supporting",INDEX(Values!$B$3:$B$502,P146),"")</f>
        <v/>
      </c>
      <c r="E146">
        <f>IF(R146="","",UPPER(LEFT(R146,1))&amp;MID(R146,2,500))</f>
        <v/>
      </c>
      <c r="F146">
        <f>IF(E146="","",LOWER(SUBSTITUTE(SUBSTITUTE(SUBSTITUTE(SUBSTITUTE(SUBSTITUTE(SUBSTITUTE(SUBSTITUTE(TRIM(E146),":",""),",",""),"'",""),"&amp;","and"),"£",""),"  "," ")," ","-")))</f>
        <v/>
      </c>
      <c r="G146">
        <f>IF(B146="Cluster",$E$3,IF(B146="Supporting",INDEX($E$3:$E$553,MATCH(C146,$C$3:$C$553,0)),""))</f>
        <v/>
      </c>
      <c r="H146">
        <f>IF(B146="Supporting",IFERROR(INDEX($E$3:$E$553,1+Entity!$B$14+INDEX(Values!$O$3:$O$502,P146)),""),IF(B146="Cluster",IF(Entity!$B$14&lt;2,"",INDEX($E$3:$E$553,IF(A146-1=Entity!$B$14,2,A146+1))),""))</f>
        <v/>
      </c>
      <c r="I146">
        <f>IF(B146="Pillar",Entity!$B$14&amp;" cluster pages",IF(B146="Cluster",(COUNTIF($C$3:$C$553,SUBSTITUTE(SUBSTITUTE(C146,"?","~?"),"*","~*"))-1)&amp;" supporting pages",""))</f>
        <v/>
      </c>
      <c r="J146">
        <f>IF(B146="Pillar","Informational",IF(OR(B146="Cluster",B146="Supporting"),INDEX(Attributes!$D$3:$D$52,Q146)&amp;"",""))</f>
        <v/>
      </c>
      <c r="K146">
        <f>IF(B146="","",IF(B146="Pillar","Pillar guide (entity hub)",IF(B146="Cluster","Hub page for this attribute",IF(INDEX(Values!$C$3:$C$502,P146)="Yes","Entity page (profile of the sub-entity)",IFERROR(INDEX(Lists!$B$3:$B$6,MATCH(J146,Lists!$A$3:$A$6,0)),"Article")))))</f>
        <v/>
      </c>
      <c r="L146">
        <f>IF(B146="Pillar",Entity!$B$6&amp;"",IF(B146="Cluster",INDEX(Attributes!$I$3:$I$52,Q146)&amp;"",IF(B146="Supporting",INDEX(Values!$F$3:$F$502,P146)&amp;"","")))</f>
        <v/>
      </c>
      <c r="M146">
        <f>IF(B146="","",IF(L146&lt;&gt;"","Covered","Gap"))</f>
        <v/>
      </c>
      <c r="N146">
        <f>IF(B146="Pillar",SUMIFS(Values!$E$3:$E$502,Values!$I$3:$I$502,"Yes"),IF(B146="Cluster",SUMIFS(Values!$E$3:$E$502,Values!$A$3:$A$502,SUBSTITUTE(SUBSTITUTE(C146,"?","~?"),"*","~*"),Values!$I$3:$I$502,"Yes"),IF(B146="Supporting",N(INDEX(Values!$E$3:$E$502,P146)),"")))</f>
        <v/>
      </c>
      <c r="O146">
        <f>IF(B146="","",IF(B146="Pillar",100,IF(B146="Cluster",N(INDEX(Attributes!$E$3:$E$52,Q146))*25+IF(M146="Gap",10,0),N(INDEX(Attributes!$E$3:$E$52,Q146))*20+MIN(20,ROUND(LOG10(N(N146)+1)*5,0))+IF(M146="Gap",10,0)+IF(INDEX(Values!$D$3:$D$502,P146)="Yes",5,0))))</f>
        <v/>
      </c>
      <c r="P146">
        <f>IF(B146="Supporting",MATCH(A146-1-Entity!$B$14,Values!$J$3:$J$502,0),"")</f>
        <v/>
      </c>
      <c r="Q146">
        <f>IF(C146="","",MATCH(C146,Attributes!$A$3:$A$52,0))</f>
        <v/>
      </c>
      <c r="R146">
        <f>IF(B146="Pillar",SUBSTITUTE(Entity!$B$7,"{entity}",LOWER(Entity!$B$3)),IF(B146="Cluster",IF(INDEX(Attributes!$G$3:$G$52,Q146)&lt;&gt;"",INDEX(Attributes!$G$3:$G$52,Q146),SUBSTITUTE(SUBSTITUTE(Entity!$B$8,"{entity}",LOWER(Entity!$B$3)),"{attribute}",LOWER(C146))),IF(B146="Supporting",SUBSTITUTE(SUBSTITUTE(SUBSTITUTE(IF(INDEX(Attributes!$H$3:$H$52,Q146)&lt;&gt;"",INDEX(Attributes!$H$3:$H$52,Q146),Entity!$B$9),"{entity}",LOWER(Entity!$B$3)),"{value}",D146),"{attribute}",LOWER(C146)),"")))</f>
        <v/>
      </c>
    </row>
    <row r="147">
      <c r="A147">
        <f>ROW()-2</f>
        <v/>
      </c>
      <c r="B147">
        <f>IF(A147=1,"Pillar",IF(A147&lt;=1+Entity!$B$14,"Cluster",IF(A147&lt;=1+Entity!$B$14+Entity!$B$15,"Supporting","")))</f>
        <v/>
      </c>
      <c r="C147">
        <f>IF(B147="Cluster",INDEX(Attributes!$A$3:$A$52,MATCH(A147-1,Attributes!$P$3:$P$52,0)),IF(B147="Supporting",INDEX(Values!$A$3:$A$502,P147),""))</f>
        <v/>
      </c>
      <c r="D147">
        <f>IF(B147="Supporting",INDEX(Values!$B$3:$B$502,P147),"")</f>
        <v/>
      </c>
      <c r="E147">
        <f>IF(R147="","",UPPER(LEFT(R147,1))&amp;MID(R147,2,500))</f>
        <v/>
      </c>
      <c r="F147">
        <f>IF(E147="","",LOWER(SUBSTITUTE(SUBSTITUTE(SUBSTITUTE(SUBSTITUTE(SUBSTITUTE(SUBSTITUTE(SUBSTITUTE(TRIM(E147),":",""),",",""),"'",""),"&amp;","and"),"£",""),"  "," ")," ","-")))</f>
        <v/>
      </c>
      <c r="G147">
        <f>IF(B147="Cluster",$E$3,IF(B147="Supporting",INDEX($E$3:$E$553,MATCH(C147,$C$3:$C$553,0)),""))</f>
        <v/>
      </c>
      <c r="H147">
        <f>IF(B147="Supporting",IFERROR(INDEX($E$3:$E$553,1+Entity!$B$14+INDEX(Values!$O$3:$O$502,P147)),""),IF(B147="Cluster",IF(Entity!$B$14&lt;2,"",INDEX($E$3:$E$553,IF(A147-1=Entity!$B$14,2,A147+1))),""))</f>
        <v/>
      </c>
      <c r="I147">
        <f>IF(B147="Pillar",Entity!$B$14&amp;" cluster pages",IF(B147="Cluster",(COUNTIF($C$3:$C$553,SUBSTITUTE(SUBSTITUTE(C147,"?","~?"),"*","~*"))-1)&amp;" supporting pages",""))</f>
        <v/>
      </c>
      <c r="J147">
        <f>IF(B147="Pillar","Informational",IF(OR(B147="Cluster",B147="Supporting"),INDEX(Attributes!$D$3:$D$52,Q147)&amp;"",""))</f>
        <v/>
      </c>
      <c r="K147">
        <f>IF(B147="","",IF(B147="Pillar","Pillar guide (entity hub)",IF(B147="Cluster","Hub page for this attribute",IF(INDEX(Values!$C$3:$C$502,P147)="Yes","Entity page (profile of the sub-entity)",IFERROR(INDEX(Lists!$B$3:$B$6,MATCH(J147,Lists!$A$3:$A$6,0)),"Article")))))</f>
        <v/>
      </c>
      <c r="L147">
        <f>IF(B147="Pillar",Entity!$B$6&amp;"",IF(B147="Cluster",INDEX(Attributes!$I$3:$I$52,Q147)&amp;"",IF(B147="Supporting",INDEX(Values!$F$3:$F$502,P147)&amp;"","")))</f>
        <v/>
      </c>
      <c r="M147">
        <f>IF(B147="","",IF(L147&lt;&gt;"","Covered","Gap"))</f>
        <v/>
      </c>
      <c r="N147">
        <f>IF(B147="Pillar",SUMIFS(Values!$E$3:$E$502,Values!$I$3:$I$502,"Yes"),IF(B147="Cluster",SUMIFS(Values!$E$3:$E$502,Values!$A$3:$A$502,SUBSTITUTE(SUBSTITUTE(C147,"?","~?"),"*","~*"),Values!$I$3:$I$502,"Yes"),IF(B147="Supporting",N(INDEX(Values!$E$3:$E$502,P147)),"")))</f>
        <v/>
      </c>
      <c r="O147">
        <f>IF(B147="","",IF(B147="Pillar",100,IF(B147="Cluster",N(INDEX(Attributes!$E$3:$E$52,Q147))*25+IF(M147="Gap",10,0),N(INDEX(Attributes!$E$3:$E$52,Q147))*20+MIN(20,ROUND(LOG10(N(N147)+1)*5,0))+IF(M147="Gap",10,0)+IF(INDEX(Values!$D$3:$D$502,P147)="Yes",5,0))))</f>
        <v/>
      </c>
      <c r="P147">
        <f>IF(B147="Supporting",MATCH(A147-1-Entity!$B$14,Values!$J$3:$J$502,0),"")</f>
        <v/>
      </c>
      <c r="Q147">
        <f>IF(C147="","",MATCH(C147,Attributes!$A$3:$A$52,0))</f>
        <v/>
      </c>
      <c r="R147">
        <f>IF(B147="Pillar",SUBSTITUTE(Entity!$B$7,"{entity}",LOWER(Entity!$B$3)),IF(B147="Cluster",IF(INDEX(Attributes!$G$3:$G$52,Q147)&lt;&gt;"",INDEX(Attributes!$G$3:$G$52,Q147),SUBSTITUTE(SUBSTITUTE(Entity!$B$8,"{entity}",LOWER(Entity!$B$3)),"{attribute}",LOWER(C147))),IF(B147="Supporting",SUBSTITUTE(SUBSTITUTE(SUBSTITUTE(IF(INDEX(Attributes!$H$3:$H$52,Q147)&lt;&gt;"",INDEX(Attributes!$H$3:$H$52,Q147),Entity!$B$9),"{entity}",LOWER(Entity!$B$3)),"{value}",D147),"{attribute}",LOWER(C147)),"")))</f>
        <v/>
      </c>
    </row>
    <row r="148">
      <c r="A148">
        <f>ROW()-2</f>
        <v/>
      </c>
      <c r="B148">
        <f>IF(A148=1,"Pillar",IF(A148&lt;=1+Entity!$B$14,"Cluster",IF(A148&lt;=1+Entity!$B$14+Entity!$B$15,"Supporting","")))</f>
        <v/>
      </c>
      <c r="C148">
        <f>IF(B148="Cluster",INDEX(Attributes!$A$3:$A$52,MATCH(A148-1,Attributes!$P$3:$P$52,0)),IF(B148="Supporting",INDEX(Values!$A$3:$A$502,P148),""))</f>
        <v/>
      </c>
      <c r="D148">
        <f>IF(B148="Supporting",INDEX(Values!$B$3:$B$502,P148),"")</f>
        <v/>
      </c>
      <c r="E148">
        <f>IF(R148="","",UPPER(LEFT(R148,1))&amp;MID(R148,2,500))</f>
        <v/>
      </c>
      <c r="F148">
        <f>IF(E148="","",LOWER(SUBSTITUTE(SUBSTITUTE(SUBSTITUTE(SUBSTITUTE(SUBSTITUTE(SUBSTITUTE(SUBSTITUTE(TRIM(E148),":",""),",",""),"'",""),"&amp;","and"),"£",""),"  "," ")," ","-")))</f>
        <v/>
      </c>
      <c r="G148">
        <f>IF(B148="Cluster",$E$3,IF(B148="Supporting",INDEX($E$3:$E$553,MATCH(C148,$C$3:$C$553,0)),""))</f>
        <v/>
      </c>
      <c r="H148">
        <f>IF(B148="Supporting",IFERROR(INDEX($E$3:$E$553,1+Entity!$B$14+INDEX(Values!$O$3:$O$502,P148)),""),IF(B148="Cluster",IF(Entity!$B$14&lt;2,"",INDEX($E$3:$E$553,IF(A148-1=Entity!$B$14,2,A148+1))),""))</f>
        <v/>
      </c>
      <c r="I148">
        <f>IF(B148="Pillar",Entity!$B$14&amp;" cluster pages",IF(B148="Cluster",(COUNTIF($C$3:$C$553,SUBSTITUTE(SUBSTITUTE(C148,"?","~?"),"*","~*"))-1)&amp;" supporting pages",""))</f>
        <v/>
      </c>
      <c r="J148">
        <f>IF(B148="Pillar","Informational",IF(OR(B148="Cluster",B148="Supporting"),INDEX(Attributes!$D$3:$D$52,Q148)&amp;"",""))</f>
        <v/>
      </c>
      <c r="K148">
        <f>IF(B148="","",IF(B148="Pillar","Pillar guide (entity hub)",IF(B148="Cluster","Hub page for this attribute",IF(INDEX(Values!$C$3:$C$502,P148)="Yes","Entity page (profile of the sub-entity)",IFERROR(INDEX(Lists!$B$3:$B$6,MATCH(J148,Lists!$A$3:$A$6,0)),"Article")))))</f>
        <v/>
      </c>
      <c r="L148">
        <f>IF(B148="Pillar",Entity!$B$6&amp;"",IF(B148="Cluster",INDEX(Attributes!$I$3:$I$52,Q148)&amp;"",IF(B148="Supporting",INDEX(Values!$F$3:$F$502,P148)&amp;"","")))</f>
        <v/>
      </c>
      <c r="M148">
        <f>IF(B148="","",IF(L148&lt;&gt;"","Covered","Gap"))</f>
        <v/>
      </c>
      <c r="N148">
        <f>IF(B148="Pillar",SUMIFS(Values!$E$3:$E$502,Values!$I$3:$I$502,"Yes"),IF(B148="Cluster",SUMIFS(Values!$E$3:$E$502,Values!$A$3:$A$502,SUBSTITUTE(SUBSTITUTE(C148,"?","~?"),"*","~*"),Values!$I$3:$I$502,"Yes"),IF(B148="Supporting",N(INDEX(Values!$E$3:$E$502,P148)),"")))</f>
        <v/>
      </c>
      <c r="O148">
        <f>IF(B148="","",IF(B148="Pillar",100,IF(B148="Cluster",N(INDEX(Attributes!$E$3:$E$52,Q148))*25+IF(M148="Gap",10,0),N(INDEX(Attributes!$E$3:$E$52,Q148))*20+MIN(20,ROUND(LOG10(N(N148)+1)*5,0))+IF(M148="Gap",10,0)+IF(INDEX(Values!$D$3:$D$502,P148)="Yes",5,0))))</f>
        <v/>
      </c>
      <c r="P148">
        <f>IF(B148="Supporting",MATCH(A148-1-Entity!$B$14,Values!$J$3:$J$502,0),"")</f>
        <v/>
      </c>
      <c r="Q148">
        <f>IF(C148="","",MATCH(C148,Attributes!$A$3:$A$52,0))</f>
        <v/>
      </c>
      <c r="R148">
        <f>IF(B148="Pillar",SUBSTITUTE(Entity!$B$7,"{entity}",LOWER(Entity!$B$3)),IF(B148="Cluster",IF(INDEX(Attributes!$G$3:$G$52,Q148)&lt;&gt;"",INDEX(Attributes!$G$3:$G$52,Q148),SUBSTITUTE(SUBSTITUTE(Entity!$B$8,"{entity}",LOWER(Entity!$B$3)),"{attribute}",LOWER(C148))),IF(B148="Supporting",SUBSTITUTE(SUBSTITUTE(SUBSTITUTE(IF(INDEX(Attributes!$H$3:$H$52,Q148)&lt;&gt;"",INDEX(Attributes!$H$3:$H$52,Q148),Entity!$B$9),"{entity}",LOWER(Entity!$B$3)),"{value}",D148),"{attribute}",LOWER(C148)),"")))</f>
        <v/>
      </c>
    </row>
    <row r="149">
      <c r="A149">
        <f>ROW()-2</f>
        <v/>
      </c>
      <c r="B149">
        <f>IF(A149=1,"Pillar",IF(A149&lt;=1+Entity!$B$14,"Cluster",IF(A149&lt;=1+Entity!$B$14+Entity!$B$15,"Supporting","")))</f>
        <v/>
      </c>
      <c r="C149">
        <f>IF(B149="Cluster",INDEX(Attributes!$A$3:$A$52,MATCH(A149-1,Attributes!$P$3:$P$52,0)),IF(B149="Supporting",INDEX(Values!$A$3:$A$502,P149),""))</f>
        <v/>
      </c>
      <c r="D149">
        <f>IF(B149="Supporting",INDEX(Values!$B$3:$B$502,P149),"")</f>
        <v/>
      </c>
      <c r="E149">
        <f>IF(R149="","",UPPER(LEFT(R149,1))&amp;MID(R149,2,500))</f>
        <v/>
      </c>
      <c r="F149">
        <f>IF(E149="","",LOWER(SUBSTITUTE(SUBSTITUTE(SUBSTITUTE(SUBSTITUTE(SUBSTITUTE(SUBSTITUTE(SUBSTITUTE(TRIM(E149),":",""),",",""),"'",""),"&amp;","and"),"£",""),"  "," ")," ","-")))</f>
        <v/>
      </c>
      <c r="G149">
        <f>IF(B149="Cluster",$E$3,IF(B149="Supporting",INDEX($E$3:$E$553,MATCH(C149,$C$3:$C$553,0)),""))</f>
        <v/>
      </c>
      <c r="H149">
        <f>IF(B149="Supporting",IFERROR(INDEX($E$3:$E$553,1+Entity!$B$14+INDEX(Values!$O$3:$O$502,P149)),""),IF(B149="Cluster",IF(Entity!$B$14&lt;2,"",INDEX($E$3:$E$553,IF(A149-1=Entity!$B$14,2,A149+1))),""))</f>
        <v/>
      </c>
      <c r="I149">
        <f>IF(B149="Pillar",Entity!$B$14&amp;" cluster pages",IF(B149="Cluster",(COUNTIF($C$3:$C$553,SUBSTITUTE(SUBSTITUTE(C149,"?","~?"),"*","~*"))-1)&amp;" supporting pages",""))</f>
        <v/>
      </c>
      <c r="J149">
        <f>IF(B149="Pillar","Informational",IF(OR(B149="Cluster",B149="Supporting"),INDEX(Attributes!$D$3:$D$52,Q149)&amp;"",""))</f>
        <v/>
      </c>
      <c r="K149">
        <f>IF(B149="","",IF(B149="Pillar","Pillar guide (entity hub)",IF(B149="Cluster","Hub page for this attribute",IF(INDEX(Values!$C$3:$C$502,P149)="Yes","Entity page (profile of the sub-entity)",IFERROR(INDEX(Lists!$B$3:$B$6,MATCH(J149,Lists!$A$3:$A$6,0)),"Article")))))</f>
        <v/>
      </c>
      <c r="L149">
        <f>IF(B149="Pillar",Entity!$B$6&amp;"",IF(B149="Cluster",INDEX(Attributes!$I$3:$I$52,Q149)&amp;"",IF(B149="Supporting",INDEX(Values!$F$3:$F$502,P149)&amp;"","")))</f>
        <v/>
      </c>
      <c r="M149">
        <f>IF(B149="","",IF(L149&lt;&gt;"","Covered","Gap"))</f>
        <v/>
      </c>
      <c r="N149">
        <f>IF(B149="Pillar",SUMIFS(Values!$E$3:$E$502,Values!$I$3:$I$502,"Yes"),IF(B149="Cluster",SUMIFS(Values!$E$3:$E$502,Values!$A$3:$A$502,SUBSTITUTE(SUBSTITUTE(C149,"?","~?"),"*","~*"),Values!$I$3:$I$502,"Yes"),IF(B149="Supporting",N(INDEX(Values!$E$3:$E$502,P149)),"")))</f>
        <v/>
      </c>
      <c r="O149">
        <f>IF(B149="","",IF(B149="Pillar",100,IF(B149="Cluster",N(INDEX(Attributes!$E$3:$E$52,Q149))*25+IF(M149="Gap",10,0),N(INDEX(Attributes!$E$3:$E$52,Q149))*20+MIN(20,ROUND(LOG10(N(N149)+1)*5,0))+IF(M149="Gap",10,0)+IF(INDEX(Values!$D$3:$D$502,P149)="Yes",5,0))))</f>
        <v/>
      </c>
      <c r="P149">
        <f>IF(B149="Supporting",MATCH(A149-1-Entity!$B$14,Values!$J$3:$J$502,0),"")</f>
        <v/>
      </c>
      <c r="Q149">
        <f>IF(C149="","",MATCH(C149,Attributes!$A$3:$A$52,0))</f>
        <v/>
      </c>
      <c r="R149">
        <f>IF(B149="Pillar",SUBSTITUTE(Entity!$B$7,"{entity}",LOWER(Entity!$B$3)),IF(B149="Cluster",IF(INDEX(Attributes!$G$3:$G$52,Q149)&lt;&gt;"",INDEX(Attributes!$G$3:$G$52,Q149),SUBSTITUTE(SUBSTITUTE(Entity!$B$8,"{entity}",LOWER(Entity!$B$3)),"{attribute}",LOWER(C149))),IF(B149="Supporting",SUBSTITUTE(SUBSTITUTE(SUBSTITUTE(IF(INDEX(Attributes!$H$3:$H$52,Q149)&lt;&gt;"",INDEX(Attributes!$H$3:$H$52,Q149),Entity!$B$9),"{entity}",LOWER(Entity!$B$3)),"{value}",D149),"{attribute}",LOWER(C149)),"")))</f>
        <v/>
      </c>
    </row>
    <row r="150">
      <c r="A150">
        <f>ROW()-2</f>
        <v/>
      </c>
      <c r="B150">
        <f>IF(A150=1,"Pillar",IF(A150&lt;=1+Entity!$B$14,"Cluster",IF(A150&lt;=1+Entity!$B$14+Entity!$B$15,"Supporting","")))</f>
        <v/>
      </c>
      <c r="C150">
        <f>IF(B150="Cluster",INDEX(Attributes!$A$3:$A$52,MATCH(A150-1,Attributes!$P$3:$P$52,0)),IF(B150="Supporting",INDEX(Values!$A$3:$A$502,P150),""))</f>
        <v/>
      </c>
      <c r="D150">
        <f>IF(B150="Supporting",INDEX(Values!$B$3:$B$502,P150),"")</f>
        <v/>
      </c>
      <c r="E150">
        <f>IF(R150="","",UPPER(LEFT(R150,1))&amp;MID(R150,2,500))</f>
        <v/>
      </c>
      <c r="F150">
        <f>IF(E150="","",LOWER(SUBSTITUTE(SUBSTITUTE(SUBSTITUTE(SUBSTITUTE(SUBSTITUTE(SUBSTITUTE(SUBSTITUTE(TRIM(E150),":",""),",",""),"'",""),"&amp;","and"),"£",""),"  "," ")," ","-")))</f>
        <v/>
      </c>
      <c r="G150">
        <f>IF(B150="Cluster",$E$3,IF(B150="Supporting",INDEX($E$3:$E$553,MATCH(C150,$C$3:$C$553,0)),""))</f>
        <v/>
      </c>
      <c r="H150">
        <f>IF(B150="Supporting",IFERROR(INDEX($E$3:$E$553,1+Entity!$B$14+INDEX(Values!$O$3:$O$502,P150)),""),IF(B150="Cluster",IF(Entity!$B$14&lt;2,"",INDEX($E$3:$E$553,IF(A150-1=Entity!$B$14,2,A150+1))),""))</f>
        <v/>
      </c>
      <c r="I150">
        <f>IF(B150="Pillar",Entity!$B$14&amp;" cluster pages",IF(B150="Cluster",(COUNTIF($C$3:$C$553,SUBSTITUTE(SUBSTITUTE(C150,"?","~?"),"*","~*"))-1)&amp;" supporting pages",""))</f>
        <v/>
      </c>
      <c r="J150">
        <f>IF(B150="Pillar","Informational",IF(OR(B150="Cluster",B150="Supporting"),INDEX(Attributes!$D$3:$D$52,Q150)&amp;"",""))</f>
        <v/>
      </c>
      <c r="K150">
        <f>IF(B150="","",IF(B150="Pillar","Pillar guide (entity hub)",IF(B150="Cluster","Hub page for this attribute",IF(INDEX(Values!$C$3:$C$502,P150)="Yes","Entity page (profile of the sub-entity)",IFERROR(INDEX(Lists!$B$3:$B$6,MATCH(J150,Lists!$A$3:$A$6,0)),"Article")))))</f>
        <v/>
      </c>
      <c r="L150">
        <f>IF(B150="Pillar",Entity!$B$6&amp;"",IF(B150="Cluster",INDEX(Attributes!$I$3:$I$52,Q150)&amp;"",IF(B150="Supporting",INDEX(Values!$F$3:$F$502,P150)&amp;"","")))</f>
        <v/>
      </c>
      <c r="M150">
        <f>IF(B150="","",IF(L150&lt;&gt;"","Covered","Gap"))</f>
        <v/>
      </c>
      <c r="N150">
        <f>IF(B150="Pillar",SUMIFS(Values!$E$3:$E$502,Values!$I$3:$I$502,"Yes"),IF(B150="Cluster",SUMIFS(Values!$E$3:$E$502,Values!$A$3:$A$502,SUBSTITUTE(SUBSTITUTE(C150,"?","~?"),"*","~*"),Values!$I$3:$I$502,"Yes"),IF(B150="Supporting",N(INDEX(Values!$E$3:$E$502,P150)),"")))</f>
        <v/>
      </c>
      <c r="O150">
        <f>IF(B150="","",IF(B150="Pillar",100,IF(B150="Cluster",N(INDEX(Attributes!$E$3:$E$52,Q150))*25+IF(M150="Gap",10,0),N(INDEX(Attributes!$E$3:$E$52,Q150))*20+MIN(20,ROUND(LOG10(N(N150)+1)*5,0))+IF(M150="Gap",10,0)+IF(INDEX(Values!$D$3:$D$502,P150)="Yes",5,0))))</f>
        <v/>
      </c>
      <c r="P150">
        <f>IF(B150="Supporting",MATCH(A150-1-Entity!$B$14,Values!$J$3:$J$502,0),"")</f>
        <v/>
      </c>
      <c r="Q150">
        <f>IF(C150="","",MATCH(C150,Attributes!$A$3:$A$52,0))</f>
        <v/>
      </c>
      <c r="R150">
        <f>IF(B150="Pillar",SUBSTITUTE(Entity!$B$7,"{entity}",LOWER(Entity!$B$3)),IF(B150="Cluster",IF(INDEX(Attributes!$G$3:$G$52,Q150)&lt;&gt;"",INDEX(Attributes!$G$3:$G$52,Q150),SUBSTITUTE(SUBSTITUTE(Entity!$B$8,"{entity}",LOWER(Entity!$B$3)),"{attribute}",LOWER(C150))),IF(B150="Supporting",SUBSTITUTE(SUBSTITUTE(SUBSTITUTE(IF(INDEX(Attributes!$H$3:$H$52,Q150)&lt;&gt;"",INDEX(Attributes!$H$3:$H$52,Q150),Entity!$B$9),"{entity}",LOWER(Entity!$B$3)),"{value}",D150),"{attribute}",LOWER(C150)),"")))</f>
        <v/>
      </c>
    </row>
    <row r="151">
      <c r="A151">
        <f>ROW()-2</f>
        <v/>
      </c>
      <c r="B151">
        <f>IF(A151=1,"Pillar",IF(A151&lt;=1+Entity!$B$14,"Cluster",IF(A151&lt;=1+Entity!$B$14+Entity!$B$15,"Supporting","")))</f>
        <v/>
      </c>
      <c r="C151">
        <f>IF(B151="Cluster",INDEX(Attributes!$A$3:$A$52,MATCH(A151-1,Attributes!$P$3:$P$52,0)),IF(B151="Supporting",INDEX(Values!$A$3:$A$502,P151),""))</f>
        <v/>
      </c>
      <c r="D151">
        <f>IF(B151="Supporting",INDEX(Values!$B$3:$B$502,P151),"")</f>
        <v/>
      </c>
      <c r="E151">
        <f>IF(R151="","",UPPER(LEFT(R151,1))&amp;MID(R151,2,500))</f>
        <v/>
      </c>
      <c r="F151">
        <f>IF(E151="","",LOWER(SUBSTITUTE(SUBSTITUTE(SUBSTITUTE(SUBSTITUTE(SUBSTITUTE(SUBSTITUTE(SUBSTITUTE(TRIM(E151),":",""),",",""),"'",""),"&amp;","and"),"£",""),"  "," ")," ","-")))</f>
        <v/>
      </c>
      <c r="G151">
        <f>IF(B151="Cluster",$E$3,IF(B151="Supporting",INDEX($E$3:$E$553,MATCH(C151,$C$3:$C$553,0)),""))</f>
        <v/>
      </c>
      <c r="H151">
        <f>IF(B151="Supporting",IFERROR(INDEX($E$3:$E$553,1+Entity!$B$14+INDEX(Values!$O$3:$O$502,P151)),""),IF(B151="Cluster",IF(Entity!$B$14&lt;2,"",INDEX($E$3:$E$553,IF(A151-1=Entity!$B$14,2,A151+1))),""))</f>
        <v/>
      </c>
      <c r="I151">
        <f>IF(B151="Pillar",Entity!$B$14&amp;" cluster pages",IF(B151="Cluster",(COUNTIF($C$3:$C$553,SUBSTITUTE(SUBSTITUTE(C151,"?","~?"),"*","~*"))-1)&amp;" supporting pages",""))</f>
        <v/>
      </c>
      <c r="J151">
        <f>IF(B151="Pillar","Informational",IF(OR(B151="Cluster",B151="Supporting"),INDEX(Attributes!$D$3:$D$52,Q151)&amp;"",""))</f>
        <v/>
      </c>
      <c r="K151">
        <f>IF(B151="","",IF(B151="Pillar","Pillar guide (entity hub)",IF(B151="Cluster","Hub page for this attribute",IF(INDEX(Values!$C$3:$C$502,P151)="Yes","Entity page (profile of the sub-entity)",IFERROR(INDEX(Lists!$B$3:$B$6,MATCH(J151,Lists!$A$3:$A$6,0)),"Article")))))</f>
        <v/>
      </c>
      <c r="L151">
        <f>IF(B151="Pillar",Entity!$B$6&amp;"",IF(B151="Cluster",INDEX(Attributes!$I$3:$I$52,Q151)&amp;"",IF(B151="Supporting",INDEX(Values!$F$3:$F$502,P151)&amp;"","")))</f>
        <v/>
      </c>
      <c r="M151">
        <f>IF(B151="","",IF(L151&lt;&gt;"","Covered","Gap"))</f>
        <v/>
      </c>
      <c r="N151">
        <f>IF(B151="Pillar",SUMIFS(Values!$E$3:$E$502,Values!$I$3:$I$502,"Yes"),IF(B151="Cluster",SUMIFS(Values!$E$3:$E$502,Values!$A$3:$A$502,SUBSTITUTE(SUBSTITUTE(C151,"?","~?"),"*","~*"),Values!$I$3:$I$502,"Yes"),IF(B151="Supporting",N(INDEX(Values!$E$3:$E$502,P151)),"")))</f>
        <v/>
      </c>
      <c r="O151">
        <f>IF(B151="","",IF(B151="Pillar",100,IF(B151="Cluster",N(INDEX(Attributes!$E$3:$E$52,Q151))*25+IF(M151="Gap",10,0),N(INDEX(Attributes!$E$3:$E$52,Q151))*20+MIN(20,ROUND(LOG10(N(N151)+1)*5,0))+IF(M151="Gap",10,0)+IF(INDEX(Values!$D$3:$D$502,P151)="Yes",5,0))))</f>
        <v/>
      </c>
      <c r="P151">
        <f>IF(B151="Supporting",MATCH(A151-1-Entity!$B$14,Values!$J$3:$J$502,0),"")</f>
        <v/>
      </c>
      <c r="Q151">
        <f>IF(C151="","",MATCH(C151,Attributes!$A$3:$A$52,0))</f>
        <v/>
      </c>
      <c r="R151">
        <f>IF(B151="Pillar",SUBSTITUTE(Entity!$B$7,"{entity}",LOWER(Entity!$B$3)),IF(B151="Cluster",IF(INDEX(Attributes!$G$3:$G$52,Q151)&lt;&gt;"",INDEX(Attributes!$G$3:$G$52,Q151),SUBSTITUTE(SUBSTITUTE(Entity!$B$8,"{entity}",LOWER(Entity!$B$3)),"{attribute}",LOWER(C151))),IF(B151="Supporting",SUBSTITUTE(SUBSTITUTE(SUBSTITUTE(IF(INDEX(Attributes!$H$3:$H$52,Q151)&lt;&gt;"",INDEX(Attributes!$H$3:$H$52,Q151),Entity!$B$9),"{entity}",LOWER(Entity!$B$3)),"{value}",D151),"{attribute}",LOWER(C151)),"")))</f>
        <v/>
      </c>
    </row>
    <row r="152">
      <c r="A152">
        <f>ROW()-2</f>
        <v/>
      </c>
      <c r="B152">
        <f>IF(A152=1,"Pillar",IF(A152&lt;=1+Entity!$B$14,"Cluster",IF(A152&lt;=1+Entity!$B$14+Entity!$B$15,"Supporting","")))</f>
        <v/>
      </c>
      <c r="C152">
        <f>IF(B152="Cluster",INDEX(Attributes!$A$3:$A$52,MATCH(A152-1,Attributes!$P$3:$P$52,0)),IF(B152="Supporting",INDEX(Values!$A$3:$A$502,P152),""))</f>
        <v/>
      </c>
      <c r="D152">
        <f>IF(B152="Supporting",INDEX(Values!$B$3:$B$502,P152),"")</f>
        <v/>
      </c>
      <c r="E152">
        <f>IF(R152="","",UPPER(LEFT(R152,1))&amp;MID(R152,2,500))</f>
        <v/>
      </c>
      <c r="F152">
        <f>IF(E152="","",LOWER(SUBSTITUTE(SUBSTITUTE(SUBSTITUTE(SUBSTITUTE(SUBSTITUTE(SUBSTITUTE(SUBSTITUTE(TRIM(E152),":",""),",",""),"'",""),"&amp;","and"),"£",""),"  "," ")," ","-")))</f>
        <v/>
      </c>
      <c r="G152">
        <f>IF(B152="Cluster",$E$3,IF(B152="Supporting",INDEX($E$3:$E$553,MATCH(C152,$C$3:$C$553,0)),""))</f>
        <v/>
      </c>
      <c r="H152">
        <f>IF(B152="Supporting",IFERROR(INDEX($E$3:$E$553,1+Entity!$B$14+INDEX(Values!$O$3:$O$502,P152)),""),IF(B152="Cluster",IF(Entity!$B$14&lt;2,"",INDEX($E$3:$E$553,IF(A152-1=Entity!$B$14,2,A152+1))),""))</f>
        <v/>
      </c>
      <c r="I152">
        <f>IF(B152="Pillar",Entity!$B$14&amp;" cluster pages",IF(B152="Cluster",(COUNTIF($C$3:$C$553,SUBSTITUTE(SUBSTITUTE(C152,"?","~?"),"*","~*"))-1)&amp;" supporting pages",""))</f>
        <v/>
      </c>
      <c r="J152">
        <f>IF(B152="Pillar","Informational",IF(OR(B152="Cluster",B152="Supporting"),INDEX(Attributes!$D$3:$D$52,Q152)&amp;"",""))</f>
        <v/>
      </c>
      <c r="K152">
        <f>IF(B152="","",IF(B152="Pillar","Pillar guide (entity hub)",IF(B152="Cluster","Hub page for this attribute",IF(INDEX(Values!$C$3:$C$502,P152)="Yes","Entity page (profile of the sub-entity)",IFERROR(INDEX(Lists!$B$3:$B$6,MATCH(J152,Lists!$A$3:$A$6,0)),"Article")))))</f>
        <v/>
      </c>
      <c r="L152">
        <f>IF(B152="Pillar",Entity!$B$6&amp;"",IF(B152="Cluster",INDEX(Attributes!$I$3:$I$52,Q152)&amp;"",IF(B152="Supporting",INDEX(Values!$F$3:$F$502,P152)&amp;"","")))</f>
        <v/>
      </c>
      <c r="M152">
        <f>IF(B152="","",IF(L152&lt;&gt;"","Covered","Gap"))</f>
        <v/>
      </c>
      <c r="N152">
        <f>IF(B152="Pillar",SUMIFS(Values!$E$3:$E$502,Values!$I$3:$I$502,"Yes"),IF(B152="Cluster",SUMIFS(Values!$E$3:$E$502,Values!$A$3:$A$502,SUBSTITUTE(SUBSTITUTE(C152,"?","~?"),"*","~*"),Values!$I$3:$I$502,"Yes"),IF(B152="Supporting",N(INDEX(Values!$E$3:$E$502,P152)),"")))</f>
        <v/>
      </c>
      <c r="O152">
        <f>IF(B152="","",IF(B152="Pillar",100,IF(B152="Cluster",N(INDEX(Attributes!$E$3:$E$52,Q152))*25+IF(M152="Gap",10,0),N(INDEX(Attributes!$E$3:$E$52,Q152))*20+MIN(20,ROUND(LOG10(N(N152)+1)*5,0))+IF(M152="Gap",10,0)+IF(INDEX(Values!$D$3:$D$502,P152)="Yes",5,0))))</f>
        <v/>
      </c>
      <c r="P152">
        <f>IF(B152="Supporting",MATCH(A152-1-Entity!$B$14,Values!$J$3:$J$502,0),"")</f>
        <v/>
      </c>
      <c r="Q152">
        <f>IF(C152="","",MATCH(C152,Attributes!$A$3:$A$52,0))</f>
        <v/>
      </c>
      <c r="R152">
        <f>IF(B152="Pillar",SUBSTITUTE(Entity!$B$7,"{entity}",LOWER(Entity!$B$3)),IF(B152="Cluster",IF(INDEX(Attributes!$G$3:$G$52,Q152)&lt;&gt;"",INDEX(Attributes!$G$3:$G$52,Q152),SUBSTITUTE(SUBSTITUTE(Entity!$B$8,"{entity}",LOWER(Entity!$B$3)),"{attribute}",LOWER(C152))),IF(B152="Supporting",SUBSTITUTE(SUBSTITUTE(SUBSTITUTE(IF(INDEX(Attributes!$H$3:$H$52,Q152)&lt;&gt;"",INDEX(Attributes!$H$3:$H$52,Q152),Entity!$B$9),"{entity}",LOWER(Entity!$B$3)),"{value}",D152),"{attribute}",LOWER(C152)),"")))</f>
        <v/>
      </c>
    </row>
    <row r="153">
      <c r="A153">
        <f>ROW()-2</f>
        <v/>
      </c>
      <c r="B153">
        <f>IF(A153=1,"Pillar",IF(A153&lt;=1+Entity!$B$14,"Cluster",IF(A153&lt;=1+Entity!$B$14+Entity!$B$15,"Supporting","")))</f>
        <v/>
      </c>
      <c r="C153">
        <f>IF(B153="Cluster",INDEX(Attributes!$A$3:$A$52,MATCH(A153-1,Attributes!$P$3:$P$52,0)),IF(B153="Supporting",INDEX(Values!$A$3:$A$502,P153),""))</f>
        <v/>
      </c>
      <c r="D153">
        <f>IF(B153="Supporting",INDEX(Values!$B$3:$B$502,P153),"")</f>
        <v/>
      </c>
      <c r="E153">
        <f>IF(R153="","",UPPER(LEFT(R153,1))&amp;MID(R153,2,500))</f>
        <v/>
      </c>
      <c r="F153">
        <f>IF(E153="","",LOWER(SUBSTITUTE(SUBSTITUTE(SUBSTITUTE(SUBSTITUTE(SUBSTITUTE(SUBSTITUTE(SUBSTITUTE(TRIM(E153),":",""),",",""),"'",""),"&amp;","and"),"£",""),"  "," ")," ","-")))</f>
        <v/>
      </c>
      <c r="G153">
        <f>IF(B153="Cluster",$E$3,IF(B153="Supporting",INDEX($E$3:$E$553,MATCH(C153,$C$3:$C$553,0)),""))</f>
        <v/>
      </c>
      <c r="H153">
        <f>IF(B153="Supporting",IFERROR(INDEX($E$3:$E$553,1+Entity!$B$14+INDEX(Values!$O$3:$O$502,P153)),""),IF(B153="Cluster",IF(Entity!$B$14&lt;2,"",INDEX($E$3:$E$553,IF(A153-1=Entity!$B$14,2,A153+1))),""))</f>
        <v/>
      </c>
      <c r="I153">
        <f>IF(B153="Pillar",Entity!$B$14&amp;" cluster pages",IF(B153="Cluster",(COUNTIF($C$3:$C$553,SUBSTITUTE(SUBSTITUTE(C153,"?","~?"),"*","~*"))-1)&amp;" supporting pages",""))</f>
        <v/>
      </c>
      <c r="J153">
        <f>IF(B153="Pillar","Informational",IF(OR(B153="Cluster",B153="Supporting"),INDEX(Attributes!$D$3:$D$52,Q153)&amp;"",""))</f>
        <v/>
      </c>
      <c r="K153">
        <f>IF(B153="","",IF(B153="Pillar","Pillar guide (entity hub)",IF(B153="Cluster","Hub page for this attribute",IF(INDEX(Values!$C$3:$C$502,P153)="Yes","Entity page (profile of the sub-entity)",IFERROR(INDEX(Lists!$B$3:$B$6,MATCH(J153,Lists!$A$3:$A$6,0)),"Article")))))</f>
        <v/>
      </c>
      <c r="L153">
        <f>IF(B153="Pillar",Entity!$B$6&amp;"",IF(B153="Cluster",INDEX(Attributes!$I$3:$I$52,Q153)&amp;"",IF(B153="Supporting",INDEX(Values!$F$3:$F$502,P153)&amp;"","")))</f>
        <v/>
      </c>
      <c r="M153">
        <f>IF(B153="","",IF(L153&lt;&gt;"","Covered","Gap"))</f>
        <v/>
      </c>
      <c r="N153">
        <f>IF(B153="Pillar",SUMIFS(Values!$E$3:$E$502,Values!$I$3:$I$502,"Yes"),IF(B153="Cluster",SUMIFS(Values!$E$3:$E$502,Values!$A$3:$A$502,SUBSTITUTE(SUBSTITUTE(C153,"?","~?"),"*","~*"),Values!$I$3:$I$502,"Yes"),IF(B153="Supporting",N(INDEX(Values!$E$3:$E$502,P153)),"")))</f>
        <v/>
      </c>
      <c r="O153">
        <f>IF(B153="","",IF(B153="Pillar",100,IF(B153="Cluster",N(INDEX(Attributes!$E$3:$E$52,Q153))*25+IF(M153="Gap",10,0),N(INDEX(Attributes!$E$3:$E$52,Q153))*20+MIN(20,ROUND(LOG10(N(N153)+1)*5,0))+IF(M153="Gap",10,0)+IF(INDEX(Values!$D$3:$D$502,P153)="Yes",5,0))))</f>
        <v/>
      </c>
      <c r="P153">
        <f>IF(B153="Supporting",MATCH(A153-1-Entity!$B$14,Values!$J$3:$J$502,0),"")</f>
        <v/>
      </c>
      <c r="Q153">
        <f>IF(C153="","",MATCH(C153,Attributes!$A$3:$A$52,0))</f>
        <v/>
      </c>
      <c r="R153">
        <f>IF(B153="Pillar",SUBSTITUTE(Entity!$B$7,"{entity}",LOWER(Entity!$B$3)),IF(B153="Cluster",IF(INDEX(Attributes!$G$3:$G$52,Q153)&lt;&gt;"",INDEX(Attributes!$G$3:$G$52,Q153),SUBSTITUTE(SUBSTITUTE(Entity!$B$8,"{entity}",LOWER(Entity!$B$3)),"{attribute}",LOWER(C153))),IF(B153="Supporting",SUBSTITUTE(SUBSTITUTE(SUBSTITUTE(IF(INDEX(Attributes!$H$3:$H$52,Q153)&lt;&gt;"",INDEX(Attributes!$H$3:$H$52,Q153),Entity!$B$9),"{entity}",LOWER(Entity!$B$3)),"{value}",D153),"{attribute}",LOWER(C153)),"")))</f>
        <v/>
      </c>
    </row>
    <row r="154">
      <c r="A154">
        <f>ROW()-2</f>
        <v/>
      </c>
      <c r="B154">
        <f>IF(A154=1,"Pillar",IF(A154&lt;=1+Entity!$B$14,"Cluster",IF(A154&lt;=1+Entity!$B$14+Entity!$B$15,"Supporting","")))</f>
        <v/>
      </c>
      <c r="C154">
        <f>IF(B154="Cluster",INDEX(Attributes!$A$3:$A$52,MATCH(A154-1,Attributes!$P$3:$P$52,0)),IF(B154="Supporting",INDEX(Values!$A$3:$A$502,P154),""))</f>
        <v/>
      </c>
      <c r="D154">
        <f>IF(B154="Supporting",INDEX(Values!$B$3:$B$502,P154),"")</f>
        <v/>
      </c>
      <c r="E154">
        <f>IF(R154="","",UPPER(LEFT(R154,1))&amp;MID(R154,2,500))</f>
        <v/>
      </c>
      <c r="F154">
        <f>IF(E154="","",LOWER(SUBSTITUTE(SUBSTITUTE(SUBSTITUTE(SUBSTITUTE(SUBSTITUTE(SUBSTITUTE(SUBSTITUTE(TRIM(E154),":",""),",",""),"'",""),"&amp;","and"),"£",""),"  "," ")," ","-")))</f>
        <v/>
      </c>
      <c r="G154">
        <f>IF(B154="Cluster",$E$3,IF(B154="Supporting",INDEX($E$3:$E$553,MATCH(C154,$C$3:$C$553,0)),""))</f>
        <v/>
      </c>
      <c r="H154">
        <f>IF(B154="Supporting",IFERROR(INDEX($E$3:$E$553,1+Entity!$B$14+INDEX(Values!$O$3:$O$502,P154)),""),IF(B154="Cluster",IF(Entity!$B$14&lt;2,"",INDEX($E$3:$E$553,IF(A154-1=Entity!$B$14,2,A154+1))),""))</f>
        <v/>
      </c>
      <c r="I154">
        <f>IF(B154="Pillar",Entity!$B$14&amp;" cluster pages",IF(B154="Cluster",(COUNTIF($C$3:$C$553,SUBSTITUTE(SUBSTITUTE(C154,"?","~?"),"*","~*"))-1)&amp;" supporting pages",""))</f>
        <v/>
      </c>
      <c r="J154">
        <f>IF(B154="Pillar","Informational",IF(OR(B154="Cluster",B154="Supporting"),INDEX(Attributes!$D$3:$D$52,Q154)&amp;"",""))</f>
        <v/>
      </c>
      <c r="K154">
        <f>IF(B154="","",IF(B154="Pillar","Pillar guide (entity hub)",IF(B154="Cluster","Hub page for this attribute",IF(INDEX(Values!$C$3:$C$502,P154)="Yes","Entity page (profile of the sub-entity)",IFERROR(INDEX(Lists!$B$3:$B$6,MATCH(J154,Lists!$A$3:$A$6,0)),"Article")))))</f>
        <v/>
      </c>
      <c r="L154">
        <f>IF(B154="Pillar",Entity!$B$6&amp;"",IF(B154="Cluster",INDEX(Attributes!$I$3:$I$52,Q154)&amp;"",IF(B154="Supporting",INDEX(Values!$F$3:$F$502,P154)&amp;"","")))</f>
        <v/>
      </c>
      <c r="M154">
        <f>IF(B154="","",IF(L154&lt;&gt;"","Covered","Gap"))</f>
        <v/>
      </c>
      <c r="N154">
        <f>IF(B154="Pillar",SUMIFS(Values!$E$3:$E$502,Values!$I$3:$I$502,"Yes"),IF(B154="Cluster",SUMIFS(Values!$E$3:$E$502,Values!$A$3:$A$502,SUBSTITUTE(SUBSTITUTE(C154,"?","~?"),"*","~*"),Values!$I$3:$I$502,"Yes"),IF(B154="Supporting",N(INDEX(Values!$E$3:$E$502,P154)),"")))</f>
        <v/>
      </c>
      <c r="O154">
        <f>IF(B154="","",IF(B154="Pillar",100,IF(B154="Cluster",N(INDEX(Attributes!$E$3:$E$52,Q154))*25+IF(M154="Gap",10,0),N(INDEX(Attributes!$E$3:$E$52,Q154))*20+MIN(20,ROUND(LOG10(N(N154)+1)*5,0))+IF(M154="Gap",10,0)+IF(INDEX(Values!$D$3:$D$502,P154)="Yes",5,0))))</f>
        <v/>
      </c>
      <c r="P154">
        <f>IF(B154="Supporting",MATCH(A154-1-Entity!$B$14,Values!$J$3:$J$502,0),"")</f>
        <v/>
      </c>
      <c r="Q154">
        <f>IF(C154="","",MATCH(C154,Attributes!$A$3:$A$52,0))</f>
        <v/>
      </c>
      <c r="R154">
        <f>IF(B154="Pillar",SUBSTITUTE(Entity!$B$7,"{entity}",LOWER(Entity!$B$3)),IF(B154="Cluster",IF(INDEX(Attributes!$G$3:$G$52,Q154)&lt;&gt;"",INDEX(Attributes!$G$3:$G$52,Q154),SUBSTITUTE(SUBSTITUTE(Entity!$B$8,"{entity}",LOWER(Entity!$B$3)),"{attribute}",LOWER(C154))),IF(B154="Supporting",SUBSTITUTE(SUBSTITUTE(SUBSTITUTE(IF(INDEX(Attributes!$H$3:$H$52,Q154)&lt;&gt;"",INDEX(Attributes!$H$3:$H$52,Q154),Entity!$B$9),"{entity}",LOWER(Entity!$B$3)),"{value}",D154),"{attribute}",LOWER(C154)),"")))</f>
        <v/>
      </c>
    </row>
    <row r="155">
      <c r="A155">
        <f>ROW()-2</f>
        <v/>
      </c>
      <c r="B155">
        <f>IF(A155=1,"Pillar",IF(A155&lt;=1+Entity!$B$14,"Cluster",IF(A155&lt;=1+Entity!$B$14+Entity!$B$15,"Supporting","")))</f>
        <v/>
      </c>
      <c r="C155">
        <f>IF(B155="Cluster",INDEX(Attributes!$A$3:$A$52,MATCH(A155-1,Attributes!$P$3:$P$52,0)),IF(B155="Supporting",INDEX(Values!$A$3:$A$502,P155),""))</f>
        <v/>
      </c>
      <c r="D155">
        <f>IF(B155="Supporting",INDEX(Values!$B$3:$B$502,P155),"")</f>
        <v/>
      </c>
      <c r="E155">
        <f>IF(R155="","",UPPER(LEFT(R155,1))&amp;MID(R155,2,500))</f>
        <v/>
      </c>
      <c r="F155">
        <f>IF(E155="","",LOWER(SUBSTITUTE(SUBSTITUTE(SUBSTITUTE(SUBSTITUTE(SUBSTITUTE(SUBSTITUTE(SUBSTITUTE(TRIM(E155),":",""),",",""),"'",""),"&amp;","and"),"£",""),"  "," ")," ","-")))</f>
        <v/>
      </c>
      <c r="G155">
        <f>IF(B155="Cluster",$E$3,IF(B155="Supporting",INDEX($E$3:$E$553,MATCH(C155,$C$3:$C$553,0)),""))</f>
        <v/>
      </c>
      <c r="H155">
        <f>IF(B155="Supporting",IFERROR(INDEX($E$3:$E$553,1+Entity!$B$14+INDEX(Values!$O$3:$O$502,P155)),""),IF(B155="Cluster",IF(Entity!$B$14&lt;2,"",INDEX($E$3:$E$553,IF(A155-1=Entity!$B$14,2,A155+1))),""))</f>
        <v/>
      </c>
      <c r="I155">
        <f>IF(B155="Pillar",Entity!$B$14&amp;" cluster pages",IF(B155="Cluster",(COUNTIF($C$3:$C$553,SUBSTITUTE(SUBSTITUTE(C155,"?","~?"),"*","~*"))-1)&amp;" supporting pages",""))</f>
        <v/>
      </c>
      <c r="J155">
        <f>IF(B155="Pillar","Informational",IF(OR(B155="Cluster",B155="Supporting"),INDEX(Attributes!$D$3:$D$52,Q155)&amp;"",""))</f>
        <v/>
      </c>
      <c r="K155">
        <f>IF(B155="","",IF(B155="Pillar","Pillar guide (entity hub)",IF(B155="Cluster","Hub page for this attribute",IF(INDEX(Values!$C$3:$C$502,P155)="Yes","Entity page (profile of the sub-entity)",IFERROR(INDEX(Lists!$B$3:$B$6,MATCH(J155,Lists!$A$3:$A$6,0)),"Article")))))</f>
        <v/>
      </c>
      <c r="L155">
        <f>IF(B155="Pillar",Entity!$B$6&amp;"",IF(B155="Cluster",INDEX(Attributes!$I$3:$I$52,Q155)&amp;"",IF(B155="Supporting",INDEX(Values!$F$3:$F$502,P155)&amp;"","")))</f>
        <v/>
      </c>
      <c r="M155">
        <f>IF(B155="","",IF(L155&lt;&gt;"","Covered","Gap"))</f>
        <v/>
      </c>
      <c r="N155">
        <f>IF(B155="Pillar",SUMIFS(Values!$E$3:$E$502,Values!$I$3:$I$502,"Yes"),IF(B155="Cluster",SUMIFS(Values!$E$3:$E$502,Values!$A$3:$A$502,SUBSTITUTE(SUBSTITUTE(C155,"?","~?"),"*","~*"),Values!$I$3:$I$502,"Yes"),IF(B155="Supporting",N(INDEX(Values!$E$3:$E$502,P155)),"")))</f>
        <v/>
      </c>
      <c r="O155">
        <f>IF(B155="","",IF(B155="Pillar",100,IF(B155="Cluster",N(INDEX(Attributes!$E$3:$E$52,Q155))*25+IF(M155="Gap",10,0),N(INDEX(Attributes!$E$3:$E$52,Q155))*20+MIN(20,ROUND(LOG10(N(N155)+1)*5,0))+IF(M155="Gap",10,0)+IF(INDEX(Values!$D$3:$D$502,P155)="Yes",5,0))))</f>
        <v/>
      </c>
      <c r="P155">
        <f>IF(B155="Supporting",MATCH(A155-1-Entity!$B$14,Values!$J$3:$J$502,0),"")</f>
        <v/>
      </c>
      <c r="Q155">
        <f>IF(C155="","",MATCH(C155,Attributes!$A$3:$A$52,0))</f>
        <v/>
      </c>
      <c r="R155">
        <f>IF(B155="Pillar",SUBSTITUTE(Entity!$B$7,"{entity}",LOWER(Entity!$B$3)),IF(B155="Cluster",IF(INDEX(Attributes!$G$3:$G$52,Q155)&lt;&gt;"",INDEX(Attributes!$G$3:$G$52,Q155),SUBSTITUTE(SUBSTITUTE(Entity!$B$8,"{entity}",LOWER(Entity!$B$3)),"{attribute}",LOWER(C155))),IF(B155="Supporting",SUBSTITUTE(SUBSTITUTE(SUBSTITUTE(IF(INDEX(Attributes!$H$3:$H$52,Q155)&lt;&gt;"",INDEX(Attributes!$H$3:$H$52,Q155),Entity!$B$9),"{entity}",LOWER(Entity!$B$3)),"{value}",D155),"{attribute}",LOWER(C155)),"")))</f>
        <v/>
      </c>
    </row>
    <row r="156">
      <c r="A156">
        <f>ROW()-2</f>
        <v/>
      </c>
      <c r="B156">
        <f>IF(A156=1,"Pillar",IF(A156&lt;=1+Entity!$B$14,"Cluster",IF(A156&lt;=1+Entity!$B$14+Entity!$B$15,"Supporting","")))</f>
        <v/>
      </c>
      <c r="C156">
        <f>IF(B156="Cluster",INDEX(Attributes!$A$3:$A$52,MATCH(A156-1,Attributes!$P$3:$P$52,0)),IF(B156="Supporting",INDEX(Values!$A$3:$A$502,P156),""))</f>
        <v/>
      </c>
      <c r="D156">
        <f>IF(B156="Supporting",INDEX(Values!$B$3:$B$502,P156),"")</f>
        <v/>
      </c>
      <c r="E156">
        <f>IF(R156="","",UPPER(LEFT(R156,1))&amp;MID(R156,2,500))</f>
        <v/>
      </c>
      <c r="F156">
        <f>IF(E156="","",LOWER(SUBSTITUTE(SUBSTITUTE(SUBSTITUTE(SUBSTITUTE(SUBSTITUTE(SUBSTITUTE(SUBSTITUTE(TRIM(E156),":",""),",",""),"'",""),"&amp;","and"),"£",""),"  "," ")," ","-")))</f>
        <v/>
      </c>
      <c r="G156">
        <f>IF(B156="Cluster",$E$3,IF(B156="Supporting",INDEX($E$3:$E$553,MATCH(C156,$C$3:$C$553,0)),""))</f>
        <v/>
      </c>
      <c r="H156">
        <f>IF(B156="Supporting",IFERROR(INDEX($E$3:$E$553,1+Entity!$B$14+INDEX(Values!$O$3:$O$502,P156)),""),IF(B156="Cluster",IF(Entity!$B$14&lt;2,"",INDEX($E$3:$E$553,IF(A156-1=Entity!$B$14,2,A156+1))),""))</f>
        <v/>
      </c>
      <c r="I156">
        <f>IF(B156="Pillar",Entity!$B$14&amp;" cluster pages",IF(B156="Cluster",(COUNTIF($C$3:$C$553,SUBSTITUTE(SUBSTITUTE(C156,"?","~?"),"*","~*"))-1)&amp;" supporting pages",""))</f>
        <v/>
      </c>
      <c r="J156">
        <f>IF(B156="Pillar","Informational",IF(OR(B156="Cluster",B156="Supporting"),INDEX(Attributes!$D$3:$D$52,Q156)&amp;"",""))</f>
        <v/>
      </c>
      <c r="K156">
        <f>IF(B156="","",IF(B156="Pillar","Pillar guide (entity hub)",IF(B156="Cluster","Hub page for this attribute",IF(INDEX(Values!$C$3:$C$502,P156)="Yes","Entity page (profile of the sub-entity)",IFERROR(INDEX(Lists!$B$3:$B$6,MATCH(J156,Lists!$A$3:$A$6,0)),"Article")))))</f>
        <v/>
      </c>
      <c r="L156">
        <f>IF(B156="Pillar",Entity!$B$6&amp;"",IF(B156="Cluster",INDEX(Attributes!$I$3:$I$52,Q156)&amp;"",IF(B156="Supporting",INDEX(Values!$F$3:$F$502,P156)&amp;"","")))</f>
        <v/>
      </c>
      <c r="M156">
        <f>IF(B156="","",IF(L156&lt;&gt;"","Covered","Gap"))</f>
        <v/>
      </c>
      <c r="N156">
        <f>IF(B156="Pillar",SUMIFS(Values!$E$3:$E$502,Values!$I$3:$I$502,"Yes"),IF(B156="Cluster",SUMIFS(Values!$E$3:$E$502,Values!$A$3:$A$502,SUBSTITUTE(SUBSTITUTE(C156,"?","~?"),"*","~*"),Values!$I$3:$I$502,"Yes"),IF(B156="Supporting",N(INDEX(Values!$E$3:$E$502,P156)),"")))</f>
        <v/>
      </c>
      <c r="O156">
        <f>IF(B156="","",IF(B156="Pillar",100,IF(B156="Cluster",N(INDEX(Attributes!$E$3:$E$52,Q156))*25+IF(M156="Gap",10,0),N(INDEX(Attributes!$E$3:$E$52,Q156))*20+MIN(20,ROUND(LOG10(N(N156)+1)*5,0))+IF(M156="Gap",10,0)+IF(INDEX(Values!$D$3:$D$502,P156)="Yes",5,0))))</f>
        <v/>
      </c>
      <c r="P156">
        <f>IF(B156="Supporting",MATCH(A156-1-Entity!$B$14,Values!$J$3:$J$502,0),"")</f>
        <v/>
      </c>
      <c r="Q156">
        <f>IF(C156="","",MATCH(C156,Attributes!$A$3:$A$52,0))</f>
        <v/>
      </c>
      <c r="R156">
        <f>IF(B156="Pillar",SUBSTITUTE(Entity!$B$7,"{entity}",LOWER(Entity!$B$3)),IF(B156="Cluster",IF(INDEX(Attributes!$G$3:$G$52,Q156)&lt;&gt;"",INDEX(Attributes!$G$3:$G$52,Q156),SUBSTITUTE(SUBSTITUTE(Entity!$B$8,"{entity}",LOWER(Entity!$B$3)),"{attribute}",LOWER(C156))),IF(B156="Supporting",SUBSTITUTE(SUBSTITUTE(SUBSTITUTE(IF(INDEX(Attributes!$H$3:$H$52,Q156)&lt;&gt;"",INDEX(Attributes!$H$3:$H$52,Q156),Entity!$B$9),"{entity}",LOWER(Entity!$B$3)),"{value}",D156),"{attribute}",LOWER(C156)),"")))</f>
        <v/>
      </c>
    </row>
    <row r="157">
      <c r="A157">
        <f>ROW()-2</f>
        <v/>
      </c>
      <c r="B157">
        <f>IF(A157=1,"Pillar",IF(A157&lt;=1+Entity!$B$14,"Cluster",IF(A157&lt;=1+Entity!$B$14+Entity!$B$15,"Supporting","")))</f>
        <v/>
      </c>
      <c r="C157">
        <f>IF(B157="Cluster",INDEX(Attributes!$A$3:$A$52,MATCH(A157-1,Attributes!$P$3:$P$52,0)),IF(B157="Supporting",INDEX(Values!$A$3:$A$502,P157),""))</f>
        <v/>
      </c>
      <c r="D157">
        <f>IF(B157="Supporting",INDEX(Values!$B$3:$B$502,P157),"")</f>
        <v/>
      </c>
      <c r="E157">
        <f>IF(R157="","",UPPER(LEFT(R157,1))&amp;MID(R157,2,500))</f>
        <v/>
      </c>
      <c r="F157">
        <f>IF(E157="","",LOWER(SUBSTITUTE(SUBSTITUTE(SUBSTITUTE(SUBSTITUTE(SUBSTITUTE(SUBSTITUTE(SUBSTITUTE(TRIM(E157),":",""),",",""),"'",""),"&amp;","and"),"£",""),"  "," ")," ","-")))</f>
        <v/>
      </c>
      <c r="G157">
        <f>IF(B157="Cluster",$E$3,IF(B157="Supporting",INDEX($E$3:$E$553,MATCH(C157,$C$3:$C$553,0)),""))</f>
        <v/>
      </c>
      <c r="H157">
        <f>IF(B157="Supporting",IFERROR(INDEX($E$3:$E$553,1+Entity!$B$14+INDEX(Values!$O$3:$O$502,P157)),""),IF(B157="Cluster",IF(Entity!$B$14&lt;2,"",INDEX($E$3:$E$553,IF(A157-1=Entity!$B$14,2,A157+1))),""))</f>
        <v/>
      </c>
      <c r="I157">
        <f>IF(B157="Pillar",Entity!$B$14&amp;" cluster pages",IF(B157="Cluster",(COUNTIF($C$3:$C$553,SUBSTITUTE(SUBSTITUTE(C157,"?","~?"),"*","~*"))-1)&amp;" supporting pages",""))</f>
        <v/>
      </c>
      <c r="J157">
        <f>IF(B157="Pillar","Informational",IF(OR(B157="Cluster",B157="Supporting"),INDEX(Attributes!$D$3:$D$52,Q157)&amp;"",""))</f>
        <v/>
      </c>
      <c r="K157">
        <f>IF(B157="","",IF(B157="Pillar","Pillar guide (entity hub)",IF(B157="Cluster","Hub page for this attribute",IF(INDEX(Values!$C$3:$C$502,P157)="Yes","Entity page (profile of the sub-entity)",IFERROR(INDEX(Lists!$B$3:$B$6,MATCH(J157,Lists!$A$3:$A$6,0)),"Article")))))</f>
        <v/>
      </c>
      <c r="L157">
        <f>IF(B157="Pillar",Entity!$B$6&amp;"",IF(B157="Cluster",INDEX(Attributes!$I$3:$I$52,Q157)&amp;"",IF(B157="Supporting",INDEX(Values!$F$3:$F$502,P157)&amp;"","")))</f>
        <v/>
      </c>
      <c r="M157">
        <f>IF(B157="","",IF(L157&lt;&gt;"","Covered","Gap"))</f>
        <v/>
      </c>
      <c r="N157">
        <f>IF(B157="Pillar",SUMIFS(Values!$E$3:$E$502,Values!$I$3:$I$502,"Yes"),IF(B157="Cluster",SUMIFS(Values!$E$3:$E$502,Values!$A$3:$A$502,SUBSTITUTE(SUBSTITUTE(C157,"?","~?"),"*","~*"),Values!$I$3:$I$502,"Yes"),IF(B157="Supporting",N(INDEX(Values!$E$3:$E$502,P157)),"")))</f>
        <v/>
      </c>
      <c r="O157">
        <f>IF(B157="","",IF(B157="Pillar",100,IF(B157="Cluster",N(INDEX(Attributes!$E$3:$E$52,Q157))*25+IF(M157="Gap",10,0),N(INDEX(Attributes!$E$3:$E$52,Q157))*20+MIN(20,ROUND(LOG10(N(N157)+1)*5,0))+IF(M157="Gap",10,0)+IF(INDEX(Values!$D$3:$D$502,P157)="Yes",5,0))))</f>
        <v/>
      </c>
      <c r="P157">
        <f>IF(B157="Supporting",MATCH(A157-1-Entity!$B$14,Values!$J$3:$J$502,0),"")</f>
        <v/>
      </c>
      <c r="Q157">
        <f>IF(C157="","",MATCH(C157,Attributes!$A$3:$A$52,0))</f>
        <v/>
      </c>
      <c r="R157">
        <f>IF(B157="Pillar",SUBSTITUTE(Entity!$B$7,"{entity}",LOWER(Entity!$B$3)),IF(B157="Cluster",IF(INDEX(Attributes!$G$3:$G$52,Q157)&lt;&gt;"",INDEX(Attributes!$G$3:$G$52,Q157),SUBSTITUTE(SUBSTITUTE(Entity!$B$8,"{entity}",LOWER(Entity!$B$3)),"{attribute}",LOWER(C157))),IF(B157="Supporting",SUBSTITUTE(SUBSTITUTE(SUBSTITUTE(IF(INDEX(Attributes!$H$3:$H$52,Q157)&lt;&gt;"",INDEX(Attributes!$H$3:$H$52,Q157),Entity!$B$9),"{entity}",LOWER(Entity!$B$3)),"{value}",D157),"{attribute}",LOWER(C157)),"")))</f>
        <v/>
      </c>
    </row>
    <row r="158">
      <c r="A158">
        <f>ROW()-2</f>
        <v/>
      </c>
      <c r="B158">
        <f>IF(A158=1,"Pillar",IF(A158&lt;=1+Entity!$B$14,"Cluster",IF(A158&lt;=1+Entity!$B$14+Entity!$B$15,"Supporting","")))</f>
        <v/>
      </c>
      <c r="C158">
        <f>IF(B158="Cluster",INDEX(Attributes!$A$3:$A$52,MATCH(A158-1,Attributes!$P$3:$P$52,0)),IF(B158="Supporting",INDEX(Values!$A$3:$A$502,P158),""))</f>
        <v/>
      </c>
      <c r="D158">
        <f>IF(B158="Supporting",INDEX(Values!$B$3:$B$502,P158),"")</f>
        <v/>
      </c>
      <c r="E158">
        <f>IF(R158="","",UPPER(LEFT(R158,1))&amp;MID(R158,2,500))</f>
        <v/>
      </c>
      <c r="F158">
        <f>IF(E158="","",LOWER(SUBSTITUTE(SUBSTITUTE(SUBSTITUTE(SUBSTITUTE(SUBSTITUTE(SUBSTITUTE(SUBSTITUTE(TRIM(E158),":",""),",",""),"'",""),"&amp;","and"),"£",""),"  "," ")," ","-")))</f>
        <v/>
      </c>
      <c r="G158">
        <f>IF(B158="Cluster",$E$3,IF(B158="Supporting",INDEX($E$3:$E$553,MATCH(C158,$C$3:$C$553,0)),""))</f>
        <v/>
      </c>
      <c r="H158">
        <f>IF(B158="Supporting",IFERROR(INDEX($E$3:$E$553,1+Entity!$B$14+INDEX(Values!$O$3:$O$502,P158)),""),IF(B158="Cluster",IF(Entity!$B$14&lt;2,"",INDEX($E$3:$E$553,IF(A158-1=Entity!$B$14,2,A158+1))),""))</f>
        <v/>
      </c>
      <c r="I158">
        <f>IF(B158="Pillar",Entity!$B$14&amp;" cluster pages",IF(B158="Cluster",(COUNTIF($C$3:$C$553,SUBSTITUTE(SUBSTITUTE(C158,"?","~?"),"*","~*"))-1)&amp;" supporting pages",""))</f>
        <v/>
      </c>
      <c r="J158">
        <f>IF(B158="Pillar","Informational",IF(OR(B158="Cluster",B158="Supporting"),INDEX(Attributes!$D$3:$D$52,Q158)&amp;"",""))</f>
        <v/>
      </c>
      <c r="K158">
        <f>IF(B158="","",IF(B158="Pillar","Pillar guide (entity hub)",IF(B158="Cluster","Hub page for this attribute",IF(INDEX(Values!$C$3:$C$502,P158)="Yes","Entity page (profile of the sub-entity)",IFERROR(INDEX(Lists!$B$3:$B$6,MATCH(J158,Lists!$A$3:$A$6,0)),"Article")))))</f>
        <v/>
      </c>
      <c r="L158">
        <f>IF(B158="Pillar",Entity!$B$6&amp;"",IF(B158="Cluster",INDEX(Attributes!$I$3:$I$52,Q158)&amp;"",IF(B158="Supporting",INDEX(Values!$F$3:$F$502,P158)&amp;"","")))</f>
        <v/>
      </c>
      <c r="M158">
        <f>IF(B158="","",IF(L158&lt;&gt;"","Covered","Gap"))</f>
        <v/>
      </c>
      <c r="N158">
        <f>IF(B158="Pillar",SUMIFS(Values!$E$3:$E$502,Values!$I$3:$I$502,"Yes"),IF(B158="Cluster",SUMIFS(Values!$E$3:$E$502,Values!$A$3:$A$502,SUBSTITUTE(SUBSTITUTE(C158,"?","~?"),"*","~*"),Values!$I$3:$I$502,"Yes"),IF(B158="Supporting",N(INDEX(Values!$E$3:$E$502,P158)),"")))</f>
        <v/>
      </c>
      <c r="O158">
        <f>IF(B158="","",IF(B158="Pillar",100,IF(B158="Cluster",N(INDEX(Attributes!$E$3:$E$52,Q158))*25+IF(M158="Gap",10,0),N(INDEX(Attributes!$E$3:$E$52,Q158))*20+MIN(20,ROUND(LOG10(N(N158)+1)*5,0))+IF(M158="Gap",10,0)+IF(INDEX(Values!$D$3:$D$502,P158)="Yes",5,0))))</f>
        <v/>
      </c>
      <c r="P158">
        <f>IF(B158="Supporting",MATCH(A158-1-Entity!$B$14,Values!$J$3:$J$502,0),"")</f>
        <v/>
      </c>
      <c r="Q158">
        <f>IF(C158="","",MATCH(C158,Attributes!$A$3:$A$52,0))</f>
        <v/>
      </c>
      <c r="R158">
        <f>IF(B158="Pillar",SUBSTITUTE(Entity!$B$7,"{entity}",LOWER(Entity!$B$3)),IF(B158="Cluster",IF(INDEX(Attributes!$G$3:$G$52,Q158)&lt;&gt;"",INDEX(Attributes!$G$3:$G$52,Q158),SUBSTITUTE(SUBSTITUTE(Entity!$B$8,"{entity}",LOWER(Entity!$B$3)),"{attribute}",LOWER(C158))),IF(B158="Supporting",SUBSTITUTE(SUBSTITUTE(SUBSTITUTE(IF(INDEX(Attributes!$H$3:$H$52,Q158)&lt;&gt;"",INDEX(Attributes!$H$3:$H$52,Q158),Entity!$B$9),"{entity}",LOWER(Entity!$B$3)),"{value}",D158),"{attribute}",LOWER(C158)),"")))</f>
        <v/>
      </c>
    </row>
    <row r="159">
      <c r="A159">
        <f>ROW()-2</f>
        <v/>
      </c>
      <c r="B159">
        <f>IF(A159=1,"Pillar",IF(A159&lt;=1+Entity!$B$14,"Cluster",IF(A159&lt;=1+Entity!$B$14+Entity!$B$15,"Supporting","")))</f>
        <v/>
      </c>
      <c r="C159">
        <f>IF(B159="Cluster",INDEX(Attributes!$A$3:$A$52,MATCH(A159-1,Attributes!$P$3:$P$52,0)),IF(B159="Supporting",INDEX(Values!$A$3:$A$502,P159),""))</f>
        <v/>
      </c>
      <c r="D159">
        <f>IF(B159="Supporting",INDEX(Values!$B$3:$B$502,P159),"")</f>
        <v/>
      </c>
      <c r="E159">
        <f>IF(R159="","",UPPER(LEFT(R159,1))&amp;MID(R159,2,500))</f>
        <v/>
      </c>
      <c r="F159">
        <f>IF(E159="","",LOWER(SUBSTITUTE(SUBSTITUTE(SUBSTITUTE(SUBSTITUTE(SUBSTITUTE(SUBSTITUTE(SUBSTITUTE(TRIM(E159),":",""),",",""),"'",""),"&amp;","and"),"£",""),"  "," ")," ","-")))</f>
        <v/>
      </c>
      <c r="G159">
        <f>IF(B159="Cluster",$E$3,IF(B159="Supporting",INDEX($E$3:$E$553,MATCH(C159,$C$3:$C$553,0)),""))</f>
        <v/>
      </c>
      <c r="H159">
        <f>IF(B159="Supporting",IFERROR(INDEX($E$3:$E$553,1+Entity!$B$14+INDEX(Values!$O$3:$O$502,P159)),""),IF(B159="Cluster",IF(Entity!$B$14&lt;2,"",INDEX($E$3:$E$553,IF(A159-1=Entity!$B$14,2,A159+1))),""))</f>
        <v/>
      </c>
      <c r="I159">
        <f>IF(B159="Pillar",Entity!$B$14&amp;" cluster pages",IF(B159="Cluster",(COUNTIF($C$3:$C$553,SUBSTITUTE(SUBSTITUTE(C159,"?","~?"),"*","~*"))-1)&amp;" supporting pages",""))</f>
        <v/>
      </c>
      <c r="J159">
        <f>IF(B159="Pillar","Informational",IF(OR(B159="Cluster",B159="Supporting"),INDEX(Attributes!$D$3:$D$52,Q159)&amp;"",""))</f>
        <v/>
      </c>
      <c r="K159">
        <f>IF(B159="","",IF(B159="Pillar","Pillar guide (entity hub)",IF(B159="Cluster","Hub page for this attribute",IF(INDEX(Values!$C$3:$C$502,P159)="Yes","Entity page (profile of the sub-entity)",IFERROR(INDEX(Lists!$B$3:$B$6,MATCH(J159,Lists!$A$3:$A$6,0)),"Article")))))</f>
        <v/>
      </c>
      <c r="L159">
        <f>IF(B159="Pillar",Entity!$B$6&amp;"",IF(B159="Cluster",INDEX(Attributes!$I$3:$I$52,Q159)&amp;"",IF(B159="Supporting",INDEX(Values!$F$3:$F$502,P159)&amp;"","")))</f>
        <v/>
      </c>
      <c r="M159">
        <f>IF(B159="","",IF(L159&lt;&gt;"","Covered","Gap"))</f>
        <v/>
      </c>
      <c r="N159">
        <f>IF(B159="Pillar",SUMIFS(Values!$E$3:$E$502,Values!$I$3:$I$502,"Yes"),IF(B159="Cluster",SUMIFS(Values!$E$3:$E$502,Values!$A$3:$A$502,SUBSTITUTE(SUBSTITUTE(C159,"?","~?"),"*","~*"),Values!$I$3:$I$502,"Yes"),IF(B159="Supporting",N(INDEX(Values!$E$3:$E$502,P159)),"")))</f>
        <v/>
      </c>
      <c r="O159">
        <f>IF(B159="","",IF(B159="Pillar",100,IF(B159="Cluster",N(INDEX(Attributes!$E$3:$E$52,Q159))*25+IF(M159="Gap",10,0),N(INDEX(Attributes!$E$3:$E$52,Q159))*20+MIN(20,ROUND(LOG10(N(N159)+1)*5,0))+IF(M159="Gap",10,0)+IF(INDEX(Values!$D$3:$D$502,P159)="Yes",5,0))))</f>
        <v/>
      </c>
      <c r="P159">
        <f>IF(B159="Supporting",MATCH(A159-1-Entity!$B$14,Values!$J$3:$J$502,0),"")</f>
        <v/>
      </c>
      <c r="Q159">
        <f>IF(C159="","",MATCH(C159,Attributes!$A$3:$A$52,0))</f>
        <v/>
      </c>
      <c r="R159">
        <f>IF(B159="Pillar",SUBSTITUTE(Entity!$B$7,"{entity}",LOWER(Entity!$B$3)),IF(B159="Cluster",IF(INDEX(Attributes!$G$3:$G$52,Q159)&lt;&gt;"",INDEX(Attributes!$G$3:$G$52,Q159),SUBSTITUTE(SUBSTITUTE(Entity!$B$8,"{entity}",LOWER(Entity!$B$3)),"{attribute}",LOWER(C159))),IF(B159="Supporting",SUBSTITUTE(SUBSTITUTE(SUBSTITUTE(IF(INDEX(Attributes!$H$3:$H$52,Q159)&lt;&gt;"",INDEX(Attributes!$H$3:$H$52,Q159),Entity!$B$9),"{entity}",LOWER(Entity!$B$3)),"{value}",D159),"{attribute}",LOWER(C159)),"")))</f>
        <v/>
      </c>
    </row>
    <row r="160">
      <c r="A160">
        <f>ROW()-2</f>
        <v/>
      </c>
      <c r="B160">
        <f>IF(A160=1,"Pillar",IF(A160&lt;=1+Entity!$B$14,"Cluster",IF(A160&lt;=1+Entity!$B$14+Entity!$B$15,"Supporting","")))</f>
        <v/>
      </c>
      <c r="C160">
        <f>IF(B160="Cluster",INDEX(Attributes!$A$3:$A$52,MATCH(A160-1,Attributes!$P$3:$P$52,0)),IF(B160="Supporting",INDEX(Values!$A$3:$A$502,P160),""))</f>
        <v/>
      </c>
      <c r="D160">
        <f>IF(B160="Supporting",INDEX(Values!$B$3:$B$502,P160),"")</f>
        <v/>
      </c>
      <c r="E160">
        <f>IF(R160="","",UPPER(LEFT(R160,1))&amp;MID(R160,2,500))</f>
        <v/>
      </c>
      <c r="F160">
        <f>IF(E160="","",LOWER(SUBSTITUTE(SUBSTITUTE(SUBSTITUTE(SUBSTITUTE(SUBSTITUTE(SUBSTITUTE(SUBSTITUTE(TRIM(E160),":",""),",",""),"'",""),"&amp;","and"),"£",""),"  "," ")," ","-")))</f>
        <v/>
      </c>
      <c r="G160">
        <f>IF(B160="Cluster",$E$3,IF(B160="Supporting",INDEX($E$3:$E$553,MATCH(C160,$C$3:$C$553,0)),""))</f>
        <v/>
      </c>
      <c r="H160">
        <f>IF(B160="Supporting",IFERROR(INDEX($E$3:$E$553,1+Entity!$B$14+INDEX(Values!$O$3:$O$502,P160)),""),IF(B160="Cluster",IF(Entity!$B$14&lt;2,"",INDEX($E$3:$E$553,IF(A160-1=Entity!$B$14,2,A160+1))),""))</f>
        <v/>
      </c>
      <c r="I160">
        <f>IF(B160="Pillar",Entity!$B$14&amp;" cluster pages",IF(B160="Cluster",(COUNTIF($C$3:$C$553,SUBSTITUTE(SUBSTITUTE(C160,"?","~?"),"*","~*"))-1)&amp;" supporting pages",""))</f>
        <v/>
      </c>
      <c r="J160">
        <f>IF(B160="Pillar","Informational",IF(OR(B160="Cluster",B160="Supporting"),INDEX(Attributes!$D$3:$D$52,Q160)&amp;"",""))</f>
        <v/>
      </c>
      <c r="K160">
        <f>IF(B160="","",IF(B160="Pillar","Pillar guide (entity hub)",IF(B160="Cluster","Hub page for this attribute",IF(INDEX(Values!$C$3:$C$502,P160)="Yes","Entity page (profile of the sub-entity)",IFERROR(INDEX(Lists!$B$3:$B$6,MATCH(J160,Lists!$A$3:$A$6,0)),"Article")))))</f>
        <v/>
      </c>
      <c r="L160">
        <f>IF(B160="Pillar",Entity!$B$6&amp;"",IF(B160="Cluster",INDEX(Attributes!$I$3:$I$52,Q160)&amp;"",IF(B160="Supporting",INDEX(Values!$F$3:$F$502,P160)&amp;"","")))</f>
        <v/>
      </c>
      <c r="M160">
        <f>IF(B160="","",IF(L160&lt;&gt;"","Covered","Gap"))</f>
        <v/>
      </c>
      <c r="N160">
        <f>IF(B160="Pillar",SUMIFS(Values!$E$3:$E$502,Values!$I$3:$I$502,"Yes"),IF(B160="Cluster",SUMIFS(Values!$E$3:$E$502,Values!$A$3:$A$502,SUBSTITUTE(SUBSTITUTE(C160,"?","~?"),"*","~*"),Values!$I$3:$I$502,"Yes"),IF(B160="Supporting",N(INDEX(Values!$E$3:$E$502,P160)),"")))</f>
        <v/>
      </c>
      <c r="O160">
        <f>IF(B160="","",IF(B160="Pillar",100,IF(B160="Cluster",N(INDEX(Attributes!$E$3:$E$52,Q160))*25+IF(M160="Gap",10,0),N(INDEX(Attributes!$E$3:$E$52,Q160))*20+MIN(20,ROUND(LOG10(N(N160)+1)*5,0))+IF(M160="Gap",10,0)+IF(INDEX(Values!$D$3:$D$502,P160)="Yes",5,0))))</f>
        <v/>
      </c>
      <c r="P160">
        <f>IF(B160="Supporting",MATCH(A160-1-Entity!$B$14,Values!$J$3:$J$502,0),"")</f>
        <v/>
      </c>
      <c r="Q160">
        <f>IF(C160="","",MATCH(C160,Attributes!$A$3:$A$52,0))</f>
        <v/>
      </c>
      <c r="R160">
        <f>IF(B160="Pillar",SUBSTITUTE(Entity!$B$7,"{entity}",LOWER(Entity!$B$3)),IF(B160="Cluster",IF(INDEX(Attributes!$G$3:$G$52,Q160)&lt;&gt;"",INDEX(Attributes!$G$3:$G$52,Q160),SUBSTITUTE(SUBSTITUTE(Entity!$B$8,"{entity}",LOWER(Entity!$B$3)),"{attribute}",LOWER(C160))),IF(B160="Supporting",SUBSTITUTE(SUBSTITUTE(SUBSTITUTE(IF(INDEX(Attributes!$H$3:$H$52,Q160)&lt;&gt;"",INDEX(Attributes!$H$3:$H$52,Q160),Entity!$B$9),"{entity}",LOWER(Entity!$B$3)),"{value}",D160),"{attribute}",LOWER(C160)),"")))</f>
        <v/>
      </c>
    </row>
    <row r="161">
      <c r="A161">
        <f>ROW()-2</f>
        <v/>
      </c>
      <c r="B161">
        <f>IF(A161=1,"Pillar",IF(A161&lt;=1+Entity!$B$14,"Cluster",IF(A161&lt;=1+Entity!$B$14+Entity!$B$15,"Supporting","")))</f>
        <v/>
      </c>
      <c r="C161">
        <f>IF(B161="Cluster",INDEX(Attributes!$A$3:$A$52,MATCH(A161-1,Attributes!$P$3:$P$52,0)),IF(B161="Supporting",INDEX(Values!$A$3:$A$502,P161),""))</f>
        <v/>
      </c>
      <c r="D161">
        <f>IF(B161="Supporting",INDEX(Values!$B$3:$B$502,P161),"")</f>
        <v/>
      </c>
      <c r="E161">
        <f>IF(R161="","",UPPER(LEFT(R161,1))&amp;MID(R161,2,500))</f>
        <v/>
      </c>
      <c r="F161">
        <f>IF(E161="","",LOWER(SUBSTITUTE(SUBSTITUTE(SUBSTITUTE(SUBSTITUTE(SUBSTITUTE(SUBSTITUTE(SUBSTITUTE(TRIM(E161),":",""),",",""),"'",""),"&amp;","and"),"£",""),"  "," ")," ","-")))</f>
        <v/>
      </c>
      <c r="G161">
        <f>IF(B161="Cluster",$E$3,IF(B161="Supporting",INDEX($E$3:$E$553,MATCH(C161,$C$3:$C$553,0)),""))</f>
        <v/>
      </c>
      <c r="H161">
        <f>IF(B161="Supporting",IFERROR(INDEX($E$3:$E$553,1+Entity!$B$14+INDEX(Values!$O$3:$O$502,P161)),""),IF(B161="Cluster",IF(Entity!$B$14&lt;2,"",INDEX($E$3:$E$553,IF(A161-1=Entity!$B$14,2,A161+1))),""))</f>
        <v/>
      </c>
      <c r="I161">
        <f>IF(B161="Pillar",Entity!$B$14&amp;" cluster pages",IF(B161="Cluster",(COUNTIF($C$3:$C$553,SUBSTITUTE(SUBSTITUTE(C161,"?","~?"),"*","~*"))-1)&amp;" supporting pages",""))</f>
        <v/>
      </c>
      <c r="J161">
        <f>IF(B161="Pillar","Informational",IF(OR(B161="Cluster",B161="Supporting"),INDEX(Attributes!$D$3:$D$52,Q161)&amp;"",""))</f>
        <v/>
      </c>
      <c r="K161">
        <f>IF(B161="","",IF(B161="Pillar","Pillar guide (entity hub)",IF(B161="Cluster","Hub page for this attribute",IF(INDEX(Values!$C$3:$C$502,P161)="Yes","Entity page (profile of the sub-entity)",IFERROR(INDEX(Lists!$B$3:$B$6,MATCH(J161,Lists!$A$3:$A$6,0)),"Article")))))</f>
        <v/>
      </c>
      <c r="L161">
        <f>IF(B161="Pillar",Entity!$B$6&amp;"",IF(B161="Cluster",INDEX(Attributes!$I$3:$I$52,Q161)&amp;"",IF(B161="Supporting",INDEX(Values!$F$3:$F$502,P161)&amp;"","")))</f>
        <v/>
      </c>
      <c r="M161">
        <f>IF(B161="","",IF(L161&lt;&gt;"","Covered","Gap"))</f>
        <v/>
      </c>
      <c r="N161">
        <f>IF(B161="Pillar",SUMIFS(Values!$E$3:$E$502,Values!$I$3:$I$502,"Yes"),IF(B161="Cluster",SUMIFS(Values!$E$3:$E$502,Values!$A$3:$A$502,SUBSTITUTE(SUBSTITUTE(C161,"?","~?"),"*","~*"),Values!$I$3:$I$502,"Yes"),IF(B161="Supporting",N(INDEX(Values!$E$3:$E$502,P161)),"")))</f>
        <v/>
      </c>
      <c r="O161">
        <f>IF(B161="","",IF(B161="Pillar",100,IF(B161="Cluster",N(INDEX(Attributes!$E$3:$E$52,Q161))*25+IF(M161="Gap",10,0),N(INDEX(Attributes!$E$3:$E$52,Q161))*20+MIN(20,ROUND(LOG10(N(N161)+1)*5,0))+IF(M161="Gap",10,0)+IF(INDEX(Values!$D$3:$D$502,P161)="Yes",5,0))))</f>
        <v/>
      </c>
      <c r="P161">
        <f>IF(B161="Supporting",MATCH(A161-1-Entity!$B$14,Values!$J$3:$J$502,0),"")</f>
        <v/>
      </c>
      <c r="Q161">
        <f>IF(C161="","",MATCH(C161,Attributes!$A$3:$A$52,0))</f>
        <v/>
      </c>
      <c r="R161">
        <f>IF(B161="Pillar",SUBSTITUTE(Entity!$B$7,"{entity}",LOWER(Entity!$B$3)),IF(B161="Cluster",IF(INDEX(Attributes!$G$3:$G$52,Q161)&lt;&gt;"",INDEX(Attributes!$G$3:$G$52,Q161),SUBSTITUTE(SUBSTITUTE(Entity!$B$8,"{entity}",LOWER(Entity!$B$3)),"{attribute}",LOWER(C161))),IF(B161="Supporting",SUBSTITUTE(SUBSTITUTE(SUBSTITUTE(IF(INDEX(Attributes!$H$3:$H$52,Q161)&lt;&gt;"",INDEX(Attributes!$H$3:$H$52,Q161),Entity!$B$9),"{entity}",LOWER(Entity!$B$3)),"{value}",D161),"{attribute}",LOWER(C161)),"")))</f>
        <v/>
      </c>
    </row>
    <row r="162">
      <c r="A162">
        <f>ROW()-2</f>
        <v/>
      </c>
      <c r="B162">
        <f>IF(A162=1,"Pillar",IF(A162&lt;=1+Entity!$B$14,"Cluster",IF(A162&lt;=1+Entity!$B$14+Entity!$B$15,"Supporting","")))</f>
        <v/>
      </c>
      <c r="C162">
        <f>IF(B162="Cluster",INDEX(Attributes!$A$3:$A$52,MATCH(A162-1,Attributes!$P$3:$P$52,0)),IF(B162="Supporting",INDEX(Values!$A$3:$A$502,P162),""))</f>
        <v/>
      </c>
      <c r="D162">
        <f>IF(B162="Supporting",INDEX(Values!$B$3:$B$502,P162),"")</f>
        <v/>
      </c>
      <c r="E162">
        <f>IF(R162="","",UPPER(LEFT(R162,1))&amp;MID(R162,2,500))</f>
        <v/>
      </c>
      <c r="F162">
        <f>IF(E162="","",LOWER(SUBSTITUTE(SUBSTITUTE(SUBSTITUTE(SUBSTITUTE(SUBSTITUTE(SUBSTITUTE(SUBSTITUTE(TRIM(E162),":",""),",",""),"'",""),"&amp;","and"),"£",""),"  "," ")," ","-")))</f>
        <v/>
      </c>
      <c r="G162">
        <f>IF(B162="Cluster",$E$3,IF(B162="Supporting",INDEX($E$3:$E$553,MATCH(C162,$C$3:$C$553,0)),""))</f>
        <v/>
      </c>
      <c r="H162">
        <f>IF(B162="Supporting",IFERROR(INDEX($E$3:$E$553,1+Entity!$B$14+INDEX(Values!$O$3:$O$502,P162)),""),IF(B162="Cluster",IF(Entity!$B$14&lt;2,"",INDEX($E$3:$E$553,IF(A162-1=Entity!$B$14,2,A162+1))),""))</f>
        <v/>
      </c>
      <c r="I162">
        <f>IF(B162="Pillar",Entity!$B$14&amp;" cluster pages",IF(B162="Cluster",(COUNTIF($C$3:$C$553,SUBSTITUTE(SUBSTITUTE(C162,"?","~?"),"*","~*"))-1)&amp;" supporting pages",""))</f>
        <v/>
      </c>
      <c r="J162">
        <f>IF(B162="Pillar","Informational",IF(OR(B162="Cluster",B162="Supporting"),INDEX(Attributes!$D$3:$D$52,Q162)&amp;"",""))</f>
        <v/>
      </c>
      <c r="K162">
        <f>IF(B162="","",IF(B162="Pillar","Pillar guide (entity hub)",IF(B162="Cluster","Hub page for this attribute",IF(INDEX(Values!$C$3:$C$502,P162)="Yes","Entity page (profile of the sub-entity)",IFERROR(INDEX(Lists!$B$3:$B$6,MATCH(J162,Lists!$A$3:$A$6,0)),"Article")))))</f>
        <v/>
      </c>
      <c r="L162">
        <f>IF(B162="Pillar",Entity!$B$6&amp;"",IF(B162="Cluster",INDEX(Attributes!$I$3:$I$52,Q162)&amp;"",IF(B162="Supporting",INDEX(Values!$F$3:$F$502,P162)&amp;"","")))</f>
        <v/>
      </c>
      <c r="M162">
        <f>IF(B162="","",IF(L162&lt;&gt;"","Covered","Gap"))</f>
        <v/>
      </c>
      <c r="N162">
        <f>IF(B162="Pillar",SUMIFS(Values!$E$3:$E$502,Values!$I$3:$I$502,"Yes"),IF(B162="Cluster",SUMIFS(Values!$E$3:$E$502,Values!$A$3:$A$502,SUBSTITUTE(SUBSTITUTE(C162,"?","~?"),"*","~*"),Values!$I$3:$I$502,"Yes"),IF(B162="Supporting",N(INDEX(Values!$E$3:$E$502,P162)),"")))</f>
        <v/>
      </c>
      <c r="O162">
        <f>IF(B162="","",IF(B162="Pillar",100,IF(B162="Cluster",N(INDEX(Attributes!$E$3:$E$52,Q162))*25+IF(M162="Gap",10,0),N(INDEX(Attributes!$E$3:$E$52,Q162))*20+MIN(20,ROUND(LOG10(N(N162)+1)*5,0))+IF(M162="Gap",10,0)+IF(INDEX(Values!$D$3:$D$502,P162)="Yes",5,0))))</f>
        <v/>
      </c>
      <c r="P162">
        <f>IF(B162="Supporting",MATCH(A162-1-Entity!$B$14,Values!$J$3:$J$502,0),"")</f>
        <v/>
      </c>
      <c r="Q162">
        <f>IF(C162="","",MATCH(C162,Attributes!$A$3:$A$52,0))</f>
        <v/>
      </c>
      <c r="R162">
        <f>IF(B162="Pillar",SUBSTITUTE(Entity!$B$7,"{entity}",LOWER(Entity!$B$3)),IF(B162="Cluster",IF(INDEX(Attributes!$G$3:$G$52,Q162)&lt;&gt;"",INDEX(Attributes!$G$3:$G$52,Q162),SUBSTITUTE(SUBSTITUTE(Entity!$B$8,"{entity}",LOWER(Entity!$B$3)),"{attribute}",LOWER(C162))),IF(B162="Supporting",SUBSTITUTE(SUBSTITUTE(SUBSTITUTE(IF(INDEX(Attributes!$H$3:$H$52,Q162)&lt;&gt;"",INDEX(Attributes!$H$3:$H$52,Q162),Entity!$B$9),"{entity}",LOWER(Entity!$B$3)),"{value}",D162),"{attribute}",LOWER(C162)),"")))</f>
        <v/>
      </c>
    </row>
    <row r="163">
      <c r="A163">
        <f>ROW()-2</f>
        <v/>
      </c>
      <c r="B163">
        <f>IF(A163=1,"Pillar",IF(A163&lt;=1+Entity!$B$14,"Cluster",IF(A163&lt;=1+Entity!$B$14+Entity!$B$15,"Supporting","")))</f>
        <v/>
      </c>
      <c r="C163">
        <f>IF(B163="Cluster",INDEX(Attributes!$A$3:$A$52,MATCH(A163-1,Attributes!$P$3:$P$52,0)),IF(B163="Supporting",INDEX(Values!$A$3:$A$502,P163),""))</f>
        <v/>
      </c>
      <c r="D163">
        <f>IF(B163="Supporting",INDEX(Values!$B$3:$B$502,P163),"")</f>
        <v/>
      </c>
      <c r="E163">
        <f>IF(R163="","",UPPER(LEFT(R163,1))&amp;MID(R163,2,500))</f>
        <v/>
      </c>
      <c r="F163">
        <f>IF(E163="","",LOWER(SUBSTITUTE(SUBSTITUTE(SUBSTITUTE(SUBSTITUTE(SUBSTITUTE(SUBSTITUTE(SUBSTITUTE(TRIM(E163),":",""),",",""),"'",""),"&amp;","and"),"£",""),"  "," ")," ","-")))</f>
        <v/>
      </c>
      <c r="G163">
        <f>IF(B163="Cluster",$E$3,IF(B163="Supporting",INDEX($E$3:$E$553,MATCH(C163,$C$3:$C$553,0)),""))</f>
        <v/>
      </c>
      <c r="H163">
        <f>IF(B163="Supporting",IFERROR(INDEX($E$3:$E$553,1+Entity!$B$14+INDEX(Values!$O$3:$O$502,P163)),""),IF(B163="Cluster",IF(Entity!$B$14&lt;2,"",INDEX($E$3:$E$553,IF(A163-1=Entity!$B$14,2,A163+1))),""))</f>
        <v/>
      </c>
      <c r="I163">
        <f>IF(B163="Pillar",Entity!$B$14&amp;" cluster pages",IF(B163="Cluster",(COUNTIF($C$3:$C$553,SUBSTITUTE(SUBSTITUTE(C163,"?","~?"),"*","~*"))-1)&amp;" supporting pages",""))</f>
        <v/>
      </c>
      <c r="J163">
        <f>IF(B163="Pillar","Informational",IF(OR(B163="Cluster",B163="Supporting"),INDEX(Attributes!$D$3:$D$52,Q163)&amp;"",""))</f>
        <v/>
      </c>
      <c r="K163">
        <f>IF(B163="","",IF(B163="Pillar","Pillar guide (entity hub)",IF(B163="Cluster","Hub page for this attribute",IF(INDEX(Values!$C$3:$C$502,P163)="Yes","Entity page (profile of the sub-entity)",IFERROR(INDEX(Lists!$B$3:$B$6,MATCH(J163,Lists!$A$3:$A$6,0)),"Article")))))</f>
        <v/>
      </c>
      <c r="L163">
        <f>IF(B163="Pillar",Entity!$B$6&amp;"",IF(B163="Cluster",INDEX(Attributes!$I$3:$I$52,Q163)&amp;"",IF(B163="Supporting",INDEX(Values!$F$3:$F$502,P163)&amp;"","")))</f>
        <v/>
      </c>
      <c r="M163">
        <f>IF(B163="","",IF(L163&lt;&gt;"","Covered","Gap"))</f>
        <v/>
      </c>
      <c r="N163">
        <f>IF(B163="Pillar",SUMIFS(Values!$E$3:$E$502,Values!$I$3:$I$502,"Yes"),IF(B163="Cluster",SUMIFS(Values!$E$3:$E$502,Values!$A$3:$A$502,SUBSTITUTE(SUBSTITUTE(C163,"?","~?"),"*","~*"),Values!$I$3:$I$502,"Yes"),IF(B163="Supporting",N(INDEX(Values!$E$3:$E$502,P163)),"")))</f>
        <v/>
      </c>
      <c r="O163">
        <f>IF(B163="","",IF(B163="Pillar",100,IF(B163="Cluster",N(INDEX(Attributes!$E$3:$E$52,Q163))*25+IF(M163="Gap",10,0),N(INDEX(Attributes!$E$3:$E$52,Q163))*20+MIN(20,ROUND(LOG10(N(N163)+1)*5,0))+IF(M163="Gap",10,0)+IF(INDEX(Values!$D$3:$D$502,P163)="Yes",5,0))))</f>
        <v/>
      </c>
      <c r="P163">
        <f>IF(B163="Supporting",MATCH(A163-1-Entity!$B$14,Values!$J$3:$J$502,0),"")</f>
        <v/>
      </c>
      <c r="Q163">
        <f>IF(C163="","",MATCH(C163,Attributes!$A$3:$A$52,0))</f>
        <v/>
      </c>
      <c r="R163">
        <f>IF(B163="Pillar",SUBSTITUTE(Entity!$B$7,"{entity}",LOWER(Entity!$B$3)),IF(B163="Cluster",IF(INDEX(Attributes!$G$3:$G$52,Q163)&lt;&gt;"",INDEX(Attributes!$G$3:$G$52,Q163),SUBSTITUTE(SUBSTITUTE(Entity!$B$8,"{entity}",LOWER(Entity!$B$3)),"{attribute}",LOWER(C163))),IF(B163="Supporting",SUBSTITUTE(SUBSTITUTE(SUBSTITUTE(IF(INDEX(Attributes!$H$3:$H$52,Q163)&lt;&gt;"",INDEX(Attributes!$H$3:$H$52,Q163),Entity!$B$9),"{entity}",LOWER(Entity!$B$3)),"{value}",D163),"{attribute}",LOWER(C163)),"")))</f>
        <v/>
      </c>
    </row>
    <row r="164">
      <c r="A164">
        <f>ROW()-2</f>
        <v/>
      </c>
      <c r="B164">
        <f>IF(A164=1,"Pillar",IF(A164&lt;=1+Entity!$B$14,"Cluster",IF(A164&lt;=1+Entity!$B$14+Entity!$B$15,"Supporting","")))</f>
        <v/>
      </c>
      <c r="C164">
        <f>IF(B164="Cluster",INDEX(Attributes!$A$3:$A$52,MATCH(A164-1,Attributes!$P$3:$P$52,0)),IF(B164="Supporting",INDEX(Values!$A$3:$A$502,P164),""))</f>
        <v/>
      </c>
      <c r="D164">
        <f>IF(B164="Supporting",INDEX(Values!$B$3:$B$502,P164),"")</f>
        <v/>
      </c>
      <c r="E164">
        <f>IF(R164="","",UPPER(LEFT(R164,1))&amp;MID(R164,2,500))</f>
        <v/>
      </c>
      <c r="F164">
        <f>IF(E164="","",LOWER(SUBSTITUTE(SUBSTITUTE(SUBSTITUTE(SUBSTITUTE(SUBSTITUTE(SUBSTITUTE(SUBSTITUTE(TRIM(E164),":",""),",",""),"'",""),"&amp;","and"),"£",""),"  "," ")," ","-")))</f>
        <v/>
      </c>
      <c r="G164">
        <f>IF(B164="Cluster",$E$3,IF(B164="Supporting",INDEX($E$3:$E$553,MATCH(C164,$C$3:$C$553,0)),""))</f>
        <v/>
      </c>
      <c r="H164">
        <f>IF(B164="Supporting",IFERROR(INDEX($E$3:$E$553,1+Entity!$B$14+INDEX(Values!$O$3:$O$502,P164)),""),IF(B164="Cluster",IF(Entity!$B$14&lt;2,"",INDEX($E$3:$E$553,IF(A164-1=Entity!$B$14,2,A164+1))),""))</f>
        <v/>
      </c>
      <c r="I164">
        <f>IF(B164="Pillar",Entity!$B$14&amp;" cluster pages",IF(B164="Cluster",(COUNTIF($C$3:$C$553,SUBSTITUTE(SUBSTITUTE(C164,"?","~?"),"*","~*"))-1)&amp;" supporting pages",""))</f>
        <v/>
      </c>
      <c r="J164">
        <f>IF(B164="Pillar","Informational",IF(OR(B164="Cluster",B164="Supporting"),INDEX(Attributes!$D$3:$D$52,Q164)&amp;"",""))</f>
        <v/>
      </c>
      <c r="K164">
        <f>IF(B164="","",IF(B164="Pillar","Pillar guide (entity hub)",IF(B164="Cluster","Hub page for this attribute",IF(INDEX(Values!$C$3:$C$502,P164)="Yes","Entity page (profile of the sub-entity)",IFERROR(INDEX(Lists!$B$3:$B$6,MATCH(J164,Lists!$A$3:$A$6,0)),"Article")))))</f>
        <v/>
      </c>
      <c r="L164">
        <f>IF(B164="Pillar",Entity!$B$6&amp;"",IF(B164="Cluster",INDEX(Attributes!$I$3:$I$52,Q164)&amp;"",IF(B164="Supporting",INDEX(Values!$F$3:$F$502,P164)&amp;"","")))</f>
        <v/>
      </c>
      <c r="M164">
        <f>IF(B164="","",IF(L164&lt;&gt;"","Covered","Gap"))</f>
        <v/>
      </c>
      <c r="N164">
        <f>IF(B164="Pillar",SUMIFS(Values!$E$3:$E$502,Values!$I$3:$I$502,"Yes"),IF(B164="Cluster",SUMIFS(Values!$E$3:$E$502,Values!$A$3:$A$502,SUBSTITUTE(SUBSTITUTE(C164,"?","~?"),"*","~*"),Values!$I$3:$I$502,"Yes"),IF(B164="Supporting",N(INDEX(Values!$E$3:$E$502,P164)),"")))</f>
        <v/>
      </c>
      <c r="O164">
        <f>IF(B164="","",IF(B164="Pillar",100,IF(B164="Cluster",N(INDEX(Attributes!$E$3:$E$52,Q164))*25+IF(M164="Gap",10,0),N(INDEX(Attributes!$E$3:$E$52,Q164))*20+MIN(20,ROUND(LOG10(N(N164)+1)*5,0))+IF(M164="Gap",10,0)+IF(INDEX(Values!$D$3:$D$502,P164)="Yes",5,0))))</f>
        <v/>
      </c>
      <c r="P164">
        <f>IF(B164="Supporting",MATCH(A164-1-Entity!$B$14,Values!$J$3:$J$502,0),"")</f>
        <v/>
      </c>
      <c r="Q164">
        <f>IF(C164="","",MATCH(C164,Attributes!$A$3:$A$52,0))</f>
        <v/>
      </c>
      <c r="R164">
        <f>IF(B164="Pillar",SUBSTITUTE(Entity!$B$7,"{entity}",LOWER(Entity!$B$3)),IF(B164="Cluster",IF(INDEX(Attributes!$G$3:$G$52,Q164)&lt;&gt;"",INDEX(Attributes!$G$3:$G$52,Q164),SUBSTITUTE(SUBSTITUTE(Entity!$B$8,"{entity}",LOWER(Entity!$B$3)),"{attribute}",LOWER(C164))),IF(B164="Supporting",SUBSTITUTE(SUBSTITUTE(SUBSTITUTE(IF(INDEX(Attributes!$H$3:$H$52,Q164)&lt;&gt;"",INDEX(Attributes!$H$3:$H$52,Q164),Entity!$B$9),"{entity}",LOWER(Entity!$B$3)),"{value}",D164),"{attribute}",LOWER(C164)),"")))</f>
        <v/>
      </c>
    </row>
    <row r="165">
      <c r="A165">
        <f>ROW()-2</f>
        <v/>
      </c>
      <c r="B165">
        <f>IF(A165=1,"Pillar",IF(A165&lt;=1+Entity!$B$14,"Cluster",IF(A165&lt;=1+Entity!$B$14+Entity!$B$15,"Supporting","")))</f>
        <v/>
      </c>
      <c r="C165">
        <f>IF(B165="Cluster",INDEX(Attributes!$A$3:$A$52,MATCH(A165-1,Attributes!$P$3:$P$52,0)),IF(B165="Supporting",INDEX(Values!$A$3:$A$502,P165),""))</f>
        <v/>
      </c>
      <c r="D165">
        <f>IF(B165="Supporting",INDEX(Values!$B$3:$B$502,P165),"")</f>
        <v/>
      </c>
      <c r="E165">
        <f>IF(R165="","",UPPER(LEFT(R165,1))&amp;MID(R165,2,500))</f>
        <v/>
      </c>
      <c r="F165">
        <f>IF(E165="","",LOWER(SUBSTITUTE(SUBSTITUTE(SUBSTITUTE(SUBSTITUTE(SUBSTITUTE(SUBSTITUTE(SUBSTITUTE(TRIM(E165),":",""),",",""),"'",""),"&amp;","and"),"£",""),"  "," ")," ","-")))</f>
        <v/>
      </c>
      <c r="G165">
        <f>IF(B165="Cluster",$E$3,IF(B165="Supporting",INDEX($E$3:$E$553,MATCH(C165,$C$3:$C$553,0)),""))</f>
        <v/>
      </c>
      <c r="H165">
        <f>IF(B165="Supporting",IFERROR(INDEX($E$3:$E$553,1+Entity!$B$14+INDEX(Values!$O$3:$O$502,P165)),""),IF(B165="Cluster",IF(Entity!$B$14&lt;2,"",INDEX($E$3:$E$553,IF(A165-1=Entity!$B$14,2,A165+1))),""))</f>
        <v/>
      </c>
      <c r="I165">
        <f>IF(B165="Pillar",Entity!$B$14&amp;" cluster pages",IF(B165="Cluster",(COUNTIF($C$3:$C$553,SUBSTITUTE(SUBSTITUTE(C165,"?","~?"),"*","~*"))-1)&amp;" supporting pages",""))</f>
        <v/>
      </c>
      <c r="J165">
        <f>IF(B165="Pillar","Informational",IF(OR(B165="Cluster",B165="Supporting"),INDEX(Attributes!$D$3:$D$52,Q165)&amp;"",""))</f>
        <v/>
      </c>
      <c r="K165">
        <f>IF(B165="","",IF(B165="Pillar","Pillar guide (entity hub)",IF(B165="Cluster","Hub page for this attribute",IF(INDEX(Values!$C$3:$C$502,P165)="Yes","Entity page (profile of the sub-entity)",IFERROR(INDEX(Lists!$B$3:$B$6,MATCH(J165,Lists!$A$3:$A$6,0)),"Article")))))</f>
        <v/>
      </c>
      <c r="L165">
        <f>IF(B165="Pillar",Entity!$B$6&amp;"",IF(B165="Cluster",INDEX(Attributes!$I$3:$I$52,Q165)&amp;"",IF(B165="Supporting",INDEX(Values!$F$3:$F$502,P165)&amp;"","")))</f>
        <v/>
      </c>
      <c r="M165">
        <f>IF(B165="","",IF(L165&lt;&gt;"","Covered","Gap"))</f>
        <v/>
      </c>
      <c r="N165">
        <f>IF(B165="Pillar",SUMIFS(Values!$E$3:$E$502,Values!$I$3:$I$502,"Yes"),IF(B165="Cluster",SUMIFS(Values!$E$3:$E$502,Values!$A$3:$A$502,SUBSTITUTE(SUBSTITUTE(C165,"?","~?"),"*","~*"),Values!$I$3:$I$502,"Yes"),IF(B165="Supporting",N(INDEX(Values!$E$3:$E$502,P165)),"")))</f>
        <v/>
      </c>
      <c r="O165">
        <f>IF(B165="","",IF(B165="Pillar",100,IF(B165="Cluster",N(INDEX(Attributes!$E$3:$E$52,Q165))*25+IF(M165="Gap",10,0),N(INDEX(Attributes!$E$3:$E$52,Q165))*20+MIN(20,ROUND(LOG10(N(N165)+1)*5,0))+IF(M165="Gap",10,0)+IF(INDEX(Values!$D$3:$D$502,P165)="Yes",5,0))))</f>
        <v/>
      </c>
      <c r="P165">
        <f>IF(B165="Supporting",MATCH(A165-1-Entity!$B$14,Values!$J$3:$J$502,0),"")</f>
        <v/>
      </c>
      <c r="Q165">
        <f>IF(C165="","",MATCH(C165,Attributes!$A$3:$A$52,0))</f>
        <v/>
      </c>
      <c r="R165">
        <f>IF(B165="Pillar",SUBSTITUTE(Entity!$B$7,"{entity}",LOWER(Entity!$B$3)),IF(B165="Cluster",IF(INDEX(Attributes!$G$3:$G$52,Q165)&lt;&gt;"",INDEX(Attributes!$G$3:$G$52,Q165),SUBSTITUTE(SUBSTITUTE(Entity!$B$8,"{entity}",LOWER(Entity!$B$3)),"{attribute}",LOWER(C165))),IF(B165="Supporting",SUBSTITUTE(SUBSTITUTE(SUBSTITUTE(IF(INDEX(Attributes!$H$3:$H$52,Q165)&lt;&gt;"",INDEX(Attributes!$H$3:$H$52,Q165),Entity!$B$9),"{entity}",LOWER(Entity!$B$3)),"{value}",D165),"{attribute}",LOWER(C165)),"")))</f>
        <v/>
      </c>
    </row>
    <row r="166">
      <c r="A166">
        <f>ROW()-2</f>
        <v/>
      </c>
      <c r="B166">
        <f>IF(A166=1,"Pillar",IF(A166&lt;=1+Entity!$B$14,"Cluster",IF(A166&lt;=1+Entity!$B$14+Entity!$B$15,"Supporting","")))</f>
        <v/>
      </c>
      <c r="C166">
        <f>IF(B166="Cluster",INDEX(Attributes!$A$3:$A$52,MATCH(A166-1,Attributes!$P$3:$P$52,0)),IF(B166="Supporting",INDEX(Values!$A$3:$A$502,P166),""))</f>
        <v/>
      </c>
      <c r="D166">
        <f>IF(B166="Supporting",INDEX(Values!$B$3:$B$502,P166),"")</f>
        <v/>
      </c>
      <c r="E166">
        <f>IF(R166="","",UPPER(LEFT(R166,1))&amp;MID(R166,2,500))</f>
        <v/>
      </c>
      <c r="F166">
        <f>IF(E166="","",LOWER(SUBSTITUTE(SUBSTITUTE(SUBSTITUTE(SUBSTITUTE(SUBSTITUTE(SUBSTITUTE(SUBSTITUTE(TRIM(E166),":",""),",",""),"'",""),"&amp;","and"),"£",""),"  "," ")," ","-")))</f>
        <v/>
      </c>
      <c r="G166">
        <f>IF(B166="Cluster",$E$3,IF(B166="Supporting",INDEX($E$3:$E$553,MATCH(C166,$C$3:$C$553,0)),""))</f>
        <v/>
      </c>
      <c r="H166">
        <f>IF(B166="Supporting",IFERROR(INDEX($E$3:$E$553,1+Entity!$B$14+INDEX(Values!$O$3:$O$502,P166)),""),IF(B166="Cluster",IF(Entity!$B$14&lt;2,"",INDEX($E$3:$E$553,IF(A166-1=Entity!$B$14,2,A166+1))),""))</f>
        <v/>
      </c>
      <c r="I166">
        <f>IF(B166="Pillar",Entity!$B$14&amp;" cluster pages",IF(B166="Cluster",(COUNTIF($C$3:$C$553,SUBSTITUTE(SUBSTITUTE(C166,"?","~?"),"*","~*"))-1)&amp;" supporting pages",""))</f>
        <v/>
      </c>
      <c r="J166">
        <f>IF(B166="Pillar","Informational",IF(OR(B166="Cluster",B166="Supporting"),INDEX(Attributes!$D$3:$D$52,Q166)&amp;"",""))</f>
        <v/>
      </c>
      <c r="K166">
        <f>IF(B166="","",IF(B166="Pillar","Pillar guide (entity hub)",IF(B166="Cluster","Hub page for this attribute",IF(INDEX(Values!$C$3:$C$502,P166)="Yes","Entity page (profile of the sub-entity)",IFERROR(INDEX(Lists!$B$3:$B$6,MATCH(J166,Lists!$A$3:$A$6,0)),"Article")))))</f>
        <v/>
      </c>
      <c r="L166">
        <f>IF(B166="Pillar",Entity!$B$6&amp;"",IF(B166="Cluster",INDEX(Attributes!$I$3:$I$52,Q166)&amp;"",IF(B166="Supporting",INDEX(Values!$F$3:$F$502,P166)&amp;"","")))</f>
        <v/>
      </c>
      <c r="M166">
        <f>IF(B166="","",IF(L166&lt;&gt;"","Covered","Gap"))</f>
        <v/>
      </c>
      <c r="N166">
        <f>IF(B166="Pillar",SUMIFS(Values!$E$3:$E$502,Values!$I$3:$I$502,"Yes"),IF(B166="Cluster",SUMIFS(Values!$E$3:$E$502,Values!$A$3:$A$502,SUBSTITUTE(SUBSTITUTE(C166,"?","~?"),"*","~*"),Values!$I$3:$I$502,"Yes"),IF(B166="Supporting",N(INDEX(Values!$E$3:$E$502,P166)),"")))</f>
        <v/>
      </c>
      <c r="O166">
        <f>IF(B166="","",IF(B166="Pillar",100,IF(B166="Cluster",N(INDEX(Attributes!$E$3:$E$52,Q166))*25+IF(M166="Gap",10,0),N(INDEX(Attributes!$E$3:$E$52,Q166))*20+MIN(20,ROUND(LOG10(N(N166)+1)*5,0))+IF(M166="Gap",10,0)+IF(INDEX(Values!$D$3:$D$502,P166)="Yes",5,0))))</f>
        <v/>
      </c>
      <c r="P166">
        <f>IF(B166="Supporting",MATCH(A166-1-Entity!$B$14,Values!$J$3:$J$502,0),"")</f>
        <v/>
      </c>
      <c r="Q166">
        <f>IF(C166="","",MATCH(C166,Attributes!$A$3:$A$52,0))</f>
        <v/>
      </c>
      <c r="R166">
        <f>IF(B166="Pillar",SUBSTITUTE(Entity!$B$7,"{entity}",LOWER(Entity!$B$3)),IF(B166="Cluster",IF(INDEX(Attributes!$G$3:$G$52,Q166)&lt;&gt;"",INDEX(Attributes!$G$3:$G$52,Q166),SUBSTITUTE(SUBSTITUTE(Entity!$B$8,"{entity}",LOWER(Entity!$B$3)),"{attribute}",LOWER(C166))),IF(B166="Supporting",SUBSTITUTE(SUBSTITUTE(SUBSTITUTE(IF(INDEX(Attributes!$H$3:$H$52,Q166)&lt;&gt;"",INDEX(Attributes!$H$3:$H$52,Q166),Entity!$B$9),"{entity}",LOWER(Entity!$B$3)),"{value}",D166),"{attribute}",LOWER(C166)),"")))</f>
        <v/>
      </c>
    </row>
    <row r="167">
      <c r="A167">
        <f>ROW()-2</f>
        <v/>
      </c>
      <c r="B167">
        <f>IF(A167=1,"Pillar",IF(A167&lt;=1+Entity!$B$14,"Cluster",IF(A167&lt;=1+Entity!$B$14+Entity!$B$15,"Supporting","")))</f>
        <v/>
      </c>
      <c r="C167">
        <f>IF(B167="Cluster",INDEX(Attributes!$A$3:$A$52,MATCH(A167-1,Attributes!$P$3:$P$52,0)),IF(B167="Supporting",INDEX(Values!$A$3:$A$502,P167),""))</f>
        <v/>
      </c>
      <c r="D167">
        <f>IF(B167="Supporting",INDEX(Values!$B$3:$B$502,P167),"")</f>
        <v/>
      </c>
      <c r="E167">
        <f>IF(R167="","",UPPER(LEFT(R167,1))&amp;MID(R167,2,500))</f>
        <v/>
      </c>
      <c r="F167">
        <f>IF(E167="","",LOWER(SUBSTITUTE(SUBSTITUTE(SUBSTITUTE(SUBSTITUTE(SUBSTITUTE(SUBSTITUTE(SUBSTITUTE(TRIM(E167),":",""),",",""),"'",""),"&amp;","and"),"£",""),"  "," ")," ","-")))</f>
        <v/>
      </c>
      <c r="G167">
        <f>IF(B167="Cluster",$E$3,IF(B167="Supporting",INDEX($E$3:$E$553,MATCH(C167,$C$3:$C$553,0)),""))</f>
        <v/>
      </c>
      <c r="H167">
        <f>IF(B167="Supporting",IFERROR(INDEX($E$3:$E$553,1+Entity!$B$14+INDEX(Values!$O$3:$O$502,P167)),""),IF(B167="Cluster",IF(Entity!$B$14&lt;2,"",INDEX($E$3:$E$553,IF(A167-1=Entity!$B$14,2,A167+1))),""))</f>
        <v/>
      </c>
      <c r="I167">
        <f>IF(B167="Pillar",Entity!$B$14&amp;" cluster pages",IF(B167="Cluster",(COUNTIF($C$3:$C$553,SUBSTITUTE(SUBSTITUTE(C167,"?","~?"),"*","~*"))-1)&amp;" supporting pages",""))</f>
        <v/>
      </c>
      <c r="J167">
        <f>IF(B167="Pillar","Informational",IF(OR(B167="Cluster",B167="Supporting"),INDEX(Attributes!$D$3:$D$52,Q167)&amp;"",""))</f>
        <v/>
      </c>
      <c r="K167">
        <f>IF(B167="","",IF(B167="Pillar","Pillar guide (entity hub)",IF(B167="Cluster","Hub page for this attribute",IF(INDEX(Values!$C$3:$C$502,P167)="Yes","Entity page (profile of the sub-entity)",IFERROR(INDEX(Lists!$B$3:$B$6,MATCH(J167,Lists!$A$3:$A$6,0)),"Article")))))</f>
        <v/>
      </c>
      <c r="L167">
        <f>IF(B167="Pillar",Entity!$B$6&amp;"",IF(B167="Cluster",INDEX(Attributes!$I$3:$I$52,Q167)&amp;"",IF(B167="Supporting",INDEX(Values!$F$3:$F$502,P167)&amp;"","")))</f>
        <v/>
      </c>
      <c r="M167">
        <f>IF(B167="","",IF(L167&lt;&gt;"","Covered","Gap"))</f>
        <v/>
      </c>
      <c r="N167">
        <f>IF(B167="Pillar",SUMIFS(Values!$E$3:$E$502,Values!$I$3:$I$502,"Yes"),IF(B167="Cluster",SUMIFS(Values!$E$3:$E$502,Values!$A$3:$A$502,SUBSTITUTE(SUBSTITUTE(C167,"?","~?"),"*","~*"),Values!$I$3:$I$502,"Yes"),IF(B167="Supporting",N(INDEX(Values!$E$3:$E$502,P167)),"")))</f>
        <v/>
      </c>
      <c r="O167">
        <f>IF(B167="","",IF(B167="Pillar",100,IF(B167="Cluster",N(INDEX(Attributes!$E$3:$E$52,Q167))*25+IF(M167="Gap",10,0),N(INDEX(Attributes!$E$3:$E$52,Q167))*20+MIN(20,ROUND(LOG10(N(N167)+1)*5,0))+IF(M167="Gap",10,0)+IF(INDEX(Values!$D$3:$D$502,P167)="Yes",5,0))))</f>
        <v/>
      </c>
      <c r="P167">
        <f>IF(B167="Supporting",MATCH(A167-1-Entity!$B$14,Values!$J$3:$J$502,0),"")</f>
        <v/>
      </c>
      <c r="Q167">
        <f>IF(C167="","",MATCH(C167,Attributes!$A$3:$A$52,0))</f>
        <v/>
      </c>
      <c r="R167">
        <f>IF(B167="Pillar",SUBSTITUTE(Entity!$B$7,"{entity}",LOWER(Entity!$B$3)),IF(B167="Cluster",IF(INDEX(Attributes!$G$3:$G$52,Q167)&lt;&gt;"",INDEX(Attributes!$G$3:$G$52,Q167),SUBSTITUTE(SUBSTITUTE(Entity!$B$8,"{entity}",LOWER(Entity!$B$3)),"{attribute}",LOWER(C167))),IF(B167="Supporting",SUBSTITUTE(SUBSTITUTE(SUBSTITUTE(IF(INDEX(Attributes!$H$3:$H$52,Q167)&lt;&gt;"",INDEX(Attributes!$H$3:$H$52,Q167),Entity!$B$9),"{entity}",LOWER(Entity!$B$3)),"{value}",D167),"{attribute}",LOWER(C167)),"")))</f>
        <v/>
      </c>
    </row>
    <row r="168">
      <c r="A168">
        <f>ROW()-2</f>
        <v/>
      </c>
      <c r="B168">
        <f>IF(A168=1,"Pillar",IF(A168&lt;=1+Entity!$B$14,"Cluster",IF(A168&lt;=1+Entity!$B$14+Entity!$B$15,"Supporting","")))</f>
        <v/>
      </c>
      <c r="C168">
        <f>IF(B168="Cluster",INDEX(Attributes!$A$3:$A$52,MATCH(A168-1,Attributes!$P$3:$P$52,0)),IF(B168="Supporting",INDEX(Values!$A$3:$A$502,P168),""))</f>
        <v/>
      </c>
      <c r="D168">
        <f>IF(B168="Supporting",INDEX(Values!$B$3:$B$502,P168),"")</f>
        <v/>
      </c>
      <c r="E168">
        <f>IF(R168="","",UPPER(LEFT(R168,1))&amp;MID(R168,2,500))</f>
        <v/>
      </c>
      <c r="F168">
        <f>IF(E168="","",LOWER(SUBSTITUTE(SUBSTITUTE(SUBSTITUTE(SUBSTITUTE(SUBSTITUTE(SUBSTITUTE(SUBSTITUTE(TRIM(E168),":",""),",",""),"'",""),"&amp;","and"),"£",""),"  "," ")," ","-")))</f>
        <v/>
      </c>
      <c r="G168">
        <f>IF(B168="Cluster",$E$3,IF(B168="Supporting",INDEX($E$3:$E$553,MATCH(C168,$C$3:$C$553,0)),""))</f>
        <v/>
      </c>
      <c r="H168">
        <f>IF(B168="Supporting",IFERROR(INDEX($E$3:$E$553,1+Entity!$B$14+INDEX(Values!$O$3:$O$502,P168)),""),IF(B168="Cluster",IF(Entity!$B$14&lt;2,"",INDEX($E$3:$E$553,IF(A168-1=Entity!$B$14,2,A168+1))),""))</f>
        <v/>
      </c>
      <c r="I168">
        <f>IF(B168="Pillar",Entity!$B$14&amp;" cluster pages",IF(B168="Cluster",(COUNTIF($C$3:$C$553,SUBSTITUTE(SUBSTITUTE(C168,"?","~?"),"*","~*"))-1)&amp;" supporting pages",""))</f>
        <v/>
      </c>
      <c r="J168">
        <f>IF(B168="Pillar","Informational",IF(OR(B168="Cluster",B168="Supporting"),INDEX(Attributes!$D$3:$D$52,Q168)&amp;"",""))</f>
        <v/>
      </c>
      <c r="K168">
        <f>IF(B168="","",IF(B168="Pillar","Pillar guide (entity hub)",IF(B168="Cluster","Hub page for this attribute",IF(INDEX(Values!$C$3:$C$502,P168)="Yes","Entity page (profile of the sub-entity)",IFERROR(INDEX(Lists!$B$3:$B$6,MATCH(J168,Lists!$A$3:$A$6,0)),"Article")))))</f>
        <v/>
      </c>
      <c r="L168">
        <f>IF(B168="Pillar",Entity!$B$6&amp;"",IF(B168="Cluster",INDEX(Attributes!$I$3:$I$52,Q168)&amp;"",IF(B168="Supporting",INDEX(Values!$F$3:$F$502,P168)&amp;"","")))</f>
        <v/>
      </c>
      <c r="M168">
        <f>IF(B168="","",IF(L168&lt;&gt;"","Covered","Gap"))</f>
        <v/>
      </c>
      <c r="N168">
        <f>IF(B168="Pillar",SUMIFS(Values!$E$3:$E$502,Values!$I$3:$I$502,"Yes"),IF(B168="Cluster",SUMIFS(Values!$E$3:$E$502,Values!$A$3:$A$502,SUBSTITUTE(SUBSTITUTE(C168,"?","~?"),"*","~*"),Values!$I$3:$I$502,"Yes"),IF(B168="Supporting",N(INDEX(Values!$E$3:$E$502,P168)),"")))</f>
        <v/>
      </c>
      <c r="O168">
        <f>IF(B168="","",IF(B168="Pillar",100,IF(B168="Cluster",N(INDEX(Attributes!$E$3:$E$52,Q168))*25+IF(M168="Gap",10,0),N(INDEX(Attributes!$E$3:$E$52,Q168))*20+MIN(20,ROUND(LOG10(N(N168)+1)*5,0))+IF(M168="Gap",10,0)+IF(INDEX(Values!$D$3:$D$502,P168)="Yes",5,0))))</f>
        <v/>
      </c>
      <c r="P168">
        <f>IF(B168="Supporting",MATCH(A168-1-Entity!$B$14,Values!$J$3:$J$502,0),"")</f>
        <v/>
      </c>
      <c r="Q168">
        <f>IF(C168="","",MATCH(C168,Attributes!$A$3:$A$52,0))</f>
        <v/>
      </c>
      <c r="R168">
        <f>IF(B168="Pillar",SUBSTITUTE(Entity!$B$7,"{entity}",LOWER(Entity!$B$3)),IF(B168="Cluster",IF(INDEX(Attributes!$G$3:$G$52,Q168)&lt;&gt;"",INDEX(Attributes!$G$3:$G$52,Q168),SUBSTITUTE(SUBSTITUTE(Entity!$B$8,"{entity}",LOWER(Entity!$B$3)),"{attribute}",LOWER(C168))),IF(B168="Supporting",SUBSTITUTE(SUBSTITUTE(SUBSTITUTE(IF(INDEX(Attributes!$H$3:$H$52,Q168)&lt;&gt;"",INDEX(Attributes!$H$3:$H$52,Q168),Entity!$B$9),"{entity}",LOWER(Entity!$B$3)),"{value}",D168),"{attribute}",LOWER(C168)),"")))</f>
        <v/>
      </c>
    </row>
    <row r="169">
      <c r="A169">
        <f>ROW()-2</f>
        <v/>
      </c>
      <c r="B169">
        <f>IF(A169=1,"Pillar",IF(A169&lt;=1+Entity!$B$14,"Cluster",IF(A169&lt;=1+Entity!$B$14+Entity!$B$15,"Supporting","")))</f>
        <v/>
      </c>
      <c r="C169">
        <f>IF(B169="Cluster",INDEX(Attributes!$A$3:$A$52,MATCH(A169-1,Attributes!$P$3:$P$52,0)),IF(B169="Supporting",INDEX(Values!$A$3:$A$502,P169),""))</f>
        <v/>
      </c>
      <c r="D169">
        <f>IF(B169="Supporting",INDEX(Values!$B$3:$B$502,P169),"")</f>
        <v/>
      </c>
      <c r="E169">
        <f>IF(R169="","",UPPER(LEFT(R169,1))&amp;MID(R169,2,500))</f>
        <v/>
      </c>
      <c r="F169">
        <f>IF(E169="","",LOWER(SUBSTITUTE(SUBSTITUTE(SUBSTITUTE(SUBSTITUTE(SUBSTITUTE(SUBSTITUTE(SUBSTITUTE(TRIM(E169),":",""),",",""),"'",""),"&amp;","and"),"£",""),"  "," ")," ","-")))</f>
        <v/>
      </c>
      <c r="G169">
        <f>IF(B169="Cluster",$E$3,IF(B169="Supporting",INDEX($E$3:$E$553,MATCH(C169,$C$3:$C$553,0)),""))</f>
        <v/>
      </c>
      <c r="H169">
        <f>IF(B169="Supporting",IFERROR(INDEX($E$3:$E$553,1+Entity!$B$14+INDEX(Values!$O$3:$O$502,P169)),""),IF(B169="Cluster",IF(Entity!$B$14&lt;2,"",INDEX($E$3:$E$553,IF(A169-1=Entity!$B$14,2,A169+1))),""))</f>
        <v/>
      </c>
      <c r="I169">
        <f>IF(B169="Pillar",Entity!$B$14&amp;" cluster pages",IF(B169="Cluster",(COUNTIF($C$3:$C$553,SUBSTITUTE(SUBSTITUTE(C169,"?","~?"),"*","~*"))-1)&amp;" supporting pages",""))</f>
        <v/>
      </c>
      <c r="J169">
        <f>IF(B169="Pillar","Informational",IF(OR(B169="Cluster",B169="Supporting"),INDEX(Attributes!$D$3:$D$52,Q169)&amp;"",""))</f>
        <v/>
      </c>
      <c r="K169">
        <f>IF(B169="","",IF(B169="Pillar","Pillar guide (entity hub)",IF(B169="Cluster","Hub page for this attribute",IF(INDEX(Values!$C$3:$C$502,P169)="Yes","Entity page (profile of the sub-entity)",IFERROR(INDEX(Lists!$B$3:$B$6,MATCH(J169,Lists!$A$3:$A$6,0)),"Article")))))</f>
        <v/>
      </c>
      <c r="L169">
        <f>IF(B169="Pillar",Entity!$B$6&amp;"",IF(B169="Cluster",INDEX(Attributes!$I$3:$I$52,Q169)&amp;"",IF(B169="Supporting",INDEX(Values!$F$3:$F$502,P169)&amp;"","")))</f>
        <v/>
      </c>
      <c r="M169">
        <f>IF(B169="","",IF(L169&lt;&gt;"","Covered","Gap"))</f>
        <v/>
      </c>
      <c r="N169">
        <f>IF(B169="Pillar",SUMIFS(Values!$E$3:$E$502,Values!$I$3:$I$502,"Yes"),IF(B169="Cluster",SUMIFS(Values!$E$3:$E$502,Values!$A$3:$A$502,SUBSTITUTE(SUBSTITUTE(C169,"?","~?"),"*","~*"),Values!$I$3:$I$502,"Yes"),IF(B169="Supporting",N(INDEX(Values!$E$3:$E$502,P169)),"")))</f>
        <v/>
      </c>
      <c r="O169">
        <f>IF(B169="","",IF(B169="Pillar",100,IF(B169="Cluster",N(INDEX(Attributes!$E$3:$E$52,Q169))*25+IF(M169="Gap",10,0),N(INDEX(Attributes!$E$3:$E$52,Q169))*20+MIN(20,ROUND(LOG10(N(N169)+1)*5,0))+IF(M169="Gap",10,0)+IF(INDEX(Values!$D$3:$D$502,P169)="Yes",5,0))))</f>
        <v/>
      </c>
      <c r="P169">
        <f>IF(B169="Supporting",MATCH(A169-1-Entity!$B$14,Values!$J$3:$J$502,0),"")</f>
        <v/>
      </c>
      <c r="Q169">
        <f>IF(C169="","",MATCH(C169,Attributes!$A$3:$A$52,0))</f>
        <v/>
      </c>
      <c r="R169">
        <f>IF(B169="Pillar",SUBSTITUTE(Entity!$B$7,"{entity}",LOWER(Entity!$B$3)),IF(B169="Cluster",IF(INDEX(Attributes!$G$3:$G$52,Q169)&lt;&gt;"",INDEX(Attributes!$G$3:$G$52,Q169),SUBSTITUTE(SUBSTITUTE(Entity!$B$8,"{entity}",LOWER(Entity!$B$3)),"{attribute}",LOWER(C169))),IF(B169="Supporting",SUBSTITUTE(SUBSTITUTE(SUBSTITUTE(IF(INDEX(Attributes!$H$3:$H$52,Q169)&lt;&gt;"",INDEX(Attributes!$H$3:$H$52,Q169),Entity!$B$9),"{entity}",LOWER(Entity!$B$3)),"{value}",D169),"{attribute}",LOWER(C169)),"")))</f>
        <v/>
      </c>
    </row>
    <row r="170">
      <c r="A170">
        <f>ROW()-2</f>
        <v/>
      </c>
      <c r="B170">
        <f>IF(A170=1,"Pillar",IF(A170&lt;=1+Entity!$B$14,"Cluster",IF(A170&lt;=1+Entity!$B$14+Entity!$B$15,"Supporting","")))</f>
        <v/>
      </c>
      <c r="C170">
        <f>IF(B170="Cluster",INDEX(Attributes!$A$3:$A$52,MATCH(A170-1,Attributes!$P$3:$P$52,0)),IF(B170="Supporting",INDEX(Values!$A$3:$A$502,P170),""))</f>
        <v/>
      </c>
      <c r="D170">
        <f>IF(B170="Supporting",INDEX(Values!$B$3:$B$502,P170),"")</f>
        <v/>
      </c>
      <c r="E170">
        <f>IF(R170="","",UPPER(LEFT(R170,1))&amp;MID(R170,2,500))</f>
        <v/>
      </c>
      <c r="F170">
        <f>IF(E170="","",LOWER(SUBSTITUTE(SUBSTITUTE(SUBSTITUTE(SUBSTITUTE(SUBSTITUTE(SUBSTITUTE(SUBSTITUTE(TRIM(E170),":",""),",",""),"'",""),"&amp;","and"),"£",""),"  "," ")," ","-")))</f>
        <v/>
      </c>
      <c r="G170">
        <f>IF(B170="Cluster",$E$3,IF(B170="Supporting",INDEX($E$3:$E$553,MATCH(C170,$C$3:$C$553,0)),""))</f>
        <v/>
      </c>
      <c r="H170">
        <f>IF(B170="Supporting",IFERROR(INDEX($E$3:$E$553,1+Entity!$B$14+INDEX(Values!$O$3:$O$502,P170)),""),IF(B170="Cluster",IF(Entity!$B$14&lt;2,"",INDEX($E$3:$E$553,IF(A170-1=Entity!$B$14,2,A170+1))),""))</f>
        <v/>
      </c>
      <c r="I170">
        <f>IF(B170="Pillar",Entity!$B$14&amp;" cluster pages",IF(B170="Cluster",(COUNTIF($C$3:$C$553,SUBSTITUTE(SUBSTITUTE(C170,"?","~?"),"*","~*"))-1)&amp;" supporting pages",""))</f>
        <v/>
      </c>
      <c r="J170">
        <f>IF(B170="Pillar","Informational",IF(OR(B170="Cluster",B170="Supporting"),INDEX(Attributes!$D$3:$D$52,Q170)&amp;"",""))</f>
        <v/>
      </c>
      <c r="K170">
        <f>IF(B170="","",IF(B170="Pillar","Pillar guide (entity hub)",IF(B170="Cluster","Hub page for this attribute",IF(INDEX(Values!$C$3:$C$502,P170)="Yes","Entity page (profile of the sub-entity)",IFERROR(INDEX(Lists!$B$3:$B$6,MATCH(J170,Lists!$A$3:$A$6,0)),"Article")))))</f>
        <v/>
      </c>
      <c r="L170">
        <f>IF(B170="Pillar",Entity!$B$6&amp;"",IF(B170="Cluster",INDEX(Attributes!$I$3:$I$52,Q170)&amp;"",IF(B170="Supporting",INDEX(Values!$F$3:$F$502,P170)&amp;"","")))</f>
        <v/>
      </c>
      <c r="M170">
        <f>IF(B170="","",IF(L170&lt;&gt;"","Covered","Gap"))</f>
        <v/>
      </c>
      <c r="N170">
        <f>IF(B170="Pillar",SUMIFS(Values!$E$3:$E$502,Values!$I$3:$I$502,"Yes"),IF(B170="Cluster",SUMIFS(Values!$E$3:$E$502,Values!$A$3:$A$502,SUBSTITUTE(SUBSTITUTE(C170,"?","~?"),"*","~*"),Values!$I$3:$I$502,"Yes"),IF(B170="Supporting",N(INDEX(Values!$E$3:$E$502,P170)),"")))</f>
        <v/>
      </c>
      <c r="O170">
        <f>IF(B170="","",IF(B170="Pillar",100,IF(B170="Cluster",N(INDEX(Attributes!$E$3:$E$52,Q170))*25+IF(M170="Gap",10,0),N(INDEX(Attributes!$E$3:$E$52,Q170))*20+MIN(20,ROUND(LOG10(N(N170)+1)*5,0))+IF(M170="Gap",10,0)+IF(INDEX(Values!$D$3:$D$502,P170)="Yes",5,0))))</f>
        <v/>
      </c>
      <c r="P170">
        <f>IF(B170="Supporting",MATCH(A170-1-Entity!$B$14,Values!$J$3:$J$502,0),"")</f>
        <v/>
      </c>
      <c r="Q170">
        <f>IF(C170="","",MATCH(C170,Attributes!$A$3:$A$52,0))</f>
        <v/>
      </c>
      <c r="R170">
        <f>IF(B170="Pillar",SUBSTITUTE(Entity!$B$7,"{entity}",LOWER(Entity!$B$3)),IF(B170="Cluster",IF(INDEX(Attributes!$G$3:$G$52,Q170)&lt;&gt;"",INDEX(Attributes!$G$3:$G$52,Q170),SUBSTITUTE(SUBSTITUTE(Entity!$B$8,"{entity}",LOWER(Entity!$B$3)),"{attribute}",LOWER(C170))),IF(B170="Supporting",SUBSTITUTE(SUBSTITUTE(SUBSTITUTE(IF(INDEX(Attributes!$H$3:$H$52,Q170)&lt;&gt;"",INDEX(Attributes!$H$3:$H$52,Q170),Entity!$B$9),"{entity}",LOWER(Entity!$B$3)),"{value}",D170),"{attribute}",LOWER(C170)),"")))</f>
        <v/>
      </c>
    </row>
    <row r="171">
      <c r="A171">
        <f>ROW()-2</f>
        <v/>
      </c>
      <c r="B171">
        <f>IF(A171=1,"Pillar",IF(A171&lt;=1+Entity!$B$14,"Cluster",IF(A171&lt;=1+Entity!$B$14+Entity!$B$15,"Supporting","")))</f>
        <v/>
      </c>
      <c r="C171">
        <f>IF(B171="Cluster",INDEX(Attributes!$A$3:$A$52,MATCH(A171-1,Attributes!$P$3:$P$52,0)),IF(B171="Supporting",INDEX(Values!$A$3:$A$502,P171),""))</f>
        <v/>
      </c>
      <c r="D171">
        <f>IF(B171="Supporting",INDEX(Values!$B$3:$B$502,P171),"")</f>
        <v/>
      </c>
      <c r="E171">
        <f>IF(R171="","",UPPER(LEFT(R171,1))&amp;MID(R171,2,500))</f>
        <v/>
      </c>
      <c r="F171">
        <f>IF(E171="","",LOWER(SUBSTITUTE(SUBSTITUTE(SUBSTITUTE(SUBSTITUTE(SUBSTITUTE(SUBSTITUTE(SUBSTITUTE(TRIM(E171),":",""),",",""),"'",""),"&amp;","and"),"£",""),"  "," ")," ","-")))</f>
        <v/>
      </c>
      <c r="G171">
        <f>IF(B171="Cluster",$E$3,IF(B171="Supporting",INDEX($E$3:$E$553,MATCH(C171,$C$3:$C$553,0)),""))</f>
        <v/>
      </c>
      <c r="H171">
        <f>IF(B171="Supporting",IFERROR(INDEX($E$3:$E$553,1+Entity!$B$14+INDEX(Values!$O$3:$O$502,P171)),""),IF(B171="Cluster",IF(Entity!$B$14&lt;2,"",INDEX($E$3:$E$553,IF(A171-1=Entity!$B$14,2,A171+1))),""))</f>
        <v/>
      </c>
      <c r="I171">
        <f>IF(B171="Pillar",Entity!$B$14&amp;" cluster pages",IF(B171="Cluster",(COUNTIF($C$3:$C$553,SUBSTITUTE(SUBSTITUTE(C171,"?","~?"),"*","~*"))-1)&amp;" supporting pages",""))</f>
        <v/>
      </c>
      <c r="J171">
        <f>IF(B171="Pillar","Informational",IF(OR(B171="Cluster",B171="Supporting"),INDEX(Attributes!$D$3:$D$52,Q171)&amp;"",""))</f>
        <v/>
      </c>
      <c r="K171">
        <f>IF(B171="","",IF(B171="Pillar","Pillar guide (entity hub)",IF(B171="Cluster","Hub page for this attribute",IF(INDEX(Values!$C$3:$C$502,P171)="Yes","Entity page (profile of the sub-entity)",IFERROR(INDEX(Lists!$B$3:$B$6,MATCH(J171,Lists!$A$3:$A$6,0)),"Article")))))</f>
        <v/>
      </c>
      <c r="L171">
        <f>IF(B171="Pillar",Entity!$B$6&amp;"",IF(B171="Cluster",INDEX(Attributes!$I$3:$I$52,Q171)&amp;"",IF(B171="Supporting",INDEX(Values!$F$3:$F$502,P171)&amp;"","")))</f>
        <v/>
      </c>
      <c r="M171">
        <f>IF(B171="","",IF(L171&lt;&gt;"","Covered","Gap"))</f>
        <v/>
      </c>
      <c r="N171">
        <f>IF(B171="Pillar",SUMIFS(Values!$E$3:$E$502,Values!$I$3:$I$502,"Yes"),IF(B171="Cluster",SUMIFS(Values!$E$3:$E$502,Values!$A$3:$A$502,SUBSTITUTE(SUBSTITUTE(C171,"?","~?"),"*","~*"),Values!$I$3:$I$502,"Yes"),IF(B171="Supporting",N(INDEX(Values!$E$3:$E$502,P171)),"")))</f>
        <v/>
      </c>
      <c r="O171">
        <f>IF(B171="","",IF(B171="Pillar",100,IF(B171="Cluster",N(INDEX(Attributes!$E$3:$E$52,Q171))*25+IF(M171="Gap",10,0),N(INDEX(Attributes!$E$3:$E$52,Q171))*20+MIN(20,ROUND(LOG10(N(N171)+1)*5,0))+IF(M171="Gap",10,0)+IF(INDEX(Values!$D$3:$D$502,P171)="Yes",5,0))))</f>
        <v/>
      </c>
      <c r="P171">
        <f>IF(B171="Supporting",MATCH(A171-1-Entity!$B$14,Values!$J$3:$J$502,0),"")</f>
        <v/>
      </c>
      <c r="Q171">
        <f>IF(C171="","",MATCH(C171,Attributes!$A$3:$A$52,0))</f>
        <v/>
      </c>
      <c r="R171">
        <f>IF(B171="Pillar",SUBSTITUTE(Entity!$B$7,"{entity}",LOWER(Entity!$B$3)),IF(B171="Cluster",IF(INDEX(Attributes!$G$3:$G$52,Q171)&lt;&gt;"",INDEX(Attributes!$G$3:$G$52,Q171),SUBSTITUTE(SUBSTITUTE(Entity!$B$8,"{entity}",LOWER(Entity!$B$3)),"{attribute}",LOWER(C171))),IF(B171="Supporting",SUBSTITUTE(SUBSTITUTE(SUBSTITUTE(IF(INDEX(Attributes!$H$3:$H$52,Q171)&lt;&gt;"",INDEX(Attributes!$H$3:$H$52,Q171),Entity!$B$9),"{entity}",LOWER(Entity!$B$3)),"{value}",D171),"{attribute}",LOWER(C171)),"")))</f>
        <v/>
      </c>
    </row>
    <row r="172">
      <c r="A172">
        <f>ROW()-2</f>
        <v/>
      </c>
      <c r="B172">
        <f>IF(A172=1,"Pillar",IF(A172&lt;=1+Entity!$B$14,"Cluster",IF(A172&lt;=1+Entity!$B$14+Entity!$B$15,"Supporting","")))</f>
        <v/>
      </c>
      <c r="C172">
        <f>IF(B172="Cluster",INDEX(Attributes!$A$3:$A$52,MATCH(A172-1,Attributes!$P$3:$P$52,0)),IF(B172="Supporting",INDEX(Values!$A$3:$A$502,P172),""))</f>
        <v/>
      </c>
      <c r="D172">
        <f>IF(B172="Supporting",INDEX(Values!$B$3:$B$502,P172),"")</f>
        <v/>
      </c>
      <c r="E172">
        <f>IF(R172="","",UPPER(LEFT(R172,1))&amp;MID(R172,2,500))</f>
        <v/>
      </c>
      <c r="F172">
        <f>IF(E172="","",LOWER(SUBSTITUTE(SUBSTITUTE(SUBSTITUTE(SUBSTITUTE(SUBSTITUTE(SUBSTITUTE(SUBSTITUTE(TRIM(E172),":",""),",",""),"'",""),"&amp;","and"),"£",""),"  "," ")," ","-")))</f>
        <v/>
      </c>
      <c r="G172">
        <f>IF(B172="Cluster",$E$3,IF(B172="Supporting",INDEX($E$3:$E$553,MATCH(C172,$C$3:$C$553,0)),""))</f>
        <v/>
      </c>
      <c r="H172">
        <f>IF(B172="Supporting",IFERROR(INDEX($E$3:$E$553,1+Entity!$B$14+INDEX(Values!$O$3:$O$502,P172)),""),IF(B172="Cluster",IF(Entity!$B$14&lt;2,"",INDEX($E$3:$E$553,IF(A172-1=Entity!$B$14,2,A172+1))),""))</f>
        <v/>
      </c>
      <c r="I172">
        <f>IF(B172="Pillar",Entity!$B$14&amp;" cluster pages",IF(B172="Cluster",(COUNTIF($C$3:$C$553,SUBSTITUTE(SUBSTITUTE(C172,"?","~?"),"*","~*"))-1)&amp;" supporting pages",""))</f>
        <v/>
      </c>
      <c r="J172">
        <f>IF(B172="Pillar","Informational",IF(OR(B172="Cluster",B172="Supporting"),INDEX(Attributes!$D$3:$D$52,Q172)&amp;"",""))</f>
        <v/>
      </c>
      <c r="K172">
        <f>IF(B172="","",IF(B172="Pillar","Pillar guide (entity hub)",IF(B172="Cluster","Hub page for this attribute",IF(INDEX(Values!$C$3:$C$502,P172)="Yes","Entity page (profile of the sub-entity)",IFERROR(INDEX(Lists!$B$3:$B$6,MATCH(J172,Lists!$A$3:$A$6,0)),"Article")))))</f>
        <v/>
      </c>
      <c r="L172">
        <f>IF(B172="Pillar",Entity!$B$6&amp;"",IF(B172="Cluster",INDEX(Attributes!$I$3:$I$52,Q172)&amp;"",IF(B172="Supporting",INDEX(Values!$F$3:$F$502,P172)&amp;"","")))</f>
        <v/>
      </c>
      <c r="M172">
        <f>IF(B172="","",IF(L172&lt;&gt;"","Covered","Gap"))</f>
        <v/>
      </c>
      <c r="N172">
        <f>IF(B172="Pillar",SUMIFS(Values!$E$3:$E$502,Values!$I$3:$I$502,"Yes"),IF(B172="Cluster",SUMIFS(Values!$E$3:$E$502,Values!$A$3:$A$502,SUBSTITUTE(SUBSTITUTE(C172,"?","~?"),"*","~*"),Values!$I$3:$I$502,"Yes"),IF(B172="Supporting",N(INDEX(Values!$E$3:$E$502,P172)),"")))</f>
        <v/>
      </c>
      <c r="O172">
        <f>IF(B172="","",IF(B172="Pillar",100,IF(B172="Cluster",N(INDEX(Attributes!$E$3:$E$52,Q172))*25+IF(M172="Gap",10,0),N(INDEX(Attributes!$E$3:$E$52,Q172))*20+MIN(20,ROUND(LOG10(N(N172)+1)*5,0))+IF(M172="Gap",10,0)+IF(INDEX(Values!$D$3:$D$502,P172)="Yes",5,0))))</f>
        <v/>
      </c>
      <c r="P172">
        <f>IF(B172="Supporting",MATCH(A172-1-Entity!$B$14,Values!$J$3:$J$502,0),"")</f>
        <v/>
      </c>
      <c r="Q172">
        <f>IF(C172="","",MATCH(C172,Attributes!$A$3:$A$52,0))</f>
        <v/>
      </c>
      <c r="R172">
        <f>IF(B172="Pillar",SUBSTITUTE(Entity!$B$7,"{entity}",LOWER(Entity!$B$3)),IF(B172="Cluster",IF(INDEX(Attributes!$G$3:$G$52,Q172)&lt;&gt;"",INDEX(Attributes!$G$3:$G$52,Q172),SUBSTITUTE(SUBSTITUTE(Entity!$B$8,"{entity}",LOWER(Entity!$B$3)),"{attribute}",LOWER(C172))),IF(B172="Supporting",SUBSTITUTE(SUBSTITUTE(SUBSTITUTE(IF(INDEX(Attributes!$H$3:$H$52,Q172)&lt;&gt;"",INDEX(Attributes!$H$3:$H$52,Q172),Entity!$B$9),"{entity}",LOWER(Entity!$B$3)),"{value}",D172),"{attribute}",LOWER(C172)),"")))</f>
        <v/>
      </c>
    </row>
    <row r="173">
      <c r="A173">
        <f>ROW()-2</f>
        <v/>
      </c>
      <c r="B173">
        <f>IF(A173=1,"Pillar",IF(A173&lt;=1+Entity!$B$14,"Cluster",IF(A173&lt;=1+Entity!$B$14+Entity!$B$15,"Supporting","")))</f>
        <v/>
      </c>
      <c r="C173">
        <f>IF(B173="Cluster",INDEX(Attributes!$A$3:$A$52,MATCH(A173-1,Attributes!$P$3:$P$52,0)),IF(B173="Supporting",INDEX(Values!$A$3:$A$502,P173),""))</f>
        <v/>
      </c>
      <c r="D173">
        <f>IF(B173="Supporting",INDEX(Values!$B$3:$B$502,P173),"")</f>
        <v/>
      </c>
      <c r="E173">
        <f>IF(R173="","",UPPER(LEFT(R173,1))&amp;MID(R173,2,500))</f>
        <v/>
      </c>
      <c r="F173">
        <f>IF(E173="","",LOWER(SUBSTITUTE(SUBSTITUTE(SUBSTITUTE(SUBSTITUTE(SUBSTITUTE(SUBSTITUTE(SUBSTITUTE(TRIM(E173),":",""),",",""),"'",""),"&amp;","and"),"£",""),"  "," ")," ","-")))</f>
        <v/>
      </c>
      <c r="G173">
        <f>IF(B173="Cluster",$E$3,IF(B173="Supporting",INDEX($E$3:$E$553,MATCH(C173,$C$3:$C$553,0)),""))</f>
        <v/>
      </c>
      <c r="H173">
        <f>IF(B173="Supporting",IFERROR(INDEX($E$3:$E$553,1+Entity!$B$14+INDEX(Values!$O$3:$O$502,P173)),""),IF(B173="Cluster",IF(Entity!$B$14&lt;2,"",INDEX($E$3:$E$553,IF(A173-1=Entity!$B$14,2,A173+1))),""))</f>
        <v/>
      </c>
      <c r="I173">
        <f>IF(B173="Pillar",Entity!$B$14&amp;" cluster pages",IF(B173="Cluster",(COUNTIF($C$3:$C$553,SUBSTITUTE(SUBSTITUTE(C173,"?","~?"),"*","~*"))-1)&amp;" supporting pages",""))</f>
        <v/>
      </c>
      <c r="J173">
        <f>IF(B173="Pillar","Informational",IF(OR(B173="Cluster",B173="Supporting"),INDEX(Attributes!$D$3:$D$52,Q173)&amp;"",""))</f>
        <v/>
      </c>
      <c r="K173">
        <f>IF(B173="","",IF(B173="Pillar","Pillar guide (entity hub)",IF(B173="Cluster","Hub page for this attribute",IF(INDEX(Values!$C$3:$C$502,P173)="Yes","Entity page (profile of the sub-entity)",IFERROR(INDEX(Lists!$B$3:$B$6,MATCH(J173,Lists!$A$3:$A$6,0)),"Article")))))</f>
        <v/>
      </c>
      <c r="L173">
        <f>IF(B173="Pillar",Entity!$B$6&amp;"",IF(B173="Cluster",INDEX(Attributes!$I$3:$I$52,Q173)&amp;"",IF(B173="Supporting",INDEX(Values!$F$3:$F$502,P173)&amp;"","")))</f>
        <v/>
      </c>
      <c r="M173">
        <f>IF(B173="","",IF(L173&lt;&gt;"","Covered","Gap"))</f>
        <v/>
      </c>
      <c r="N173">
        <f>IF(B173="Pillar",SUMIFS(Values!$E$3:$E$502,Values!$I$3:$I$502,"Yes"),IF(B173="Cluster",SUMIFS(Values!$E$3:$E$502,Values!$A$3:$A$502,SUBSTITUTE(SUBSTITUTE(C173,"?","~?"),"*","~*"),Values!$I$3:$I$502,"Yes"),IF(B173="Supporting",N(INDEX(Values!$E$3:$E$502,P173)),"")))</f>
        <v/>
      </c>
      <c r="O173">
        <f>IF(B173="","",IF(B173="Pillar",100,IF(B173="Cluster",N(INDEX(Attributes!$E$3:$E$52,Q173))*25+IF(M173="Gap",10,0),N(INDEX(Attributes!$E$3:$E$52,Q173))*20+MIN(20,ROUND(LOG10(N(N173)+1)*5,0))+IF(M173="Gap",10,0)+IF(INDEX(Values!$D$3:$D$502,P173)="Yes",5,0))))</f>
        <v/>
      </c>
      <c r="P173">
        <f>IF(B173="Supporting",MATCH(A173-1-Entity!$B$14,Values!$J$3:$J$502,0),"")</f>
        <v/>
      </c>
      <c r="Q173">
        <f>IF(C173="","",MATCH(C173,Attributes!$A$3:$A$52,0))</f>
        <v/>
      </c>
      <c r="R173">
        <f>IF(B173="Pillar",SUBSTITUTE(Entity!$B$7,"{entity}",LOWER(Entity!$B$3)),IF(B173="Cluster",IF(INDEX(Attributes!$G$3:$G$52,Q173)&lt;&gt;"",INDEX(Attributes!$G$3:$G$52,Q173),SUBSTITUTE(SUBSTITUTE(Entity!$B$8,"{entity}",LOWER(Entity!$B$3)),"{attribute}",LOWER(C173))),IF(B173="Supporting",SUBSTITUTE(SUBSTITUTE(SUBSTITUTE(IF(INDEX(Attributes!$H$3:$H$52,Q173)&lt;&gt;"",INDEX(Attributes!$H$3:$H$52,Q173),Entity!$B$9),"{entity}",LOWER(Entity!$B$3)),"{value}",D173),"{attribute}",LOWER(C173)),"")))</f>
        <v/>
      </c>
    </row>
    <row r="174">
      <c r="A174">
        <f>ROW()-2</f>
        <v/>
      </c>
      <c r="B174">
        <f>IF(A174=1,"Pillar",IF(A174&lt;=1+Entity!$B$14,"Cluster",IF(A174&lt;=1+Entity!$B$14+Entity!$B$15,"Supporting","")))</f>
        <v/>
      </c>
      <c r="C174">
        <f>IF(B174="Cluster",INDEX(Attributes!$A$3:$A$52,MATCH(A174-1,Attributes!$P$3:$P$52,0)),IF(B174="Supporting",INDEX(Values!$A$3:$A$502,P174),""))</f>
        <v/>
      </c>
      <c r="D174">
        <f>IF(B174="Supporting",INDEX(Values!$B$3:$B$502,P174),"")</f>
        <v/>
      </c>
      <c r="E174">
        <f>IF(R174="","",UPPER(LEFT(R174,1))&amp;MID(R174,2,500))</f>
        <v/>
      </c>
      <c r="F174">
        <f>IF(E174="","",LOWER(SUBSTITUTE(SUBSTITUTE(SUBSTITUTE(SUBSTITUTE(SUBSTITUTE(SUBSTITUTE(SUBSTITUTE(TRIM(E174),":",""),",",""),"'",""),"&amp;","and"),"£",""),"  "," ")," ","-")))</f>
        <v/>
      </c>
      <c r="G174">
        <f>IF(B174="Cluster",$E$3,IF(B174="Supporting",INDEX($E$3:$E$553,MATCH(C174,$C$3:$C$553,0)),""))</f>
        <v/>
      </c>
      <c r="H174">
        <f>IF(B174="Supporting",IFERROR(INDEX($E$3:$E$553,1+Entity!$B$14+INDEX(Values!$O$3:$O$502,P174)),""),IF(B174="Cluster",IF(Entity!$B$14&lt;2,"",INDEX($E$3:$E$553,IF(A174-1=Entity!$B$14,2,A174+1))),""))</f>
        <v/>
      </c>
      <c r="I174">
        <f>IF(B174="Pillar",Entity!$B$14&amp;" cluster pages",IF(B174="Cluster",(COUNTIF($C$3:$C$553,SUBSTITUTE(SUBSTITUTE(C174,"?","~?"),"*","~*"))-1)&amp;" supporting pages",""))</f>
        <v/>
      </c>
      <c r="J174">
        <f>IF(B174="Pillar","Informational",IF(OR(B174="Cluster",B174="Supporting"),INDEX(Attributes!$D$3:$D$52,Q174)&amp;"",""))</f>
        <v/>
      </c>
      <c r="K174">
        <f>IF(B174="","",IF(B174="Pillar","Pillar guide (entity hub)",IF(B174="Cluster","Hub page for this attribute",IF(INDEX(Values!$C$3:$C$502,P174)="Yes","Entity page (profile of the sub-entity)",IFERROR(INDEX(Lists!$B$3:$B$6,MATCH(J174,Lists!$A$3:$A$6,0)),"Article")))))</f>
        <v/>
      </c>
      <c r="L174">
        <f>IF(B174="Pillar",Entity!$B$6&amp;"",IF(B174="Cluster",INDEX(Attributes!$I$3:$I$52,Q174)&amp;"",IF(B174="Supporting",INDEX(Values!$F$3:$F$502,P174)&amp;"","")))</f>
        <v/>
      </c>
      <c r="M174">
        <f>IF(B174="","",IF(L174&lt;&gt;"","Covered","Gap"))</f>
        <v/>
      </c>
      <c r="N174">
        <f>IF(B174="Pillar",SUMIFS(Values!$E$3:$E$502,Values!$I$3:$I$502,"Yes"),IF(B174="Cluster",SUMIFS(Values!$E$3:$E$502,Values!$A$3:$A$502,SUBSTITUTE(SUBSTITUTE(C174,"?","~?"),"*","~*"),Values!$I$3:$I$502,"Yes"),IF(B174="Supporting",N(INDEX(Values!$E$3:$E$502,P174)),"")))</f>
        <v/>
      </c>
      <c r="O174">
        <f>IF(B174="","",IF(B174="Pillar",100,IF(B174="Cluster",N(INDEX(Attributes!$E$3:$E$52,Q174))*25+IF(M174="Gap",10,0),N(INDEX(Attributes!$E$3:$E$52,Q174))*20+MIN(20,ROUND(LOG10(N(N174)+1)*5,0))+IF(M174="Gap",10,0)+IF(INDEX(Values!$D$3:$D$502,P174)="Yes",5,0))))</f>
        <v/>
      </c>
      <c r="P174">
        <f>IF(B174="Supporting",MATCH(A174-1-Entity!$B$14,Values!$J$3:$J$502,0),"")</f>
        <v/>
      </c>
      <c r="Q174">
        <f>IF(C174="","",MATCH(C174,Attributes!$A$3:$A$52,0))</f>
        <v/>
      </c>
      <c r="R174">
        <f>IF(B174="Pillar",SUBSTITUTE(Entity!$B$7,"{entity}",LOWER(Entity!$B$3)),IF(B174="Cluster",IF(INDEX(Attributes!$G$3:$G$52,Q174)&lt;&gt;"",INDEX(Attributes!$G$3:$G$52,Q174),SUBSTITUTE(SUBSTITUTE(Entity!$B$8,"{entity}",LOWER(Entity!$B$3)),"{attribute}",LOWER(C174))),IF(B174="Supporting",SUBSTITUTE(SUBSTITUTE(SUBSTITUTE(IF(INDEX(Attributes!$H$3:$H$52,Q174)&lt;&gt;"",INDEX(Attributes!$H$3:$H$52,Q174),Entity!$B$9),"{entity}",LOWER(Entity!$B$3)),"{value}",D174),"{attribute}",LOWER(C174)),"")))</f>
        <v/>
      </c>
    </row>
    <row r="175">
      <c r="A175">
        <f>ROW()-2</f>
        <v/>
      </c>
      <c r="B175">
        <f>IF(A175=1,"Pillar",IF(A175&lt;=1+Entity!$B$14,"Cluster",IF(A175&lt;=1+Entity!$B$14+Entity!$B$15,"Supporting","")))</f>
        <v/>
      </c>
      <c r="C175">
        <f>IF(B175="Cluster",INDEX(Attributes!$A$3:$A$52,MATCH(A175-1,Attributes!$P$3:$P$52,0)),IF(B175="Supporting",INDEX(Values!$A$3:$A$502,P175),""))</f>
        <v/>
      </c>
      <c r="D175">
        <f>IF(B175="Supporting",INDEX(Values!$B$3:$B$502,P175),"")</f>
        <v/>
      </c>
      <c r="E175">
        <f>IF(R175="","",UPPER(LEFT(R175,1))&amp;MID(R175,2,500))</f>
        <v/>
      </c>
      <c r="F175">
        <f>IF(E175="","",LOWER(SUBSTITUTE(SUBSTITUTE(SUBSTITUTE(SUBSTITUTE(SUBSTITUTE(SUBSTITUTE(SUBSTITUTE(TRIM(E175),":",""),",",""),"'",""),"&amp;","and"),"£",""),"  "," ")," ","-")))</f>
        <v/>
      </c>
      <c r="G175">
        <f>IF(B175="Cluster",$E$3,IF(B175="Supporting",INDEX($E$3:$E$553,MATCH(C175,$C$3:$C$553,0)),""))</f>
        <v/>
      </c>
      <c r="H175">
        <f>IF(B175="Supporting",IFERROR(INDEX($E$3:$E$553,1+Entity!$B$14+INDEX(Values!$O$3:$O$502,P175)),""),IF(B175="Cluster",IF(Entity!$B$14&lt;2,"",INDEX($E$3:$E$553,IF(A175-1=Entity!$B$14,2,A175+1))),""))</f>
        <v/>
      </c>
      <c r="I175">
        <f>IF(B175="Pillar",Entity!$B$14&amp;" cluster pages",IF(B175="Cluster",(COUNTIF($C$3:$C$553,SUBSTITUTE(SUBSTITUTE(C175,"?","~?"),"*","~*"))-1)&amp;" supporting pages",""))</f>
        <v/>
      </c>
      <c r="J175">
        <f>IF(B175="Pillar","Informational",IF(OR(B175="Cluster",B175="Supporting"),INDEX(Attributes!$D$3:$D$52,Q175)&amp;"",""))</f>
        <v/>
      </c>
      <c r="K175">
        <f>IF(B175="","",IF(B175="Pillar","Pillar guide (entity hub)",IF(B175="Cluster","Hub page for this attribute",IF(INDEX(Values!$C$3:$C$502,P175)="Yes","Entity page (profile of the sub-entity)",IFERROR(INDEX(Lists!$B$3:$B$6,MATCH(J175,Lists!$A$3:$A$6,0)),"Article")))))</f>
        <v/>
      </c>
      <c r="L175">
        <f>IF(B175="Pillar",Entity!$B$6&amp;"",IF(B175="Cluster",INDEX(Attributes!$I$3:$I$52,Q175)&amp;"",IF(B175="Supporting",INDEX(Values!$F$3:$F$502,P175)&amp;"","")))</f>
        <v/>
      </c>
      <c r="M175">
        <f>IF(B175="","",IF(L175&lt;&gt;"","Covered","Gap"))</f>
        <v/>
      </c>
      <c r="N175">
        <f>IF(B175="Pillar",SUMIFS(Values!$E$3:$E$502,Values!$I$3:$I$502,"Yes"),IF(B175="Cluster",SUMIFS(Values!$E$3:$E$502,Values!$A$3:$A$502,SUBSTITUTE(SUBSTITUTE(C175,"?","~?"),"*","~*"),Values!$I$3:$I$502,"Yes"),IF(B175="Supporting",N(INDEX(Values!$E$3:$E$502,P175)),"")))</f>
        <v/>
      </c>
      <c r="O175">
        <f>IF(B175="","",IF(B175="Pillar",100,IF(B175="Cluster",N(INDEX(Attributes!$E$3:$E$52,Q175))*25+IF(M175="Gap",10,0),N(INDEX(Attributes!$E$3:$E$52,Q175))*20+MIN(20,ROUND(LOG10(N(N175)+1)*5,0))+IF(M175="Gap",10,0)+IF(INDEX(Values!$D$3:$D$502,P175)="Yes",5,0))))</f>
        <v/>
      </c>
      <c r="P175">
        <f>IF(B175="Supporting",MATCH(A175-1-Entity!$B$14,Values!$J$3:$J$502,0),"")</f>
        <v/>
      </c>
      <c r="Q175">
        <f>IF(C175="","",MATCH(C175,Attributes!$A$3:$A$52,0))</f>
        <v/>
      </c>
      <c r="R175">
        <f>IF(B175="Pillar",SUBSTITUTE(Entity!$B$7,"{entity}",LOWER(Entity!$B$3)),IF(B175="Cluster",IF(INDEX(Attributes!$G$3:$G$52,Q175)&lt;&gt;"",INDEX(Attributes!$G$3:$G$52,Q175),SUBSTITUTE(SUBSTITUTE(Entity!$B$8,"{entity}",LOWER(Entity!$B$3)),"{attribute}",LOWER(C175))),IF(B175="Supporting",SUBSTITUTE(SUBSTITUTE(SUBSTITUTE(IF(INDEX(Attributes!$H$3:$H$52,Q175)&lt;&gt;"",INDEX(Attributes!$H$3:$H$52,Q175),Entity!$B$9),"{entity}",LOWER(Entity!$B$3)),"{value}",D175),"{attribute}",LOWER(C175)),"")))</f>
        <v/>
      </c>
    </row>
    <row r="176">
      <c r="A176">
        <f>ROW()-2</f>
        <v/>
      </c>
      <c r="B176">
        <f>IF(A176=1,"Pillar",IF(A176&lt;=1+Entity!$B$14,"Cluster",IF(A176&lt;=1+Entity!$B$14+Entity!$B$15,"Supporting","")))</f>
        <v/>
      </c>
      <c r="C176">
        <f>IF(B176="Cluster",INDEX(Attributes!$A$3:$A$52,MATCH(A176-1,Attributes!$P$3:$P$52,0)),IF(B176="Supporting",INDEX(Values!$A$3:$A$502,P176),""))</f>
        <v/>
      </c>
      <c r="D176">
        <f>IF(B176="Supporting",INDEX(Values!$B$3:$B$502,P176),"")</f>
        <v/>
      </c>
      <c r="E176">
        <f>IF(R176="","",UPPER(LEFT(R176,1))&amp;MID(R176,2,500))</f>
        <v/>
      </c>
      <c r="F176">
        <f>IF(E176="","",LOWER(SUBSTITUTE(SUBSTITUTE(SUBSTITUTE(SUBSTITUTE(SUBSTITUTE(SUBSTITUTE(SUBSTITUTE(TRIM(E176),":",""),",",""),"'",""),"&amp;","and"),"£",""),"  "," ")," ","-")))</f>
        <v/>
      </c>
      <c r="G176">
        <f>IF(B176="Cluster",$E$3,IF(B176="Supporting",INDEX($E$3:$E$553,MATCH(C176,$C$3:$C$553,0)),""))</f>
        <v/>
      </c>
      <c r="H176">
        <f>IF(B176="Supporting",IFERROR(INDEX($E$3:$E$553,1+Entity!$B$14+INDEX(Values!$O$3:$O$502,P176)),""),IF(B176="Cluster",IF(Entity!$B$14&lt;2,"",INDEX($E$3:$E$553,IF(A176-1=Entity!$B$14,2,A176+1))),""))</f>
        <v/>
      </c>
      <c r="I176">
        <f>IF(B176="Pillar",Entity!$B$14&amp;" cluster pages",IF(B176="Cluster",(COUNTIF($C$3:$C$553,SUBSTITUTE(SUBSTITUTE(C176,"?","~?"),"*","~*"))-1)&amp;" supporting pages",""))</f>
        <v/>
      </c>
      <c r="J176">
        <f>IF(B176="Pillar","Informational",IF(OR(B176="Cluster",B176="Supporting"),INDEX(Attributes!$D$3:$D$52,Q176)&amp;"",""))</f>
        <v/>
      </c>
      <c r="K176">
        <f>IF(B176="","",IF(B176="Pillar","Pillar guide (entity hub)",IF(B176="Cluster","Hub page for this attribute",IF(INDEX(Values!$C$3:$C$502,P176)="Yes","Entity page (profile of the sub-entity)",IFERROR(INDEX(Lists!$B$3:$B$6,MATCH(J176,Lists!$A$3:$A$6,0)),"Article")))))</f>
        <v/>
      </c>
      <c r="L176">
        <f>IF(B176="Pillar",Entity!$B$6&amp;"",IF(B176="Cluster",INDEX(Attributes!$I$3:$I$52,Q176)&amp;"",IF(B176="Supporting",INDEX(Values!$F$3:$F$502,P176)&amp;"","")))</f>
        <v/>
      </c>
      <c r="M176">
        <f>IF(B176="","",IF(L176&lt;&gt;"","Covered","Gap"))</f>
        <v/>
      </c>
      <c r="N176">
        <f>IF(B176="Pillar",SUMIFS(Values!$E$3:$E$502,Values!$I$3:$I$502,"Yes"),IF(B176="Cluster",SUMIFS(Values!$E$3:$E$502,Values!$A$3:$A$502,SUBSTITUTE(SUBSTITUTE(C176,"?","~?"),"*","~*"),Values!$I$3:$I$502,"Yes"),IF(B176="Supporting",N(INDEX(Values!$E$3:$E$502,P176)),"")))</f>
        <v/>
      </c>
      <c r="O176">
        <f>IF(B176="","",IF(B176="Pillar",100,IF(B176="Cluster",N(INDEX(Attributes!$E$3:$E$52,Q176))*25+IF(M176="Gap",10,0),N(INDEX(Attributes!$E$3:$E$52,Q176))*20+MIN(20,ROUND(LOG10(N(N176)+1)*5,0))+IF(M176="Gap",10,0)+IF(INDEX(Values!$D$3:$D$502,P176)="Yes",5,0))))</f>
        <v/>
      </c>
      <c r="P176">
        <f>IF(B176="Supporting",MATCH(A176-1-Entity!$B$14,Values!$J$3:$J$502,0),"")</f>
        <v/>
      </c>
      <c r="Q176">
        <f>IF(C176="","",MATCH(C176,Attributes!$A$3:$A$52,0))</f>
        <v/>
      </c>
      <c r="R176">
        <f>IF(B176="Pillar",SUBSTITUTE(Entity!$B$7,"{entity}",LOWER(Entity!$B$3)),IF(B176="Cluster",IF(INDEX(Attributes!$G$3:$G$52,Q176)&lt;&gt;"",INDEX(Attributes!$G$3:$G$52,Q176),SUBSTITUTE(SUBSTITUTE(Entity!$B$8,"{entity}",LOWER(Entity!$B$3)),"{attribute}",LOWER(C176))),IF(B176="Supporting",SUBSTITUTE(SUBSTITUTE(SUBSTITUTE(IF(INDEX(Attributes!$H$3:$H$52,Q176)&lt;&gt;"",INDEX(Attributes!$H$3:$H$52,Q176),Entity!$B$9),"{entity}",LOWER(Entity!$B$3)),"{value}",D176),"{attribute}",LOWER(C176)),"")))</f>
        <v/>
      </c>
    </row>
    <row r="177">
      <c r="A177">
        <f>ROW()-2</f>
        <v/>
      </c>
      <c r="B177">
        <f>IF(A177=1,"Pillar",IF(A177&lt;=1+Entity!$B$14,"Cluster",IF(A177&lt;=1+Entity!$B$14+Entity!$B$15,"Supporting","")))</f>
        <v/>
      </c>
      <c r="C177">
        <f>IF(B177="Cluster",INDEX(Attributes!$A$3:$A$52,MATCH(A177-1,Attributes!$P$3:$P$52,0)),IF(B177="Supporting",INDEX(Values!$A$3:$A$502,P177),""))</f>
        <v/>
      </c>
      <c r="D177">
        <f>IF(B177="Supporting",INDEX(Values!$B$3:$B$502,P177),"")</f>
        <v/>
      </c>
      <c r="E177">
        <f>IF(R177="","",UPPER(LEFT(R177,1))&amp;MID(R177,2,500))</f>
        <v/>
      </c>
      <c r="F177">
        <f>IF(E177="","",LOWER(SUBSTITUTE(SUBSTITUTE(SUBSTITUTE(SUBSTITUTE(SUBSTITUTE(SUBSTITUTE(SUBSTITUTE(TRIM(E177),":",""),",",""),"'",""),"&amp;","and"),"£",""),"  "," ")," ","-")))</f>
        <v/>
      </c>
      <c r="G177">
        <f>IF(B177="Cluster",$E$3,IF(B177="Supporting",INDEX($E$3:$E$553,MATCH(C177,$C$3:$C$553,0)),""))</f>
        <v/>
      </c>
      <c r="H177">
        <f>IF(B177="Supporting",IFERROR(INDEX($E$3:$E$553,1+Entity!$B$14+INDEX(Values!$O$3:$O$502,P177)),""),IF(B177="Cluster",IF(Entity!$B$14&lt;2,"",INDEX($E$3:$E$553,IF(A177-1=Entity!$B$14,2,A177+1))),""))</f>
        <v/>
      </c>
      <c r="I177">
        <f>IF(B177="Pillar",Entity!$B$14&amp;" cluster pages",IF(B177="Cluster",(COUNTIF($C$3:$C$553,SUBSTITUTE(SUBSTITUTE(C177,"?","~?"),"*","~*"))-1)&amp;" supporting pages",""))</f>
        <v/>
      </c>
      <c r="J177">
        <f>IF(B177="Pillar","Informational",IF(OR(B177="Cluster",B177="Supporting"),INDEX(Attributes!$D$3:$D$52,Q177)&amp;"",""))</f>
        <v/>
      </c>
      <c r="K177">
        <f>IF(B177="","",IF(B177="Pillar","Pillar guide (entity hub)",IF(B177="Cluster","Hub page for this attribute",IF(INDEX(Values!$C$3:$C$502,P177)="Yes","Entity page (profile of the sub-entity)",IFERROR(INDEX(Lists!$B$3:$B$6,MATCH(J177,Lists!$A$3:$A$6,0)),"Article")))))</f>
        <v/>
      </c>
      <c r="L177">
        <f>IF(B177="Pillar",Entity!$B$6&amp;"",IF(B177="Cluster",INDEX(Attributes!$I$3:$I$52,Q177)&amp;"",IF(B177="Supporting",INDEX(Values!$F$3:$F$502,P177)&amp;"","")))</f>
        <v/>
      </c>
      <c r="M177">
        <f>IF(B177="","",IF(L177&lt;&gt;"","Covered","Gap"))</f>
        <v/>
      </c>
      <c r="N177">
        <f>IF(B177="Pillar",SUMIFS(Values!$E$3:$E$502,Values!$I$3:$I$502,"Yes"),IF(B177="Cluster",SUMIFS(Values!$E$3:$E$502,Values!$A$3:$A$502,SUBSTITUTE(SUBSTITUTE(C177,"?","~?"),"*","~*"),Values!$I$3:$I$502,"Yes"),IF(B177="Supporting",N(INDEX(Values!$E$3:$E$502,P177)),"")))</f>
        <v/>
      </c>
      <c r="O177">
        <f>IF(B177="","",IF(B177="Pillar",100,IF(B177="Cluster",N(INDEX(Attributes!$E$3:$E$52,Q177))*25+IF(M177="Gap",10,0),N(INDEX(Attributes!$E$3:$E$52,Q177))*20+MIN(20,ROUND(LOG10(N(N177)+1)*5,0))+IF(M177="Gap",10,0)+IF(INDEX(Values!$D$3:$D$502,P177)="Yes",5,0))))</f>
        <v/>
      </c>
      <c r="P177">
        <f>IF(B177="Supporting",MATCH(A177-1-Entity!$B$14,Values!$J$3:$J$502,0),"")</f>
        <v/>
      </c>
      <c r="Q177">
        <f>IF(C177="","",MATCH(C177,Attributes!$A$3:$A$52,0))</f>
        <v/>
      </c>
      <c r="R177">
        <f>IF(B177="Pillar",SUBSTITUTE(Entity!$B$7,"{entity}",LOWER(Entity!$B$3)),IF(B177="Cluster",IF(INDEX(Attributes!$G$3:$G$52,Q177)&lt;&gt;"",INDEX(Attributes!$G$3:$G$52,Q177),SUBSTITUTE(SUBSTITUTE(Entity!$B$8,"{entity}",LOWER(Entity!$B$3)),"{attribute}",LOWER(C177))),IF(B177="Supporting",SUBSTITUTE(SUBSTITUTE(SUBSTITUTE(IF(INDEX(Attributes!$H$3:$H$52,Q177)&lt;&gt;"",INDEX(Attributes!$H$3:$H$52,Q177),Entity!$B$9),"{entity}",LOWER(Entity!$B$3)),"{value}",D177),"{attribute}",LOWER(C177)),"")))</f>
        <v/>
      </c>
    </row>
    <row r="178">
      <c r="A178">
        <f>ROW()-2</f>
        <v/>
      </c>
      <c r="B178">
        <f>IF(A178=1,"Pillar",IF(A178&lt;=1+Entity!$B$14,"Cluster",IF(A178&lt;=1+Entity!$B$14+Entity!$B$15,"Supporting","")))</f>
        <v/>
      </c>
      <c r="C178">
        <f>IF(B178="Cluster",INDEX(Attributes!$A$3:$A$52,MATCH(A178-1,Attributes!$P$3:$P$52,0)),IF(B178="Supporting",INDEX(Values!$A$3:$A$502,P178),""))</f>
        <v/>
      </c>
      <c r="D178">
        <f>IF(B178="Supporting",INDEX(Values!$B$3:$B$502,P178),"")</f>
        <v/>
      </c>
      <c r="E178">
        <f>IF(R178="","",UPPER(LEFT(R178,1))&amp;MID(R178,2,500))</f>
        <v/>
      </c>
      <c r="F178">
        <f>IF(E178="","",LOWER(SUBSTITUTE(SUBSTITUTE(SUBSTITUTE(SUBSTITUTE(SUBSTITUTE(SUBSTITUTE(SUBSTITUTE(TRIM(E178),":",""),",",""),"'",""),"&amp;","and"),"£",""),"  "," ")," ","-")))</f>
        <v/>
      </c>
      <c r="G178">
        <f>IF(B178="Cluster",$E$3,IF(B178="Supporting",INDEX($E$3:$E$553,MATCH(C178,$C$3:$C$553,0)),""))</f>
        <v/>
      </c>
      <c r="H178">
        <f>IF(B178="Supporting",IFERROR(INDEX($E$3:$E$553,1+Entity!$B$14+INDEX(Values!$O$3:$O$502,P178)),""),IF(B178="Cluster",IF(Entity!$B$14&lt;2,"",INDEX($E$3:$E$553,IF(A178-1=Entity!$B$14,2,A178+1))),""))</f>
        <v/>
      </c>
      <c r="I178">
        <f>IF(B178="Pillar",Entity!$B$14&amp;" cluster pages",IF(B178="Cluster",(COUNTIF($C$3:$C$553,SUBSTITUTE(SUBSTITUTE(C178,"?","~?"),"*","~*"))-1)&amp;" supporting pages",""))</f>
        <v/>
      </c>
      <c r="J178">
        <f>IF(B178="Pillar","Informational",IF(OR(B178="Cluster",B178="Supporting"),INDEX(Attributes!$D$3:$D$52,Q178)&amp;"",""))</f>
        <v/>
      </c>
      <c r="K178">
        <f>IF(B178="","",IF(B178="Pillar","Pillar guide (entity hub)",IF(B178="Cluster","Hub page for this attribute",IF(INDEX(Values!$C$3:$C$502,P178)="Yes","Entity page (profile of the sub-entity)",IFERROR(INDEX(Lists!$B$3:$B$6,MATCH(J178,Lists!$A$3:$A$6,0)),"Article")))))</f>
        <v/>
      </c>
      <c r="L178">
        <f>IF(B178="Pillar",Entity!$B$6&amp;"",IF(B178="Cluster",INDEX(Attributes!$I$3:$I$52,Q178)&amp;"",IF(B178="Supporting",INDEX(Values!$F$3:$F$502,P178)&amp;"","")))</f>
        <v/>
      </c>
      <c r="M178">
        <f>IF(B178="","",IF(L178&lt;&gt;"","Covered","Gap"))</f>
        <v/>
      </c>
      <c r="N178">
        <f>IF(B178="Pillar",SUMIFS(Values!$E$3:$E$502,Values!$I$3:$I$502,"Yes"),IF(B178="Cluster",SUMIFS(Values!$E$3:$E$502,Values!$A$3:$A$502,SUBSTITUTE(SUBSTITUTE(C178,"?","~?"),"*","~*"),Values!$I$3:$I$502,"Yes"),IF(B178="Supporting",N(INDEX(Values!$E$3:$E$502,P178)),"")))</f>
        <v/>
      </c>
      <c r="O178">
        <f>IF(B178="","",IF(B178="Pillar",100,IF(B178="Cluster",N(INDEX(Attributes!$E$3:$E$52,Q178))*25+IF(M178="Gap",10,0),N(INDEX(Attributes!$E$3:$E$52,Q178))*20+MIN(20,ROUND(LOG10(N(N178)+1)*5,0))+IF(M178="Gap",10,0)+IF(INDEX(Values!$D$3:$D$502,P178)="Yes",5,0))))</f>
        <v/>
      </c>
      <c r="P178">
        <f>IF(B178="Supporting",MATCH(A178-1-Entity!$B$14,Values!$J$3:$J$502,0),"")</f>
        <v/>
      </c>
      <c r="Q178">
        <f>IF(C178="","",MATCH(C178,Attributes!$A$3:$A$52,0))</f>
        <v/>
      </c>
      <c r="R178">
        <f>IF(B178="Pillar",SUBSTITUTE(Entity!$B$7,"{entity}",LOWER(Entity!$B$3)),IF(B178="Cluster",IF(INDEX(Attributes!$G$3:$G$52,Q178)&lt;&gt;"",INDEX(Attributes!$G$3:$G$52,Q178),SUBSTITUTE(SUBSTITUTE(Entity!$B$8,"{entity}",LOWER(Entity!$B$3)),"{attribute}",LOWER(C178))),IF(B178="Supporting",SUBSTITUTE(SUBSTITUTE(SUBSTITUTE(IF(INDEX(Attributes!$H$3:$H$52,Q178)&lt;&gt;"",INDEX(Attributes!$H$3:$H$52,Q178),Entity!$B$9),"{entity}",LOWER(Entity!$B$3)),"{value}",D178),"{attribute}",LOWER(C178)),"")))</f>
        <v/>
      </c>
    </row>
    <row r="179">
      <c r="A179">
        <f>ROW()-2</f>
        <v/>
      </c>
      <c r="B179">
        <f>IF(A179=1,"Pillar",IF(A179&lt;=1+Entity!$B$14,"Cluster",IF(A179&lt;=1+Entity!$B$14+Entity!$B$15,"Supporting","")))</f>
        <v/>
      </c>
      <c r="C179">
        <f>IF(B179="Cluster",INDEX(Attributes!$A$3:$A$52,MATCH(A179-1,Attributes!$P$3:$P$52,0)),IF(B179="Supporting",INDEX(Values!$A$3:$A$502,P179),""))</f>
        <v/>
      </c>
      <c r="D179">
        <f>IF(B179="Supporting",INDEX(Values!$B$3:$B$502,P179),"")</f>
        <v/>
      </c>
      <c r="E179">
        <f>IF(R179="","",UPPER(LEFT(R179,1))&amp;MID(R179,2,500))</f>
        <v/>
      </c>
      <c r="F179">
        <f>IF(E179="","",LOWER(SUBSTITUTE(SUBSTITUTE(SUBSTITUTE(SUBSTITUTE(SUBSTITUTE(SUBSTITUTE(SUBSTITUTE(TRIM(E179),":",""),",",""),"'",""),"&amp;","and"),"£",""),"  "," ")," ","-")))</f>
        <v/>
      </c>
      <c r="G179">
        <f>IF(B179="Cluster",$E$3,IF(B179="Supporting",INDEX($E$3:$E$553,MATCH(C179,$C$3:$C$553,0)),""))</f>
        <v/>
      </c>
      <c r="H179">
        <f>IF(B179="Supporting",IFERROR(INDEX($E$3:$E$553,1+Entity!$B$14+INDEX(Values!$O$3:$O$502,P179)),""),IF(B179="Cluster",IF(Entity!$B$14&lt;2,"",INDEX($E$3:$E$553,IF(A179-1=Entity!$B$14,2,A179+1))),""))</f>
        <v/>
      </c>
      <c r="I179">
        <f>IF(B179="Pillar",Entity!$B$14&amp;" cluster pages",IF(B179="Cluster",(COUNTIF($C$3:$C$553,SUBSTITUTE(SUBSTITUTE(C179,"?","~?"),"*","~*"))-1)&amp;" supporting pages",""))</f>
        <v/>
      </c>
      <c r="J179">
        <f>IF(B179="Pillar","Informational",IF(OR(B179="Cluster",B179="Supporting"),INDEX(Attributes!$D$3:$D$52,Q179)&amp;"",""))</f>
        <v/>
      </c>
      <c r="K179">
        <f>IF(B179="","",IF(B179="Pillar","Pillar guide (entity hub)",IF(B179="Cluster","Hub page for this attribute",IF(INDEX(Values!$C$3:$C$502,P179)="Yes","Entity page (profile of the sub-entity)",IFERROR(INDEX(Lists!$B$3:$B$6,MATCH(J179,Lists!$A$3:$A$6,0)),"Article")))))</f>
        <v/>
      </c>
      <c r="L179">
        <f>IF(B179="Pillar",Entity!$B$6&amp;"",IF(B179="Cluster",INDEX(Attributes!$I$3:$I$52,Q179)&amp;"",IF(B179="Supporting",INDEX(Values!$F$3:$F$502,P179)&amp;"","")))</f>
        <v/>
      </c>
      <c r="M179">
        <f>IF(B179="","",IF(L179&lt;&gt;"","Covered","Gap"))</f>
        <v/>
      </c>
      <c r="N179">
        <f>IF(B179="Pillar",SUMIFS(Values!$E$3:$E$502,Values!$I$3:$I$502,"Yes"),IF(B179="Cluster",SUMIFS(Values!$E$3:$E$502,Values!$A$3:$A$502,SUBSTITUTE(SUBSTITUTE(C179,"?","~?"),"*","~*"),Values!$I$3:$I$502,"Yes"),IF(B179="Supporting",N(INDEX(Values!$E$3:$E$502,P179)),"")))</f>
        <v/>
      </c>
      <c r="O179">
        <f>IF(B179="","",IF(B179="Pillar",100,IF(B179="Cluster",N(INDEX(Attributes!$E$3:$E$52,Q179))*25+IF(M179="Gap",10,0),N(INDEX(Attributes!$E$3:$E$52,Q179))*20+MIN(20,ROUND(LOG10(N(N179)+1)*5,0))+IF(M179="Gap",10,0)+IF(INDEX(Values!$D$3:$D$502,P179)="Yes",5,0))))</f>
        <v/>
      </c>
      <c r="P179">
        <f>IF(B179="Supporting",MATCH(A179-1-Entity!$B$14,Values!$J$3:$J$502,0),"")</f>
        <v/>
      </c>
      <c r="Q179">
        <f>IF(C179="","",MATCH(C179,Attributes!$A$3:$A$52,0))</f>
        <v/>
      </c>
      <c r="R179">
        <f>IF(B179="Pillar",SUBSTITUTE(Entity!$B$7,"{entity}",LOWER(Entity!$B$3)),IF(B179="Cluster",IF(INDEX(Attributes!$G$3:$G$52,Q179)&lt;&gt;"",INDEX(Attributes!$G$3:$G$52,Q179),SUBSTITUTE(SUBSTITUTE(Entity!$B$8,"{entity}",LOWER(Entity!$B$3)),"{attribute}",LOWER(C179))),IF(B179="Supporting",SUBSTITUTE(SUBSTITUTE(SUBSTITUTE(IF(INDEX(Attributes!$H$3:$H$52,Q179)&lt;&gt;"",INDEX(Attributes!$H$3:$H$52,Q179),Entity!$B$9),"{entity}",LOWER(Entity!$B$3)),"{value}",D179),"{attribute}",LOWER(C179)),"")))</f>
        <v/>
      </c>
    </row>
    <row r="180">
      <c r="A180">
        <f>ROW()-2</f>
        <v/>
      </c>
      <c r="B180">
        <f>IF(A180=1,"Pillar",IF(A180&lt;=1+Entity!$B$14,"Cluster",IF(A180&lt;=1+Entity!$B$14+Entity!$B$15,"Supporting","")))</f>
        <v/>
      </c>
      <c r="C180">
        <f>IF(B180="Cluster",INDEX(Attributes!$A$3:$A$52,MATCH(A180-1,Attributes!$P$3:$P$52,0)),IF(B180="Supporting",INDEX(Values!$A$3:$A$502,P180),""))</f>
        <v/>
      </c>
      <c r="D180">
        <f>IF(B180="Supporting",INDEX(Values!$B$3:$B$502,P180),"")</f>
        <v/>
      </c>
      <c r="E180">
        <f>IF(R180="","",UPPER(LEFT(R180,1))&amp;MID(R180,2,500))</f>
        <v/>
      </c>
      <c r="F180">
        <f>IF(E180="","",LOWER(SUBSTITUTE(SUBSTITUTE(SUBSTITUTE(SUBSTITUTE(SUBSTITUTE(SUBSTITUTE(SUBSTITUTE(TRIM(E180),":",""),",",""),"'",""),"&amp;","and"),"£",""),"  "," ")," ","-")))</f>
        <v/>
      </c>
      <c r="G180">
        <f>IF(B180="Cluster",$E$3,IF(B180="Supporting",INDEX($E$3:$E$553,MATCH(C180,$C$3:$C$553,0)),""))</f>
        <v/>
      </c>
      <c r="H180">
        <f>IF(B180="Supporting",IFERROR(INDEX($E$3:$E$553,1+Entity!$B$14+INDEX(Values!$O$3:$O$502,P180)),""),IF(B180="Cluster",IF(Entity!$B$14&lt;2,"",INDEX($E$3:$E$553,IF(A180-1=Entity!$B$14,2,A180+1))),""))</f>
        <v/>
      </c>
      <c r="I180">
        <f>IF(B180="Pillar",Entity!$B$14&amp;" cluster pages",IF(B180="Cluster",(COUNTIF($C$3:$C$553,SUBSTITUTE(SUBSTITUTE(C180,"?","~?"),"*","~*"))-1)&amp;" supporting pages",""))</f>
        <v/>
      </c>
      <c r="J180">
        <f>IF(B180="Pillar","Informational",IF(OR(B180="Cluster",B180="Supporting"),INDEX(Attributes!$D$3:$D$52,Q180)&amp;"",""))</f>
        <v/>
      </c>
      <c r="K180">
        <f>IF(B180="","",IF(B180="Pillar","Pillar guide (entity hub)",IF(B180="Cluster","Hub page for this attribute",IF(INDEX(Values!$C$3:$C$502,P180)="Yes","Entity page (profile of the sub-entity)",IFERROR(INDEX(Lists!$B$3:$B$6,MATCH(J180,Lists!$A$3:$A$6,0)),"Article")))))</f>
        <v/>
      </c>
      <c r="L180">
        <f>IF(B180="Pillar",Entity!$B$6&amp;"",IF(B180="Cluster",INDEX(Attributes!$I$3:$I$52,Q180)&amp;"",IF(B180="Supporting",INDEX(Values!$F$3:$F$502,P180)&amp;"","")))</f>
        <v/>
      </c>
      <c r="M180">
        <f>IF(B180="","",IF(L180&lt;&gt;"","Covered","Gap"))</f>
        <v/>
      </c>
      <c r="N180">
        <f>IF(B180="Pillar",SUMIFS(Values!$E$3:$E$502,Values!$I$3:$I$502,"Yes"),IF(B180="Cluster",SUMIFS(Values!$E$3:$E$502,Values!$A$3:$A$502,SUBSTITUTE(SUBSTITUTE(C180,"?","~?"),"*","~*"),Values!$I$3:$I$502,"Yes"),IF(B180="Supporting",N(INDEX(Values!$E$3:$E$502,P180)),"")))</f>
        <v/>
      </c>
      <c r="O180">
        <f>IF(B180="","",IF(B180="Pillar",100,IF(B180="Cluster",N(INDEX(Attributes!$E$3:$E$52,Q180))*25+IF(M180="Gap",10,0),N(INDEX(Attributes!$E$3:$E$52,Q180))*20+MIN(20,ROUND(LOG10(N(N180)+1)*5,0))+IF(M180="Gap",10,0)+IF(INDEX(Values!$D$3:$D$502,P180)="Yes",5,0))))</f>
        <v/>
      </c>
      <c r="P180">
        <f>IF(B180="Supporting",MATCH(A180-1-Entity!$B$14,Values!$J$3:$J$502,0),"")</f>
        <v/>
      </c>
      <c r="Q180">
        <f>IF(C180="","",MATCH(C180,Attributes!$A$3:$A$52,0))</f>
        <v/>
      </c>
      <c r="R180">
        <f>IF(B180="Pillar",SUBSTITUTE(Entity!$B$7,"{entity}",LOWER(Entity!$B$3)),IF(B180="Cluster",IF(INDEX(Attributes!$G$3:$G$52,Q180)&lt;&gt;"",INDEX(Attributes!$G$3:$G$52,Q180),SUBSTITUTE(SUBSTITUTE(Entity!$B$8,"{entity}",LOWER(Entity!$B$3)),"{attribute}",LOWER(C180))),IF(B180="Supporting",SUBSTITUTE(SUBSTITUTE(SUBSTITUTE(IF(INDEX(Attributes!$H$3:$H$52,Q180)&lt;&gt;"",INDEX(Attributes!$H$3:$H$52,Q180),Entity!$B$9),"{entity}",LOWER(Entity!$B$3)),"{value}",D180),"{attribute}",LOWER(C180)),"")))</f>
        <v/>
      </c>
    </row>
    <row r="181">
      <c r="A181">
        <f>ROW()-2</f>
        <v/>
      </c>
      <c r="B181">
        <f>IF(A181=1,"Pillar",IF(A181&lt;=1+Entity!$B$14,"Cluster",IF(A181&lt;=1+Entity!$B$14+Entity!$B$15,"Supporting","")))</f>
        <v/>
      </c>
      <c r="C181">
        <f>IF(B181="Cluster",INDEX(Attributes!$A$3:$A$52,MATCH(A181-1,Attributes!$P$3:$P$52,0)),IF(B181="Supporting",INDEX(Values!$A$3:$A$502,P181),""))</f>
        <v/>
      </c>
      <c r="D181">
        <f>IF(B181="Supporting",INDEX(Values!$B$3:$B$502,P181),"")</f>
        <v/>
      </c>
      <c r="E181">
        <f>IF(R181="","",UPPER(LEFT(R181,1))&amp;MID(R181,2,500))</f>
        <v/>
      </c>
      <c r="F181">
        <f>IF(E181="","",LOWER(SUBSTITUTE(SUBSTITUTE(SUBSTITUTE(SUBSTITUTE(SUBSTITUTE(SUBSTITUTE(SUBSTITUTE(TRIM(E181),":",""),",",""),"'",""),"&amp;","and"),"£",""),"  "," ")," ","-")))</f>
        <v/>
      </c>
      <c r="G181">
        <f>IF(B181="Cluster",$E$3,IF(B181="Supporting",INDEX($E$3:$E$553,MATCH(C181,$C$3:$C$553,0)),""))</f>
        <v/>
      </c>
      <c r="H181">
        <f>IF(B181="Supporting",IFERROR(INDEX($E$3:$E$553,1+Entity!$B$14+INDEX(Values!$O$3:$O$502,P181)),""),IF(B181="Cluster",IF(Entity!$B$14&lt;2,"",INDEX($E$3:$E$553,IF(A181-1=Entity!$B$14,2,A181+1))),""))</f>
        <v/>
      </c>
      <c r="I181">
        <f>IF(B181="Pillar",Entity!$B$14&amp;" cluster pages",IF(B181="Cluster",(COUNTIF($C$3:$C$553,SUBSTITUTE(SUBSTITUTE(C181,"?","~?"),"*","~*"))-1)&amp;" supporting pages",""))</f>
        <v/>
      </c>
      <c r="J181">
        <f>IF(B181="Pillar","Informational",IF(OR(B181="Cluster",B181="Supporting"),INDEX(Attributes!$D$3:$D$52,Q181)&amp;"",""))</f>
        <v/>
      </c>
      <c r="K181">
        <f>IF(B181="","",IF(B181="Pillar","Pillar guide (entity hub)",IF(B181="Cluster","Hub page for this attribute",IF(INDEX(Values!$C$3:$C$502,P181)="Yes","Entity page (profile of the sub-entity)",IFERROR(INDEX(Lists!$B$3:$B$6,MATCH(J181,Lists!$A$3:$A$6,0)),"Article")))))</f>
        <v/>
      </c>
      <c r="L181">
        <f>IF(B181="Pillar",Entity!$B$6&amp;"",IF(B181="Cluster",INDEX(Attributes!$I$3:$I$52,Q181)&amp;"",IF(B181="Supporting",INDEX(Values!$F$3:$F$502,P181)&amp;"","")))</f>
        <v/>
      </c>
      <c r="M181">
        <f>IF(B181="","",IF(L181&lt;&gt;"","Covered","Gap"))</f>
        <v/>
      </c>
      <c r="N181">
        <f>IF(B181="Pillar",SUMIFS(Values!$E$3:$E$502,Values!$I$3:$I$502,"Yes"),IF(B181="Cluster",SUMIFS(Values!$E$3:$E$502,Values!$A$3:$A$502,SUBSTITUTE(SUBSTITUTE(C181,"?","~?"),"*","~*"),Values!$I$3:$I$502,"Yes"),IF(B181="Supporting",N(INDEX(Values!$E$3:$E$502,P181)),"")))</f>
        <v/>
      </c>
      <c r="O181">
        <f>IF(B181="","",IF(B181="Pillar",100,IF(B181="Cluster",N(INDEX(Attributes!$E$3:$E$52,Q181))*25+IF(M181="Gap",10,0),N(INDEX(Attributes!$E$3:$E$52,Q181))*20+MIN(20,ROUND(LOG10(N(N181)+1)*5,0))+IF(M181="Gap",10,0)+IF(INDEX(Values!$D$3:$D$502,P181)="Yes",5,0))))</f>
        <v/>
      </c>
      <c r="P181">
        <f>IF(B181="Supporting",MATCH(A181-1-Entity!$B$14,Values!$J$3:$J$502,0),"")</f>
        <v/>
      </c>
      <c r="Q181">
        <f>IF(C181="","",MATCH(C181,Attributes!$A$3:$A$52,0))</f>
        <v/>
      </c>
      <c r="R181">
        <f>IF(B181="Pillar",SUBSTITUTE(Entity!$B$7,"{entity}",LOWER(Entity!$B$3)),IF(B181="Cluster",IF(INDEX(Attributes!$G$3:$G$52,Q181)&lt;&gt;"",INDEX(Attributes!$G$3:$G$52,Q181),SUBSTITUTE(SUBSTITUTE(Entity!$B$8,"{entity}",LOWER(Entity!$B$3)),"{attribute}",LOWER(C181))),IF(B181="Supporting",SUBSTITUTE(SUBSTITUTE(SUBSTITUTE(IF(INDEX(Attributes!$H$3:$H$52,Q181)&lt;&gt;"",INDEX(Attributes!$H$3:$H$52,Q181),Entity!$B$9),"{entity}",LOWER(Entity!$B$3)),"{value}",D181),"{attribute}",LOWER(C181)),"")))</f>
        <v/>
      </c>
    </row>
    <row r="182">
      <c r="A182">
        <f>ROW()-2</f>
        <v/>
      </c>
      <c r="B182">
        <f>IF(A182=1,"Pillar",IF(A182&lt;=1+Entity!$B$14,"Cluster",IF(A182&lt;=1+Entity!$B$14+Entity!$B$15,"Supporting","")))</f>
        <v/>
      </c>
      <c r="C182">
        <f>IF(B182="Cluster",INDEX(Attributes!$A$3:$A$52,MATCH(A182-1,Attributes!$P$3:$P$52,0)),IF(B182="Supporting",INDEX(Values!$A$3:$A$502,P182),""))</f>
        <v/>
      </c>
      <c r="D182">
        <f>IF(B182="Supporting",INDEX(Values!$B$3:$B$502,P182),"")</f>
        <v/>
      </c>
      <c r="E182">
        <f>IF(R182="","",UPPER(LEFT(R182,1))&amp;MID(R182,2,500))</f>
        <v/>
      </c>
      <c r="F182">
        <f>IF(E182="","",LOWER(SUBSTITUTE(SUBSTITUTE(SUBSTITUTE(SUBSTITUTE(SUBSTITUTE(SUBSTITUTE(SUBSTITUTE(TRIM(E182),":",""),",",""),"'",""),"&amp;","and"),"£",""),"  "," ")," ","-")))</f>
        <v/>
      </c>
      <c r="G182">
        <f>IF(B182="Cluster",$E$3,IF(B182="Supporting",INDEX($E$3:$E$553,MATCH(C182,$C$3:$C$553,0)),""))</f>
        <v/>
      </c>
      <c r="H182">
        <f>IF(B182="Supporting",IFERROR(INDEX($E$3:$E$553,1+Entity!$B$14+INDEX(Values!$O$3:$O$502,P182)),""),IF(B182="Cluster",IF(Entity!$B$14&lt;2,"",INDEX($E$3:$E$553,IF(A182-1=Entity!$B$14,2,A182+1))),""))</f>
        <v/>
      </c>
      <c r="I182">
        <f>IF(B182="Pillar",Entity!$B$14&amp;" cluster pages",IF(B182="Cluster",(COUNTIF($C$3:$C$553,SUBSTITUTE(SUBSTITUTE(C182,"?","~?"),"*","~*"))-1)&amp;" supporting pages",""))</f>
        <v/>
      </c>
      <c r="J182">
        <f>IF(B182="Pillar","Informational",IF(OR(B182="Cluster",B182="Supporting"),INDEX(Attributes!$D$3:$D$52,Q182)&amp;"",""))</f>
        <v/>
      </c>
      <c r="K182">
        <f>IF(B182="","",IF(B182="Pillar","Pillar guide (entity hub)",IF(B182="Cluster","Hub page for this attribute",IF(INDEX(Values!$C$3:$C$502,P182)="Yes","Entity page (profile of the sub-entity)",IFERROR(INDEX(Lists!$B$3:$B$6,MATCH(J182,Lists!$A$3:$A$6,0)),"Article")))))</f>
        <v/>
      </c>
      <c r="L182">
        <f>IF(B182="Pillar",Entity!$B$6&amp;"",IF(B182="Cluster",INDEX(Attributes!$I$3:$I$52,Q182)&amp;"",IF(B182="Supporting",INDEX(Values!$F$3:$F$502,P182)&amp;"","")))</f>
        <v/>
      </c>
      <c r="M182">
        <f>IF(B182="","",IF(L182&lt;&gt;"","Covered","Gap"))</f>
        <v/>
      </c>
      <c r="N182">
        <f>IF(B182="Pillar",SUMIFS(Values!$E$3:$E$502,Values!$I$3:$I$502,"Yes"),IF(B182="Cluster",SUMIFS(Values!$E$3:$E$502,Values!$A$3:$A$502,SUBSTITUTE(SUBSTITUTE(C182,"?","~?"),"*","~*"),Values!$I$3:$I$502,"Yes"),IF(B182="Supporting",N(INDEX(Values!$E$3:$E$502,P182)),"")))</f>
        <v/>
      </c>
      <c r="O182">
        <f>IF(B182="","",IF(B182="Pillar",100,IF(B182="Cluster",N(INDEX(Attributes!$E$3:$E$52,Q182))*25+IF(M182="Gap",10,0),N(INDEX(Attributes!$E$3:$E$52,Q182))*20+MIN(20,ROUND(LOG10(N(N182)+1)*5,0))+IF(M182="Gap",10,0)+IF(INDEX(Values!$D$3:$D$502,P182)="Yes",5,0))))</f>
        <v/>
      </c>
      <c r="P182">
        <f>IF(B182="Supporting",MATCH(A182-1-Entity!$B$14,Values!$J$3:$J$502,0),"")</f>
        <v/>
      </c>
      <c r="Q182">
        <f>IF(C182="","",MATCH(C182,Attributes!$A$3:$A$52,0))</f>
        <v/>
      </c>
      <c r="R182">
        <f>IF(B182="Pillar",SUBSTITUTE(Entity!$B$7,"{entity}",LOWER(Entity!$B$3)),IF(B182="Cluster",IF(INDEX(Attributes!$G$3:$G$52,Q182)&lt;&gt;"",INDEX(Attributes!$G$3:$G$52,Q182),SUBSTITUTE(SUBSTITUTE(Entity!$B$8,"{entity}",LOWER(Entity!$B$3)),"{attribute}",LOWER(C182))),IF(B182="Supporting",SUBSTITUTE(SUBSTITUTE(SUBSTITUTE(IF(INDEX(Attributes!$H$3:$H$52,Q182)&lt;&gt;"",INDEX(Attributes!$H$3:$H$52,Q182),Entity!$B$9),"{entity}",LOWER(Entity!$B$3)),"{value}",D182),"{attribute}",LOWER(C182)),"")))</f>
        <v/>
      </c>
    </row>
    <row r="183">
      <c r="A183">
        <f>ROW()-2</f>
        <v/>
      </c>
      <c r="B183">
        <f>IF(A183=1,"Pillar",IF(A183&lt;=1+Entity!$B$14,"Cluster",IF(A183&lt;=1+Entity!$B$14+Entity!$B$15,"Supporting","")))</f>
        <v/>
      </c>
      <c r="C183">
        <f>IF(B183="Cluster",INDEX(Attributes!$A$3:$A$52,MATCH(A183-1,Attributes!$P$3:$P$52,0)),IF(B183="Supporting",INDEX(Values!$A$3:$A$502,P183),""))</f>
        <v/>
      </c>
      <c r="D183">
        <f>IF(B183="Supporting",INDEX(Values!$B$3:$B$502,P183),"")</f>
        <v/>
      </c>
      <c r="E183">
        <f>IF(R183="","",UPPER(LEFT(R183,1))&amp;MID(R183,2,500))</f>
        <v/>
      </c>
      <c r="F183">
        <f>IF(E183="","",LOWER(SUBSTITUTE(SUBSTITUTE(SUBSTITUTE(SUBSTITUTE(SUBSTITUTE(SUBSTITUTE(SUBSTITUTE(TRIM(E183),":",""),",",""),"'",""),"&amp;","and"),"£",""),"  "," ")," ","-")))</f>
        <v/>
      </c>
      <c r="G183">
        <f>IF(B183="Cluster",$E$3,IF(B183="Supporting",INDEX($E$3:$E$553,MATCH(C183,$C$3:$C$553,0)),""))</f>
        <v/>
      </c>
      <c r="H183">
        <f>IF(B183="Supporting",IFERROR(INDEX($E$3:$E$553,1+Entity!$B$14+INDEX(Values!$O$3:$O$502,P183)),""),IF(B183="Cluster",IF(Entity!$B$14&lt;2,"",INDEX($E$3:$E$553,IF(A183-1=Entity!$B$14,2,A183+1))),""))</f>
        <v/>
      </c>
      <c r="I183">
        <f>IF(B183="Pillar",Entity!$B$14&amp;" cluster pages",IF(B183="Cluster",(COUNTIF($C$3:$C$553,SUBSTITUTE(SUBSTITUTE(C183,"?","~?"),"*","~*"))-1)&amp;" supporting pages",""))</f>
        <v/>
      </c>
      <c r="J183">
        <f>IF(B183="Pillar","Informational",IF(OR(B183="Cluster",B183="Supporting"),INDEX(Attributes!$D$3:$D$52,Q183)&amp;"",""))</f>
        <v/>
      </c>
      <c r="K183">
        <f>IF(B183="","",IF(B183="Pillar","Pillar guide (entity hub)",IF(B183="Cluster","Hub page for this attribute",IF(INDEX(Values!$C$3:$C$502,P183)="Yes","Entity page (profile of the sub-entity)",IFERROR(INDEX(Lists!$B$3:$B$6,MATCH(J183,Lists!$A$3:$A$6,0)),"Article")))))</f>
        <v/>
      </c>
      <c r="L183">
        <f>IF(B183="Pillar",Entity!$B$6&amp;"",IF(B183="Cluster",INDEX(Attributes!$I$3:$I$52,Q183)&amp;"",IF(B183="Supporting",INDEX(Values!$F$3:$F$502,P183)&amp;"","")))</f>
        <v/>
      </c>
      <c r="M183">
        <f>IF(B183="","",IF(L183&lt;&gt;"","Covered","Gap"))</f>
        <v/>
      </c>
      <c r="N183">
        <f>IF(B183="Pillar",SUMIFS(Values!$E$3:$E$502,Values!$I$3:$I$502,"Yes"),IF(B183="Cluster",SUMIFS(Values!$E$3:$E$502,Values!$A$3:$A$502,SUBSTITUTE(SUBSTITUTE(C183,"?","~?"),"*","~*"),Values!$I$3:$I$502,"Yes"),IF(B183="Supporting",N(INDEX(Values!$E$3:$E$502,P183)),"")))</f>
        <v/>
      </c>
      <c r="O183">
        <f>IF(B183="","",IF(B183="Pillar",100,IF(B183="Cluster",N(INDEX(Attributes!$E$3:$E$52,Q183))*25+IF(M183="Gap",10,0),N(INDEX(Attributes!$E$3:$E$52,Q183))*20+MIN(20,ROUND(LOG10(N(N183)+1)*5,0))+IF(M183="Gap",10,0)+IF(INDEX(Values!$D$3:$D$502,P183)="Yes",5,0))))</f>
        <v/>
      </c>
      <c r="P183">
        <f>IF(B183="Supporting",MATCH(A183-1-Entity!$B$14,Values!$J$3:$J$502,0),"")</f>
        <v/>
      </c>
      <c r="Q183">
        <f>IF(C183="","",MATCH(C183,Attributes!$A$3:$A$52,0))</f>
        <v/>
      </c>
      <c r="R183">
        <f>IF(B183="Pillar",SUBSTITUTE(Entity!$B$7,"{entity}",LOWER(Entity!$B$3)),IF(B183="Cluster",IF(INDEX(Attributes!$G$3:$G$52,Q183)&lt;&gt;"",INDEX(Attributes!$G$3:$G$52,Q183),SUBSTITUTE(SUBSTITUTE(Entity!$B$8,"{entity}",LOWER(Entity!$B$3)),"{attribute}",LOWER(C183))),IF(B183="Supporting",SUBSTITUTE(SUBSTITUTE(SUBSTITUTE(IF(INDEX(Attributes!$H$3:$H$52,Q183)&lt;&gt;"",INDEX(Attributes!$H$3:$H$52,Q183),Entity!$B$9),"{entity}",LOWER(Entity!$B$3)),"{value}",D183),"{attribute}",LOWER(C183)),"")))</f>
        <v/>
      </c>
    </row>
    <row r="184">
      <c r="A184">
        <f>ROW()-2</f>
        <v/>
      </c>
      <c r="B184">
        <f>IF(A184=1,"Pillar",IF(A184&lt;=1+Entity!$B$14,"Cluster",IF(A184&lt;=1+Entity!$B$14+Entity!$B$15,"Supporting","")))</f>
        <v/>
      </c>
      <c r="C184">
        <f>IF(B184="Cluster",INDEX(Attributes!$A$3:$A$52,MATCH(A184-1,Attributes!$P$3:$P$52,0)),IF(B184="Supporting",INDEX(Values!$A$3:$A$502,P184),""))</f>
        <v/>
      </c>
      <c r="D184">
        <f>IF(B184="Supporting",INDEX(Values!$B$3:$B$502,P184),"")</f>
        <v/>
      </c>
      <c r="E184">
        <f>IF(R184="","",UPPER(LEFT(R184,1))&amp;MID(R184,2,500))</f>
        <v/>
      </c>
      <c r="F184">
        <f>IF(E184="","",LOWER(SUBSTITUTE(SUBSTITUTE(SUBSTITUTE(SUBSTITUTE(SUBSTITUTE(SUBSTITUTE(SUBSTITUTE(TRIM(E184),":",""),",",""),"'",""),"&amp;","and"),"£",""),"  "," ")," ","-")))</f>
        <v/>
      </c>
      <c r="G184">
        <f>IF(B184="Cluster",$E$3,IF(B184="Supporting",INDEX($E$3:$E$553,MATCH(C184,$C$3:$C$553,0)),""))</f>
        <v/>
      </c>
      <c r="H184">
        <f>IF(B184="Supporting",IFERROR(INDEX($E$3:$E$553,1+Entity!$B$14+INDEX(Values!$O$3:$O$502,P184)),""),IF(B184="Cluster",IF(Entity!$B$14&lt;2,"",INDEX($E$3:$E$553,IF(A184-1=Entity!$B$14,2,A184+1))),""))</f>
        <v/>
      </c>
      <c r="I184">
        <f>IF(B184="Pillar",Entity!$B$14&amp;" cluster pages",IF(B184="Cluster",(COUNTIF($C$3:$C$553,SUBSTITUTE(SUBSTITUTE(C184,"?","~?"),"*","~*"))-1)&amp;" supporting pages",""))</f>
        <v/>
      </c>
      <c r="J184">
        <f>IF(B184="Pillar","Informational",IF(OR(B184="Cluster",B184="Supporting"),INDEX(Attributes!$D$3:$D$52,Q184)&amp;"",""))</f>
        <v/>
      </c>
      <c r="K184">
        <f>IF(B184="","",IF(B184="Pillar","Pillar guide (entity hub)",IF(B184="Cluster","Hub page for this attribute",IF(INDEX(Values!$C$3:$C$502,P184)="Yes","Entity page (profile of the sub-entity)",IFERROR(INDEX(Lists!$B$3:$B$6,MATCH(J184,Lists!$A$3:$A$6,0)),"Article")))))</f>
        <v/>
      </c>
      <c r="L184">
        <f>IF(B184="Pillar",Entity!$B$6&amp;"",IF(B184="Cluster",INDEX(Attributes!$I$3:$I$52,Q184)&amp;"",IF(B184="Supporting",INDEX(Values!$F$3:$F$502,P184)&amp;"","")))</f>
        <v/>
      </c>
      <c r="M184">
        <f>IF(B184="","",IF(L184&lt;&gt;"","Covered","Gap"))</f>
        <v/>
      </c>
      <c r="N184">
        <f>IF(B184="Pillar",SUMIFS(Values!$E$3:$E$502,Values!$I$3:$I$502,"Yes"),IF(B184="Cluster",SUMIFS(Values!$E$3:$E$502,Values!$A$3:$A$502,SUBSTITUTE(SUBSTITUTE(C184,"?","~?"),"*","~*"),Values!$I$3:$I$502,"Yes"),IF(B184="Supporting",N(INDEX(Values!$E$3:$E$502,P184)),"")))</f>
        <v/>
      </c>
      <c r="O184">
        <f>IF(B184="","",IF(B184="Pillar",100,IF(B184="Cluster",N(INDEX(Attributes!$E$3:$E$52,Q184))*25+IF(M184="Gap",10,0),N(INDEX(Attributes!$E$3:$E$52,Q184))*20+MIN(20,ROUND(LOG10(N(N184)+1)*5,0))+IF(M184="Gap",10,0)+IF(INDEX(Values!$D$3:$D$502,P184)="Yes",5,0))))</f>
        <v/>
      </c>
      <c r="P184">
        <f>IF(B184="Supporting",MATCH(A184-1-Entity!$B$14,Values!$J$3:$J$502,0),"")</f>
        <v/>
      </c>
      <c r="Q184">
        <f>IF(C184="","",MATCH(C184,Attributes!$A$3:$A$52,0))</f>
        <v/>
      </c>
      <c r="R184">
        <f>IF(B184="Pillar",SUBSTITUTE(Entity!$B$7,"{entity}",LOWER(Entity!$B$3)),IF(B184="Cluster",IF(INDEX(Attributes!$G$3:$G$52,Q184)&lt;&gt;"",INDEX(Attributes!$G$3:$G$52,Q184),SUBSTITUTE(SUBSTITUTE(Entity!$B$8,"{entity}",LOWER(Entity!$B$3)),"{attribute}",LOWER(C184))),IF(B184="Supporting",SUBSTITUTE(SUBSTITUTE(SUBSTITUTE(IF(INDEX(Attributes!$H$3:$H$52,Q184)&lt;&gt;"",INDEX(Attributes!$H$3:$H$52,Q184),Entity!$B$9),"{entity}",LOWER(Entity!$B$3)),"{value}",D184),"{attribute}",LOWER(C184)),"")))</f>
        <v/>
      </c>
    </row>
    <row r="185">
      <c r="A185">
        <f>ROW()-2</f>
        <v/>
      </c>
      <c r="B185">
        <f>IF(A185=1,"Pillar",IF(A185&lt;=1+Entity!$B$14,"Cluster",IF(A185&lt;=1+Entity!$B$14+Entity!$B$15,"Supporting","")))</f>
        <v/>
      </c>
      <c r="C185">
        <f>IF(B185="Cluster",INDEX(Attributes!$A$3:$A$52,MATCH(A185-1,Attributes!$P$3:$P$52,0)),IF(B185="Supporting",INDEX(Values!$A$3:$A$502,P185),""))</f>
        <v/>
      </c>
      <c r="D185">
        <f>IF(B185="Supporting",INDEX(Values!$B$3:$B$502,P185),"")</f>
        <v/>
      </c>
      <c r="E185">
        <f>IF(R185="","",UPPER(LEFT(R185,1))&amp;MID(R185,2,500))</f>
        <v/>
      </c>
      <c r="F185">
        <f>IF(E185="","",LOWER(SUBSTITUTE(SUBSTITUTE(SUBSTITUTE(SUBSTITUTE(SUBSTITUTE(SUBSTITUTE(SUBSTITUTE(TRIM(E185),":",""),",",""),"'",""),"&amp;","and"),"£",""),"  "," ")," ","-")))</f>
        <v/>
      </c>
      <c r="G185">
        <f>IF(B185="Cluster",$E$3,IF(B185="Supporting",INDEX($E$3:$E$553,MATCH(C185,$C$3:$C$553,0)),""))</f>
        <v/>
      </c>
      <c r="H185">
        <f>IF(B185="Supporting",IFERROR(INDEX($E$3:$E$553,1+Entity!$B$14+INDEX(Values!$O$3:$O$502,P185)),""),IF(B185="Cluster",IF(Entity!$B$14&lt;2,"",INDEX($E$3:$E$553,IF(A185-1=Entity!$B$14,2,A185+1))),""))</f>
        <v/>
      </c>
      <c r="I185">
        <f>IF(B185="Pillar",Entity!$B$14&amp;" cluster pages",IF(B185="Cluster",(COUNTIF($C$3:$C$553,SUBSTITUTE(SUBSTITUTE(C185,"?","~?"),"*","~*"))-1)&amp;" supporting pages",""))</f>
        <v/>
      </c>
      <c r="J185">
        <f>IF(B185="Pillar","Informational",IF(OR(B185="Cluster",B185="Supporting"),INDEX(Attributes!$D$3:$D$52,Q185)&amp;"",""))</f>
        <v/>
      </c>
      <c r="K185">
        <f>IF(B185="","",IF(B185="Pillar","Pillar guide (entity hub)",IF(B185="Cluster","Hub page for this attribute",IF(INDEX(Values!$C$3:$C$502,P185)="Yes","Entity page (profile of the sub-entity)",IFERROR(INDEX(Lists!$B$3:$B$6,MATCH(J185,Lists!$A$3:$A$6,0)),"Article")))))</f>
        <v/>
      </c>
      <c r="L185">
        <f>IF(B185="Pillar",Entity!$B$6&amp;"",IF(B185="Cluster",INDEX(Attributes!$I$3:$I$52,Q185)&amp;"",IF(B185="Supporting",INDEX(Values!$F$3:$F$502,P185)&amp;"","")))</f>
        <v/>
      </c>
      <c r="M185">
        <f>IF(B185="","",IF(L185&lt;&gt;"","Covered","Gap"))</f>
        <v/>
      </c>
      <c r="N185">
        <f>IF(B185="Pillar",SUMIFS(Values!$E$3:$E$502,Values!$I$3:$I$502,"Yes"),IF(B185="Cluster",SUMIFS(Values!$E$3:$E$502,Values!$A$3:$A$502,SUBSTITUTE(SUBSTITUTE(C185,"?","~?"),"*","~*"),Values!$I$3:$I$502,"Yes"),IF(B185="Supporting",N(INDEX(Values!$E$3:$E$502,P185)),"")))</f>
        <v/>
      </c>
      <c r="O185">
        <f>IF(B185="","",IF(B185="Pillar",100,IF(B185="Cluster",N(INDEX(Attributes!$E$3:$E$52,Q185))*25+IF(M185="Gap",10,0),N(INDEX(Attributes!$E$3:$E$52,Q185))*20+MIN(20,ROUND(LOG10(N(N185)+1)*5,0))+IF(M185="Gap",10,0)+IF(INDEX(Values!$D$3:$D$502,P185)="Yes",5,0))))</f>
        <v/>
      </c>
      <c r="P185">
        <f>IF(B185="Supporting",MATCH(A185-1-Entity!$B$14,Values!$J$3:$J$502,0),"")</f>
        <v/>
      </c>
      <c r="Q185">
        <f>IF(C185="","",MATCH(C185,Attributes!$A$3:$A$52,0))</f>
        <v/>
      </c>
      <c r="R185">
        <f>IF(B185="Pillar",SUBSTITUTE(Entity!$B$7,"{entity}",LOWER(Entity!$B$3)),IF(B185="Cluster",IF(INDEX(Attributes!$G$3:$G$52,Q185)&lt;&gt;"",INDEX(Attributes!$G$3:$G$52,Q185),SUBSTITUTE(SUBSTITUTE(Entity!$B$8,"{entity}",LOWER(Entity!$B$3)),"{attribute}",LOWER(C185))),IF(B185="Supporting",SUBSTITUTE(SUBSTITUTE(SUBSTITUTE(IF(INDEX(Attributes!$H$3:$H$52,Q185)&lt;&gt;"",INDEX(Attributes!$H$3:$H$52,Q185),Entity!$B$9),"{entity}",LOWER(Entity!$B$3)),"{value}",D185),"{attribute}",LOWER(C185)),"")))</f>
        <v/>
      </c>
    </row>
    <row r="186">
      <c r="A186">
        <f>ROW()-2</f>
        <v/>
      </c>
      <c r="B186">
        <f>IF(A186=1,"Pillar",IF(A186&lt;=1+Entity!$B$14,"Cluster",IF(A186&lt;=1+Entity!$B$14+Entity!$B$15,"Supporting","")))</f>
        <v/>
      </c>
      <c r="C186">
        <f>IF(B186="Cluster",INDEX(Attributes!$A$3:$A$52,MATCH(A186-1,Attributes!$P$3:$P$52,0)),IF(B186="Supporting",INDEX(Values!$A$3:$A$502,P186),""))</f>
        <v/>
      </c>
      <c r="D186">
        <f>IF(B186="Supporting",INDEX(Values!$B$3:$B$502,P186),"")</f>
        <v/>
      </c>
      <c r="E186">
        <f>IF(R186="","",UPPER(LEFT(R186,1))&amp;MID(R186,2,500))</f>
        <v/>
      </c>
      <c r="F186">
        <f>IF(E186="","",LOWER(SUBSTITUTE(SUBSTITUTE(SUBSTITUTE(SUBSTITUTE(SUBSTITUTE(SUBSTITUTE(SUBSTITUTE(TRIM(E186),":",""),",",""),"'",""),"&amp;","and"),"£",""),"  "," ")," ","-")))</f>
        <v/>
      </c>
      <c r="G186">
        <f>IF(B186="Cluster",$E$3,IF(B186="Supporting",INDEX($E$3:$E$553,MATCH(C186,$C$3:$C$553,0)),""))</f>
        <v/>
      </c>
      <c r="H186">
        <f>IF(B186="Supporting",IFERROR(INDEX($E$3:$E$553,1+Entity!$B$14+INDEX(Values!$O$3:$O$502,P186)),""),IF(B186="Cluster",IF(Entity!$B$14&lt;2,"",INDEX($E$3:$E$553,IF(A186-1=Entity!$B$14,2,A186+1))),""))</f>
        <v/>
      </c>
      <c r="I186">
        <f>IF(B186="Pillar",Entity!$B$14&amp;" cluster pages",IF(B186="Cluster",(COUNTIF($C$3:$C$553,SUBSTITUTE(SUBSTITUTE(C186,"?","~?"),"*","~*"))-1)&amp;" supporting pages",""))</f>
        <v/>
      </c>
      <c r="J186">
        <f>IF(B186="Pillar","Informational",IF(OR(B186="Cluster",B186="Supporting"),INDEX(Attributes!$D$3:$D$52,Q186)&amp;"",""))</f>
        <v/>
      </c>
      <c r="K186">
        <f>IF(B186="","",IF(B186="Pillar","Pillar guide (entity hub)",IF(B186="Cluster","Hub page for this attribute",IF(INDEX(Values!$C$3:$C$502,P186)="Yes","Entity page (profile of the sub-entity)",IFERROR(INDEX(Lists!$B$3:$B$6,MATCH(J186,Lists!$A$3:$A$6,0)),"Article")))))</f>
        <v/>
      </c>
      <c r="L186">
        <f>IF(B186="Pillar",Entity!$B$6&amp;"",IF(B186="Cluster",INDEX(Attributes!$I$3:$I$52,Q186)&amp;"",IF(B186="Supporting",INDEX(Values!$F$3:$F$502,P186)&amp;"","")))</f>
        <v/>
      </c>
      <c r="M186">
        <f>IF(B186="","",IF(L186&lt;&gt;"","Covered","Gap"))</f>
        <v/>
      </c>
      <c r="N186">
        <f>IF(B186="Pillar",SUMIFS(Values!$E$3:$E$502,Values!$I$3:$I$502,"Yes"),IF(B186="Cluster",SUMIFS(Values!$E$3:$E$502,Values!$A$3:$A$502,SUBSTITUTE(SUBSTITUTE(C186,"?","~?"),"*","~*"),Values!$I$3:$I$502,"Yes"),IF(B186="Supporting",N(INDEX(Values!$E$3:$E$502,P186)),"")))</f>
        <v/>
      </c>
      <c r="O186">
        <f>IF(B186="","",IF(B186="Pillar",100,IF(B186="Cluster",N(INDEX(Attributes!$E$3:$E$52,Q186))*25+IF(M186="Gap",10,0),N(INDEX(Attributes!$E$3:$E$52,Q186))*20+MIN(20,ROUND(LOG10(N(N186)+1)*5,0))+IF(M186="Gap",10,0)+IF(INDEX(Values!$D$3:$D$502,P186)="Yes",5,0))))</f>
        <v/>
      </c>
      <c r="P186">
        <f>IF(B186="Supporting",MATCH(A186-1-Entity!$B$14,Values!$J$3:$J$502,0),"")</f>
        <v/>
      </c>
      <c r="Q186">
        <f>IF(C186="","",MATCH(C186,Attributes!$A$3:$A$52,0))</f>
        <v/>
      </c>
      <c r="R186">
        <f>IF(B186="Pillar",SUBSTITUTE(Entity!$B$7,"{entity}",LOWER(Entity!$B$3)),IF(B186="Cluster",IF(INDEX(Attributes!$G$3:$G$52,Q186)&lt;&gt;"",INDEX(Attributes!$G$3:$G$52,Q186),SUBSTITUTE(SUBSTITUTE(Entity!$B$8,"{entity}",LOWER(Entity!$B$3)),"{attribute}",LOWER(C186))),IF(B186="Supporting",SUBSTITUTE(SUBSTITUTE(SUBSTITUTE(IF(INDEX(Attributes!$H$3:$H$52,Q186)&lt;&gt;"",INDEX(Attributes!$H$3:$H$52,Q186),Entity!$B$9),"{entity}",LOWER(Entity!$B$3)),"{value}",D186),"{attribute}",LOWER(C186)),"")))</f>
        <v/>
      </c>
    </row>
    <row r="187">
      <c r="A187">
        <f>ROW()-2</f>
        <v/>
      </c>
      <c r="B187">
        <f>IF(A187=1,"Pillar",IF(A187&lt;=1+Entity!$B$14,"Cluster",IF(A187&lt;=1+Entity!$B$14+Entity!$B$15,"Supporting","")))</f>
        <v/>
      </c>
      <c r="C187">
        <f>IF(B187="Cluster",INDEX(Attributes!$A$3:$A$52,MATCH(A187-1,Attributes!$P$3:$P$52,0)),IF(B187="Supporting",INDEX(Values!$A$3:$A$502,P187),""))</f>
        <v/>
      </c>
      <c r="D187">
        <f>IF(B187="Supporting",INDEX(Values!$B$3:$B$502,P187),"")</f>
        <v/>
      </c>
      <c r="E187">
        <f>IF(R187="","",UPPER(LEFT(R187,1))&amp;MID(R187,2,500))</f>
        <v/>
      </c>
      <c r="F187">
        <f>IF(E187="","",LOWER(SUBSTITUTE(SUBSTITUTE(SUBSTITUTE(SUBSTITUTE(SUBSTITUTE(SUBSTITUTE(SUBSTITUTE(TRIM(E187),":",""),",",""),"'",""),"&amp;","and"),"£",""),"  "," ")," ","-")))</f>
        <v/>
      </c>
      <c r="G187">
        <f>IF(B187="Cluster",$E$3,IF(B187="Supporting",INDEX($E$3:$E$553,MATCH(C187,$C$3:$C$553,0)),""))</f>
        <v/>
      </c>
      <c r="H187">
        <f>IF(B187="Supporting",IFERROR(INDEX($E$3:$E$553,1+Entity!$B$14+INDEX(Values!$O$3:$O$502,P187)),""),IF(B187="Cluster",IF(Entity!$B$14&lt;2,"",INDEX($E$3:$E$553,IF(A187-1=Entity!$B$14,2,A187+1))),""))</f>
        <v/>
      </c>
      <c r="I187">
        <f>IF(B187="Pillar",Entity!$B$14&amp;" cluster pages",IF(B187="Cluster",(COUNTIF($C$3:$C$553,SUBSTITUTE(SUBSTITUTE(C187,"?","~?"),"*","~*"))-1)&amp;" supporting pages",""))</f>
        <v/>
      </c>
      <c r="J187">
        <f>IF(B187="Pillar","Informational",IF(OR(B187="Cluster",B187="Supporting"),INDEX(Attributes!$D$3:$D$52,Q187)&amp;"",""))</f>
        <v/>
      </c>
      <c r="K187">
        <f>IF(B187="","",IF(B187="Pillar","Pillar guide (entity hub)",IF(B187="Cluster","Hub page for this attribute",IF(INDEX(Values!$C$3:$C$502,P187)="Yes","Entity page (profile of the sub-entity)",IFERROR(INDEX(Lists!$B$3:$B$6,MATCH(J187,Lists!$A$3:$A$6,0)),"Article")))))</f>
        <v/>
      </c>
      <c r="L187">
        <f>IF(B187="Pillar",Entity!$B$6&amp;"",IF(B187="Cluster",INDEX(Attributes!$I$3:$I$52,Q187)&amp;"",IF(B187="Supporting",INDEX(Values!$F$3:$F$502,P187)&amp;"","")))</f>
        <v/>
      </c>
      <c r="M187">
        <f>IF(B187="","",IF(L187&lt;&gt;"","Covered","Gap"))</f>
        <v/>
      </c>
      <c r="N187">
        <f>IF(B187="Pillar",SUMIFS(Values!$E$3:$E$502,Values!$I$3:$I$502,"Yes"),IF(B187="Cluster",SUMIFS(Values!$E$3:$E$502,Values!$A$3:$A$502,SUBSTITUTE(SUBSTITUTE(C187,"?","~?"),"*","~*"),Values!$I$3:$I$502,"Yes"),IF(B187="Supporting",N(INDEX(Values!$E$3:$E$502,P187)),"")))</f>
        <v/>
      </c>
      <c r="O187">
        <f>IF(B187="","",IF(B187="Pillar",100,IF(B187="Cluster",N(INDEX(Attributes!$E$3:$E$52,Q187))*25+IF(M187="Gap",10,0),N(INDEX(Attributes!$E$3:$E$52,Q187))*20+MIN(20,ROUND(LOG10(N(N187)+1)*5,0))+IF(M187="Gap",10,0)+IF(INDEX(Values!$D$3:$D$502,P187)="Yes",5,0))))</f>
        <v/>
      </c>
      <c r="P187">
        <f>IF(B187="Supporting",MATCH(A187-1-Entity!$B$14,Values!$J$3:$J$502,0),"")</f>
        <v/>
      </c>
      <c r="Q187">
        <f>IF(C187="","",MATCH(C187,Attributes!$A$3:$A$52,0))</f>
        <v/>
      </c>
      <c r="R187">
        <f>IF(B187="Pillar",SUBSTITUTE(Entity!$B$7,"{entity}",LOWER(Entity!$B$3)),IF(B187="Cluster",IF(INDEX(Attributes!$G$3:$G$52,Q187)&lt;&gt;"",INDEX(Attributes!$G$3:$G$52,Q187),SUBSTITUTE(SUBSTITUTE(Entity!$B$8,"{entity}",LOWER(Entity!$B$3)),"{attribute}",LOWER(C187))),IF(B187="Supporting",SUBSTITUTE(SUBSTITUTE(SUBSTITUTE(IF(INDEX(Attributes!$H$3:$H$52,Q187)&lt;&gt;"",INDEX(Attributes!$H$3:$H$52,Q187),Entity!$B$9),"{entity}",LOWER(Entity!$B$3)),"{value}",D187),"{attribute}",LOWER(C187)),"")))</f>
        <v/>
      </c>
    </row>
    <row r="188">
      <c r="A188">
        <f>ROW()-2</f>
        <v/>
      </c>
      <c r="B188">
        <f>IF(A188=1,"Pillar",IF(A188&lt;=1+Entity!$B$14,"Cluster",IF(A188&lt;=1+Entity!$B$14+Entity!$B$15,"Supporting","")))</f>
        <v/>
      </c>
      <c r="C188">
        <f>IF(B188="Cluster",INDEX(Attributes!$A$3:$A$52,MATCH(A188-1,Attributes!$P$3:$P$52,0)),IF(B188="Supporting",INDEX(Values!$A$3:$A$502,P188),""))</f>
        <v/>
      </c>
      <c r="D188">
        <f>IF(B188="Supporting",INDEX(Values!$B$3:$B$502,P188),"")</f>
        <v/>
      </c>
      <c r="E188">
        <f>IF(R188="","",UPPER(LEFT(R188,1))&amp;MID(R188,2,500))</f>
        <v/>
      </c>
      <c r="F188">
        <f>IF(E188="","",LOWER(SUBSTITUTE(SUBSTITUTE(SUBSTITUTE(SUBSTITUTE(SUBSTITUTE(SUBSTITUTE(SUBSTITUTE(TRIM(E188),":",""),",",""),"'",""),"&amp;","and"),"£",""),"  "," ")," ","-")))</f>
        <v/>
      </c>
      <c r="G188">
        <f>IF(B188="Cluster",$E$3,IF(B188="Supporting",INDEX($E$3:$E$553,MATCH(C188,$C$3:$C$553,0)),""))</f>
        <v/>
      </c>
      <c r="H188">
        <f>IF(B188="Supporting",IFERROR(INDEX($E$3:$E$553,1+Entity!$B$14+INDEX(Values!$O$3:$O$502,P188)),""),IF(B188="Cluster",IF(Entity!$B$14&lt;2,"",INDEX($E$3:$E$553,IF(A188-1=Entity!$B$14,2,A188+1))),""))</f>
        <v/>
      </c>
      <c r="I188">
        <f>IF(B188="Pillar",Entity!$B$14&amp;" cluster pages",IF(B188="Cluster",(COUNTIF($C$3:$C$553,SUBSTITUTE(SUBSTITUTE(C188,"?","~?"),"*","~*"))-1)&amp;" supporting pages",""))</f>
        <v/>
      </c>
      <c r="J188">
        <f>IF(B188="Pillar","Informational",IF(OR(B188="Cluster",B188="Supporting"),INDEX(Attributes!$D$3:$D$52,Q188)&amp;"",""))</f>
        <v/>
      </c>
      <c r="K188">
        <f>IF(B188="","",IF(B188="Pillar","Pillar guide (entity hub)",IF(B188="Cluster","Hub page for this attribute",IF(INDEX(Values!$C$3:$C$502,P188)="Yes","Entity page (profile of the sub-entity)",IFERROR(INDEX(Lists!$B$3:$B$6,MATCH(J188,Lists!$A$3:$A$6,0)),"Article")))))</f>
        <v/>
      </c>
      <c r="L188">
        <f>IF(B188="Pillar",Entity!$B$6&amp;"",IF(B188="Cluster",INDEX(Attributes!$I$3:$I$52,Q188)&amp;"",IF(B188="Supporting",INDEX(Values!$F$3:$F$502,P188)&amp;"","")))</f>
        <v/>
      </c>
      <c r="M188">
        <f>IF(B188="","",IF(L188&lt;&gt;"","Covered","Gap"))</f>
        <v/>
      </c>
      <c r="N188">
        <f>IF(B188="Pillar",SUMIFS(Values!$E$3:$E$502,Values!$I$3:$I$502,"Yes"),IF(B188="Cluster",SUMIFS(Values!$E$3:$E$502,Values!$A$3:$A$502,SUBSTITUTE(SUBSTITUTE(C188,"?","~?"),"*","~*"),Values!$I$3:$I$502,"Yes"),IF(B188="Supporting",N(INDEX(Values!$E$3:$E$502,P188)),"")))</f>
        <v/>
      </c>
      <c r="O188">
        <f>IF(B188="","",IF(B188="Pillar",100,IF(B188="Cluster",N(INDEX(Attributes!$E$3:$E$52,Q188))*25+IF(M188="Gap",10,0),N(INDEX(Attributes!$E$3:$E$52,Q188))*20+MIN(20,ROUND(LOG10(N(N188)+1)*5,0))+IF(M188="Gap",10,0)+IF(INDEX(Values!$D$3:$D$502,P188)="Yes",5,0))))</f>
        <v/>
      </c>
      <c r="P188">
        <f>IF(B188="Supporting",MATCH(A188-1-Entity!$B$14,Values!$J$3:$J$502,0),"")</f>
        <v/>
      </c>
      <c r="Q188">
        <f>IF(C188="","",MATCH(C188,Attributes!$A$3:$A$52,0))</f>
        <v/>
      </c>
      <c r="R188">
        <f>IF(B188="Pillar",SUBSTITUTE(Entity!$B$7,"{entity}",LOWER(Entity!$B$3)),IF(B188="Cluster",IF(INDEX(Attributes!$G$3:$G$52,Q188)&lt;&gt;"",INDEX(Attributes!$G$3:$G$52,Q188),SUBSTITUTE(SUBSTITUTE(Entity!$B$8,"{entity}",LOWER(Entity!$B$3)),"{attribute}",LOWER(C188))),IF(B188="Supporting",SUBSTITUTE(SUBSTITUTE(SUBSTITUTE(IF(INDEX(Attributes!$H$3:$H$52,Q188)&lt;&gt;"",INDEX(Attributes!$H$3:$H$52,Q188),Entity!$B$9),"{entity}",LOWER(Entity!$B$3)),"{value}",D188),"{attribute}",LOWER(C188)),"")))</f>
        <v/>
      </c>
    </row>
    <row r="189">
      <c r="A189">
        <f>ROW()-2</f>
        <v/>
      </c>
      <c r="B189">
        <f>IF(A189=1,"Pillar",IF(A189&lt;=1+Entity!$B$14,"Cluster",IF(A189&lt;=1+Entity!$B$14+Entity!$B$15,"Supporting","")))</f>
        <v/>
      </c>
      <c r="C189">
        <f>IF(B189="Cluster",INDEX(Attributes!$A$3:$A$52,MATCH(A189-1,Attributes!$P$3:$P$52,0)),IF(B189="Supporting",INDEX(Values!$A$3:$A$502,P189),""))</f>
        <v/>
      </c>
      <c r="D189">
        <f>IF(B189="Supporting",INDEX(Values!$B$3:$B$502,P189),"")</f>
        <v/>
      </c>
      <c r="E189">
        <f>IF(R189="","",UPPER(LEFT(R189,1))&amp;MID(R189,2,500))</f>
        <v/>
      </c>
      <c r="F189">
        <f>IF(E189="","",LOWER(SUBSTITUTE(SUBSTITUTE(SUBSTITUTE(SUBSTITUTE(SUBSTITUTE(SUBSTITUTE(SUBSTITUTE(TRIM(E189),":",""),",",""),"'",""),"&amp;","and"),"£",""),"  "," ")," ","-")))</f>
        <v/>
      </c>
      <c r="G189">
        <f>IF(B189="Cluster",$E$3,IF(B189="Supporting",INDEX($E$3:$E$553,MATCH(C189,$C$3:$C$553,0)),""))</f>
        <v/>
      </c>
      <c r="H189">
        <f>IF(B189="Supporting",IFERROR(INDEX($E$3:$E$553,1+Entity!$B$14+INDEX(Values!$O$3:$O$502,P189)),""),IF(B189="Cluster",IF(Entity!$B$14&lt;2,"",INDEX($E$3:$E$553,IF(A189-1=Entity!$B$14,2,A189+1))),""))</f>
        <v/>
      </c>
      <c r="I189">
        <f>IF(B189="Pillar",Entity!$B$14&amp;" cluster pages",IF(B189="Cluster",(COUNTIF($C$3:$C$553,SUBSTITUTE(SUBSTITUTE(C189,"?","~?"),"*","~*"))-1)&amp;" supporting pages",""))</f>
        <v/>
      </c>
      <c r="J189">
        <f>IF(B189="Pillar","Informational",IF(OR(B189="Cluster",B189="Supporting"),INDEX(Attributes!$D$3:$D$52,Q189)&amp;"",""))</f>
        <v/>
      </c>
      <c r="K189">
        <f>IF(B189="","",IF(B189="Pillar","Pillar guide (entity hub)",IF(B189="Cluster","Hub page for this attribute",IF(INDEX(Values!$C$3:$C$502,P189)="Yes","Entity page (profile of the sub-entity)",IFERROR(INDEX(Lists!$B$3:$B$6,MATCH(J189,Lists!$A$3:$A$6,0)),"Article")))))</f>
        <v/>
      </c>
      <c r="L189">
        <f>IF(B189="Pillar",Entity!$B$6&amp;"",IF(B189="Cluster",INDEX(Attributes!$I$3:$I$52,Q189)&amp;"",IF(B189="Supporting",INDEX(Values!$F$3:$F$502,P189)&amp;"","")))</f>
        <v/>
      </c>
      <c r="M189">
        <f>IF(B189="","",IF(L189&lt;&gt;"","Covered","Gap"))</f>
        <v/>
      </c>
      <c r="N189">
        <f>IF(B189="Pillar",SUMIFS(Values!$E$3:$E$502,Values!$I$3:$I$502,"Yes"),IF(B189="Cluster",SUMIFS(Values!$E$3:$E$502,Values!$A$3:$A$502,SUBSTITUTE(SUBSTITUTE(C189,"?","~?"),"*","~*"),Values!$I$3:$I$502,"Yes"),IF(B189="Supporting",N(INDEX(Values!$E$3:$E$502,P189)),"")))</f>
        <v/>
      </c>
      <c r="O189">
        <f>IF(B189="","",IF(B189="Pillar",100,IF(B189="Cluster",N(INDEX(Attributes!$E$3:$E$52,Q189))*25+IF(M189="Gap",10,0),N(INDEX(Attributes!$E$3:$E$52,Q189))*20+MIN(20,ROUND(LOG10(N(N189)+1)*5,0))+IF(M189="Gap",10,0)+IF(INDEX(Values!$D$3:$D$502,P189)="Yes",5,0))))</f>
        <v/>
      </c>
      <c r="P189">
        <f>IF(B189="Supporting",MATCH(A189-1-Entity!$B$14,Values!$J$3:$J$502,0),"")</f>
        <v/>
      </c>
      <c r="Q189">
        <f>IF(C189="","",MATCH(C189,Attributes!$A$3:$A$52,0))</f>
        <v/>
      </c>
      <c r="R189">
        <f>IF(B189="Pillar",SUBSTITUTE(Entity!$B$7,"{entity}",LOWER(Entity!$B$3)),IF(B189="Cluster",IF(INDEX(Attributes!$G$3:$G$52,Q189)&lt;&gt;"",INDEX(Attributes!$G$3:$G$52,Q189),SUBSTITUTE(SUBSTITUTE(Entity!$B$8,"{entity}",LOWER(Entity!$B$3)),"{attribute}",LOWER(C189))),IF(B189="Supporting",SUBSTITUTE(SUBSTITUTE(SUBSTITUTE(IF(INDEX(Attributes!$H$3:$H$52,Q189)&lt;&gt;"",INDEX(Attributes!$H$3:$H$52,Q189),Entity!$B$9),"{entity}",LOWER(Entity!$B$3)),"{value}",D189),"{attribute}",LOWER(C189)),"")))</f>
        <v/>
      </c>
    </row>
    <row r="190">
      <c r="A190">
        <f>ROW()-2</f>
        <v/>
      </c>
      <c r="B190">
        <f>IF(A190=1,"Pillar",IF(A190&lt;=1+Entity!$B$14,"Cluster",IF(A190&lt;=1+Entity!$B$14+Entity!$B$15,"Supporting","")))</f>
        <v/>
      </c>
      <c r="C190">
        <f>IF(B190="Cluster",INDEX(Attributes!$A$3:$A$52,MATCH(A190-1,Attributes!$P$3:$P$52,0)),IF(B190="Supporting",INDEX(Values!$A$3:$A$502,P190),""))</f>
        <v/>
      </c>
      <c r="D190">
        <f>IF(B190="Supporting",INDEX(Values!$B$3:$B$502,P190),"")</f>
        <v/>
      </c>
      <c r="E190">
        <f>IF(R190="","",UPPER(LEFT(R190,1))&amp;MID(R190,2,500))</f>
        <v/>
      </c>
      <c r="F190">
        <f>IF(E190="","",LOWER(SUBSTITUTE(SUBSTITUTE(SUBSTITUTE(SUBSTITUTE(SUBSTITUTE(SUBSTITUTE(SUBSTITUTE(TRIM(E190),":",""),",",""),"'",""),"&amp;","and"),"£",""),"  "," ")," ","-")))</f>
        <v/>
      </c>
      <c r="G190">
        <f>IF(B190="Cluster",$E$3,IF(B190="Supporting",INDEX($E$3:$E$553,MATCH(C190,$C$3:$C$553,0)),""))</f>
        <v/>
      </c>
      <c r="H190">
        <f>IF(B190="Supporting",IFERROR(INDEX($E$3:$E$553,1+Entity!$B$14+INDEX(Values!$O$3:$O$502,P190)),""),IF(B190="Cluster",IF(Entity!$B$14&lt;2,"",INDEX($E$3:$E$553,IF(A190-1=Entity!$B$14,2,A190+1))),""))</f>
        <v/>
      </c>
      <c r="I190">
        <f>IF(B190="Pillar",Entity!$B$14&amp;" cluster pages",IF(B190="Cluster",(COUNTIF($C$3:$C$553,SUBSTITUTE(SUBSTITUTE(C190,"?","~?"),"*","~*"))-1)&amp;" supporting pages",""))</f>
        <v/>
      </c>
      <c r="J190">
        <f>IF(B190="Pillar","Informational",IF(OR(B190="Cluster",B190="Supporting"),INDEX(Attributes!$D$3:$D$52,Q190)&amp;"",""))</f>
        <v/>
      </c>
      <c r="K190">
        <f>IF(B190="","",IF(B190="Pillar","Pillar guide (entity hub)",IF(B190="Cluster","Hub page for this attribute",IF(INDEX(Values!$C$3:$C$502,P190)="Yes","Entity page (profile of the sub-entity)",IFERROR(INDEX(Lists!$B$3:$B$6,MATCH(J190,Lists!$A$3:$A$6,0)),"Article")))))</f>
        <v/>
      </c>
      <c r="L190">
        <f>IF(B190="Pillar",Entity!$B$6&amp;"",IF(B190="Cluster",INDEX(Attributes!$I$3:$I$52,Q190)&amp;"",IF(B190="Supporting",INDEX(Values!$F$3:$F$502,P190)&amp;"","")))</f>
        <v/>
      </c>
      <c r="M190">
        <f>IF(B190="","",IF(L190&lt;&gt;"","Covered","Gap"))</f>
        <v/>
      </c>
      <c r="N190">
        <f>IF(B190="Pillar",SUMIFS(Values!$E$3:$E$502,Values!$I$3:$I$502,"Yes"),IF(B190="Cluster",SUMIFS(Values!$E$3:$E$502,Values!$A$3:$A$502,SUBSTITUTE(SUBSTITUTE(C190,"?","~?"),"*","~*"),Values!$I$3:$I$502,"Yes"),IF(B190="Supporting",N(INDEX(Values!$E$3:$E$502,P190)),"")))</f>
        <v/>
      </c>
      <c r="O190">
        <f>IF(B190="","",IF(B190="Pillar",100,IF(B190="Cluster",N(INDEX(Attributes!$E$3:$E$52,Q190))*25+IF(M190="Gap",10,0),N(INDEX(Attributes!$E$3:$E$52,Q190))*20+MIN(20,ROUND(LOG10(N(N190)+1)*5,0))+IF(M190="Gap",10,0)+IF(INDEX(Values!$D$3:$D$502,P190)="Yes",5,0))))</f>
        <v/>
      </c>
      <c r="P190">
        <f>IF(B190="Supporting",MATCH(A190-1-Entity!$B$14,Values!$J$3:$J$502,0),"")</f>
        <v/>
      </c>
      <c r="Q190">
        <f>IF(C190="","",MATCH(C190,Attributes!$A$3:$A$52,0))</f>
        <v/>
      </c>
      <c r="R190">
        <f>IF(B190="Pillar",SUBSTITUTE(Entity!$B$7,"{entity}",LOWER(Entity!$B$3)),IF(B190="Cluster",IF(INDEX(Attributes!$G$3:$G$52,Q190)&lt;&gt;"",INDEX(Attributes!$G$3:$G$52,Q190),SUBSTITUTE(SUBSTITUTE(Entity!$B$8,"{entity}",LOWER(Entity!$B$3)),"{attribute}",LOWER(C190))),IF(B190="Supporting",SUBSTITUTE(SUBSTITUTE(SUBSTITUTE(IF(INDEX(Attributes!$H$3:$H$52,Q190)&lt;&gt;"",INDEX(Attributes!$H$3:$H$52,Q190),Entity!$B$9),"{entity}",LOWER(Entity!$B$3)),"{value}",D190),"{attribute}",LOWER(C190)),"")))</f>
        <v/>
      </c>
    </row>
    <row r="191">
      <c r="A191">
        <f>ROW()-2</f>
        <v/>
      </c>
      <c r="B191">
        <f>IF(A191=1,"Pillar",IF(A191&lt;=1+Entity!$B$14,"Cluster",IF(A191&lt;=1+Entity!$B$14+Entity!$B$15,"Supporting","")))</f>
        <v/>
      </c>
      <c r="C191">
        <f>IF(B191="Cluster",INDEX(Attributes!$A$3:$A$52,MATCH(A191-1,Attributes!$P$3:$P$52,0)),IF(B191="Supporting",INDEX(Values!$A$3:$A$502,P191),""))</f>
        <v/>
      </c>
      <c r="D191">
        <f>IF(B191="Supporting",INDEX(Values!$B$3:$B$502,P191),"")</f>
        <v/>
      </c>
      <c r="E191">
        <f>IF(R191="","",UPPER(LEFT(R191,1))&amp;MID(R191,2,500))</f>
        <v/>
      </c>
      <c r="F191">
        <f>IF(E191="","",LOWER(SUBSTITUTE(SUBSTITUTE(SUBSTITUTE(SUBSTITUTE(SUBSTITUTE(SUBSTITUTE(SUBSTITUTE(TRIM(E191),":",""),",",""),"'",""),"&amp;","and"),"£",""),"  "," ")," ","-")))</f>
        <v/>
      </c>
      <c r="G191">
        <f>IF(B191="Cluster",$E$3,IF(B191="Supporting",INDEX($E$3:$E$553,MATCH(C191,$C$3:$C$553,0)),""))</f>
        <v/>
      </c>
      <c r="H191">
        <f>IF(B191="Supporting",IFERROR(INDEX($E$3:$E$553,1+Entity!$B$14+INDEX(Values!$O$3:$O$502,P191)),""),IF(B191="Cluster",IF(Entity!$B$14&lt;2,"",INDEX($E$3:$E$553,IF(A191-1=Entity!$B$14,2,A191+1))),""))</f>
        <v/>
      </c>
      <c r="I191">
        <f>IF(B191="Pillar",Entity!$B$14&amp;" cluster pages",IF(B191="Cluster",(COUNTIF($C$3:$C$553,SUBSTITUTE(SUBSTITUTE(C191,"?","~?"),"*","~*"))-1)&amp;" supporting pages",""))</f>
        <v/>
      </c>
      <c r="J191">
        <f>IF(B191="Pillar","Informational",IF(OR(B191="Cluster",B191="Supporting"),INDEX(Attributes!$D$3:$D$52,Q191)&amp;"",""))</f>
        <v/>
      </c>
      <c r="K191">
        <f>IF(B191="","",IF(B191="Pillar","Pillar guide (entity hub)",IF(B191="Cluster","Hub page for this attribute",IF(INDEX(Values!$C$3:$C$502,P191)="Yes","Entity page (profile of the sub-entity)",IFERROR(INDEX(Lists!$B$3:$B$6,MATCH(J191,Lists!$A$3:$A$6,0)),"Article")))))</f>
        <v/>
      </c>
      <c r="L191">
        <f>IF(B191="Pillar",Entity!$B$6&amp;"",IF(B191="Cluster",INDEX(Attributes!$I$3:$I$52,Q191)&amp;"",IF(B191="Supporting",INDEX(Values!$F$3:$F$502,P191)&amp;"","")))</f>
        <v/>
      </c>
      <c r="M191">
        <f>IF(B191="","",IF(L191&lt;&gt;"","Covered","Gap"))</f>
        <v/>
      </c>
      <c r="N191">
        <f>IF(B191="Pillar",SUMIFS(Values!$E$3:$E$502,Values!$I$3:$I$502,"Yes"),IF(B191="Cluster",SUMIFS(Values!$E$3:$E$502,Values!$A$3:$A$502,SUBSTITUTE(SUBSTITUTE(C191,"?","~?"),"*","~*"),Values!$I$3:$I$502,"Yes"),IF(B191="Supporting",N(INDEX(Values!$E$3:$E$502,P191)),"")))</f>
        <v/>
      </c>
      <c r="O191">
        <f>IF(B191="","",IF(B191="Pillar",100,IF(B191="Cluster",N(INDEX(Attributes!$E$3:$E$52,Q191))*25+IF(M191="Gap",10,0),N(INDEX(Attributes!$E$3:$E$52,Q191))*20+MIN(20,ROUND(LOG10(N(N191)+1)*5,0))+IF(M191="Gap",10,0)+IF(INDEX(Values!$D$3:$D$502,P191)="Yes",5,0))))</f>
        <v/>
      </c>
      <c r="P191">
        <f>IF(B191="Supporting",MATCH(A191-1-Entity!$B$14,Values!$J$3:$J$502,0),"")</f>
        <v/>
      </c>
      <c r="Q191">
        <f>IF(C191="","",MATCH(C191,Attributes!$A$3:$A$52,0))</f>
        <v/>
      </c>
      <c r="R191">
        <f>IF(B191="Pillar",SUBSTITUTE(Entity!$B$7,"{entity}",LOWER(Entity!$B$3)),IF(B191="Cluster",IF(INDEX(Attributes!$G$3:$G$52,Q191)&lt;&gt;"",INDEX(Attributes!$G$3:$G$52,Q191),SUBSTITUTE(SUBSTITUTE(Entity!$B$8,"{entity}",LOWER(Entity!$B$3)),"{attribute}",LOWER(C191))),IF(B191="Supporting",SUBSTITUTE(SUBSTITUTE(SUBSTITUTE(IF(INDEX(Attributes!$H$3:$H$52,Q191)&lt;&gt;"",INDEX(Attributes!$H$3:$H$52,Q191),Entity!$B$9),"{entity}",LOWER(Entity!$B$3)),"{value}",D191),"{attribute}",LOWER(C191)),"")))</f>
        <v/>
      </c>
    </row>
    <row r="192">
      <c r="A192">
        <f>ROW()-2</f>
        <v/>
      </c>
      <c r="B192">
        <f>IF(A192=1,"Pillar",IF(A192&lt;=1+Entity!$B$14,"Cluster",IF(A192&lt;=1+Entity!$B$14+Entity!$B$15,"Supporting","")))</f>
        <v/>
      </c>
      <c r="C192">
        <f>IF(B192="Cluster",INDEX(Attributes!$A$3:$A$52,MATCH(A192-1,Attributes!$P$3:$P$52,0)),IF(B192="Supporting",INDEX(Values!$A$3:$A$502,P192),""))</f>
        <v/>
      </c>
      <c r="D192">
        <f>IF(B192="Supporting",INDEX(Values!$B$3:$B$502,P192),"")</f>
        <v/>
      </c>
      <c r="E192">
        <f>IF(R192="","",UPPER(LEFT(R192,1))&amp;MID(R192,2,500))</f>
        <v/>
      </c>
      <c r="F192">
        <f>IF(E192="","",LOWER(SUBSTITUTE(SUBSTITUTE(SUBSTITUTE(SUBSTITUTE(SUBSTITUTE(SUBSTITUTE(SUBSTITUTE(TRIM(E192),":",""),",",""),"'",""),"&amp;","and"),"£",""),"  "," ")," ","-")))</f>
        <v/>
      </c>
      <c r="G192">
        <f>IF(B192="Cluster",$E$3,IF(B192="Supporting",INDEX($E$3:$E$553,MATCH(C192,$C$3:$C$553,0)),""))</f>
        <v/>
      </c>
      <c r="H192">
        <f>IF(B192="Supporting",IFERROR(INDEX($E$3:$E$553,1+Entity!$B$14+INDEX(Values!$O$3:$O$502,P192)),""),IF(B192="Cluster",IF(Entity!$B$14&lt;2,"",INDEX($E$3:$E$553,IF(A192-1=Entity!$B$14,2,A192+1))),""))</f>
        <v/>
      </c>
      <c r="I192">
        <f>IF(B192="Pillar",Entity!$B$14&amp;" cluster pages",IF(B192="Cluster",(COUNTIF($C$3:$C$553,SUBSTITUTE(SUBSTITUTE(C192,"?","~?"),"*","~*"))-1)&amp;" supporting pages",""))</f>
        <v/>
      </c>
      <c r="J192">
        <f>IF(B192="Pillar","Informational",IF(OR(B192="Cluster",B192="Supporting"),INDEX(Attributes!$D$3:$D$52,Q192)&amp;"",""))</f>
        <v/>
      </c>
      <c r="K192">
        <f>IF(B192="","",IF(B192="Pillar","Pillar guide (entity hub)",IF(B192="Cluster","Hub page for this attribute",IF(INDEX(Values!$C$3:$C$502,P192)="Yes","Entity page (profile of the sub-entity)",IFERROR(INDEX(Lists!$B$3:$B$6,MATCH(J192,Lists!$A$3:$A$6,0)),"Article")))))</f>
        <v/>
      </c>
      <c r="L192">
        <f>IF(B192="Pillar",Entity!$B$6&amp;"",IF(B192="Cluster",INDEX(Attributes!$I$3:$I$52,Q192)&amp;"",IF(B192="Supporting",INDEX(Values!$F$3:$F$502,P192)&amp;"","")))</f>
        <v/>
      </c>
      <c r="M192">
        <f>IF(B192="","",IF(L192&lt;&gt;"","Covered","Gap"))</f>
        <v/>
      </c>
      <c r="N192">
        <f>IF(B192="Pillar",SUMIFS(Values!$E$3:$E$502,Values!$I$3:$I$502,"Yes"),IF(B192="Cluster",SUMIFS(Values!$E$3:$E$502,Values!$A$3:$A$502,SUBSTITUTE(SUBSTITUTE(C192,"?","~?"),"*","~*"),Values!$I$3:$I$502,"Yes"),IF(B192="Supporting",N(INDEX(Values!$E$3:$E$502,P192)),"")))</f>
        <v/>
      </c>
      <c r="O192">
        <f>IF(B192="","",IF(B192="Pillar",100,IF(B192="Cluster",N(INDEX(Attributes!$E$3:$E$52,Q192))*25+IF(M192="Gap",10,0),N(INDEX(Attributes!$E$3:$E$52,Q192))*20+MIN(20,ROUND(LOG10(N(N192)+1)*5,0))+IF(M192="Gap",10,0)+IF(INDEX(Values!$D$3:$D$502,P192)="Yes",5,0))))</f>
        <v/>
      </c>
      <c r="P192">
        <f>IF(B192="Supporting",MATCH(A192-1-Entity!$B$14,Values!$J$3:$J$502,0),"")</f>
        <v/>
      </c>
      <c r="Q192">
        <f>IF(C192="","",MATCH(C192,Attributes!$A$3:$A$52,0))</f>
        <v/>
      </c>
      <c r="R192">
        <f>IF(B192="Pillar",SUBSTITUTE(Entity!$B$7,"{entity}",LOWER(Entity!$B$3)),IF(B192="Cluster",IF(INDEX(Attributes!$G$3:$G$52,Q192)&lt;&gt;"",INDEX(Attributes!$G$3:$G$52,Q192),SUBSTITUTE(SUBSTITUTE(Entity!$B$8,"{entity}",LOWER(Entity!$B$3)),"{attribute}",LOWER(C192))),IF(B192="Supporting",SUBSTITUTE(SUBSTITUTE(SUBSTITUTE(IF(INDEX(Attributes!$H$3:$H$52,Q192)&lt;&gt;"",INDEX(Attributes!$H$3:$H$52,Q192),Entity!$B$9),"{entity}",LOWER(Entity!$B$3)),"{value}",D192),"{attribute}",LOWER(C192)),"")))</f>
        <v/>
      </c>
    </row>
    <row r="193">
      <c r="A193">
        <f>ROW()-2</f>
        <v/>
      </c>
      <c r="B193">
        <f>IF(A193=1,"Pillar",IF(A193&lt;=1+Entity!$B$14,"Cluster",IF(A193&lt;=1+Entity!$B$14+Entity!$B$15,"Supporting","")))</f>
        <v/>
      </c>
      <c r="C193">
        <f>IF(B193="Cluster",INDEX(Attributes!$A$3:$A$52,MATCH(A193-1,Attributes!$P$3:$P$52,0)),IF(B193="Supporting",INDEX(Values!$A$3:$A$502,P193),""))</f>
        <v/>
      </c>
      <c r="D193">
        <f>IF(B193="Supporting",INDEX(Values!$B$3:$B$502,P193),"")</f>
        <v/>
      </c>
      <c r="E193">
        <f>IF(R193="","",UPPER(LEFT(R193,1))&amp;MID(R193,2,500))</f>
        <v/>
      </c>
      <c r="F193">
        <f>IF(E193="","",LOWER(SUBSTITUTE(SUBSTITUTE(SUBSTITUTE(SUBSTITUTE(SUBSTITUTE(SUBSTITUTE(SUBSTITUTE(TRIM(E193),":",""),",",""),"'",""),"&amp;","and"),"£",""),"  "," ")," ","-")))</f>
        <v/>
      </c>
      <c r="G193">
        <f>IF(B193="Cluster",$E$3,IF(B193="Supporting",INDEX($E$3:$E$553,MATCH(C193,$C$3:$C$553,0)),""))</f>
        <v/>
      </c>
      <c r="H193">
        <f>IF(B193="Supporting",IFERROR(INDEX($E$3:$E$553,1+Entity!$B$14+INDEX(Values!$O$3:$O$502,P193)),""),IF(B193="Cluster",IF(Entity!$B$14&lt;2,"",INDEX($E$3:$E$553,IF(A193-1=Entity!$B$14,2,A193+1))),""))</f>
        <v/>
      </c>
      <c r="I193">
        <f>IF(B193="Pillar",Entity!$B$14&amp;" cluster pages",IF(B193="Cluster",(COUNTIF($C$3:$C$553,SUBSTITUTE(SUBSTITUTE(C193,"?","~?"),"*","~*"))-1)&amp;" supporting pages",""))</f>
        <v/>
      </c>
      <c r="J193">
        <f>IF(B193="Pillar","Informational",IF(OR(B193="Cluster",B193="Supporting"),INDEX(Attributes!$D$3:$D$52,Q193)&amp;"",""))</f>
        <v/>
      </c>
      <c r="K193">
        <f>IF(B193="","",IF(B193="Pillar","Pillar guide (entity hub)",IF(B193="Cluster","Hub page for this attribute",IF(INDEX(Values!$C$3:$C$502,P193)="Yes","Entity page (profile of the sub-entity)",IFERROR(INDEX(Lists!$B$3:$B$6,MATCH(J193,Lists!$A$3:$A$6,0)),"Article")))))</f>
        <v/>
      </c>
      <c r="L193">
        <f>IF(B193="Pillar",Entity!$B$6&amp;"",IF(B193="Cluster",INDEX(Attributes!$I$3:$I$52,Q193)&amp;"",IF(B193="Supporting",INDEX(Values!$F$3:$F$502,P193)&amp;"","")))</f>
        <v/>
      </c>
      <c r="M193">
        <f>IF(B193="","",IF(L193&lt;&gt;"","Covered","Gap"))</f>
        <v/>
      </c>
      <c r="N193">
        <f>IF(B193="Pillar",SUMIFS(Values!$E$3:$E$502,Values!$I$3:$I$502,"Yes"),IF(B193="Cluster",SUMIFS(Values!$E$3:$E$502,Values!$A$3:$A$502,SUBSTITUTE(SUBSTITUTE(C193,"?","~?"),"*","~*"),Values!$I$3:$I$502,"Yes"),IF(B193="Supporting",N(INDEX(Values!$E$3:$E$502,P193)),"")))</f>
        <v/>
      </c>
      <c r="O193">
        <f>IF(B193="","",IF(B193="Pillar",100,IF(B193="Cluster",N(INDEX(Attributes!$E$3:$E$52,Q193))*25+IF(M193="Gap",10,0),N(INDEX(Attributes!$E$3:$E$52,Q193))*20+MIN(20,ROUND(LOG10(N(N193)+1)*5,0))+IF(M193="Gap",10,0)+IF(INDEX(Values!$D$3:$D$502,P193)="Yes",5,0))))</f>
        <v/>
      </c>
      <c r="P193">
        <f>IF(B193="Supporting",MATCH(A193-1-Entity!$B$14,Values!$J$3:$J$502,0),"")</f>
        <v/>
      </c>
      <c r="Q193">
        <f>IF(C193="","",MATCH(C193,Attributes!$A$3:$A$52,0))</f>
        <v/>
      </c>
      <c r="R193">
        <f>IF(B193="Pillar",SUBSTITUTE(Entity!$B$7,"{entity}",LOWER(Entity!$B$3)),IF(B193="Cluster",IF(INDEX(Attributes!$G$3:$G$52,Q193)&lt;&gt;"",INDEX(Attributes!$G$3:$G$52,Q193),SUBSTITUTE(SUBSTITUTE(Entity!$B$8,"{entity}",LOWER(Entity!$B$3)),"{attribute}",LOWER(C193))),IF(B193="Supporting",SUBSTITUTE(SUBSTITUTE(SUBSTITUTE(IF(INDEX(Attributes!$H$3:$H$52,Q193)&lt;&gt;"",INDEX(Attributes!$H$3:$H$52,Q193),Entity!$B$9),"{entity}",LOWER(Entity!$B$3)),"{value}",D193),"{attribute}",LOWER(C193)),"")))</f>
        <v/>
      </c>
    </row>
    <row r="194">
      <c r="A194">
        <f>ROW()-2</f>
        <v/>
      </c>
      <c r="B194">
        <f>IF(A194=1,"Pillar",IF(A194&lt;=1+Entity!$B$14,"Cluster",IF(A194&lt;=1+Entity!$B$14+Entity!$B$15,"Supporting","")))</f>
        <v/>
      </c>
      <c r="C194">
        <f>IF(B194="Cluster",INDEX(Attributes!$A$3:$A$52,MATCH(A194-1,Attributes!$P$3:$P$52,0)),IF(B194="Supporting",INDEX(Values!$A$3:$A$502,P194),""))</f>
        <v/>
      </c>
      <c r="D194">
        <f>IF(B194="Supporting",INDEX(Values!$B$3:$B$502,P194),"")</f>
        <v/>
      </c>
      <c r="E194">
        <f>IF(R194="","",UPPER(LEFT(R194,1))&amp;MID(R194,2,500))</f>
        <v/>
      </c>
      <c r="F194">
        <f>IF(E194="","",LOWER(SUBSTITUTE(SUBSTITUTE(SUBSTITUTE(SUBSTITUTE(SUBSTITUTE(SUBSTITUTE(SUBSTITUTE(TRIM(E194),":",""),",",""),"'",""),"&amp;","and"),"£",""),"  "," ")," ","-")))</f>
        <v/>
      </c>
      <c r="G194">
        <f>IF(B194="Cluster",$E$3,IF(B194="Supporting",INDEX($E$3:$E$553,MATCH(C194,$C$3:$C$553,0)),""))</f>
        <v/>
      </c>
      <c r="H194">
        <f>IF(B194="Supporting",IFERROR(INDEX($E$3:$E$553,1+Entity!$B$14+INDEX(Values!$O$3:$O$502,P194)),""),IF(B194="Cluster",IF(Entity!$B$14&lt;2,"",INDEX($E$3:$E$553,IF(A194-1=Entity!$B$14,2,A194+1))),""))</f>
        <v/>
      </c>
      <c r="I194">
        <f>IF(B194="Pillar",Entity!$B$14&amp;" cluster pages",IF(B194="Cluster",(COUNTIF($C$3:$C$553,SUBSTITUTE(SUBSTITUTE(C194,"?","~?"),"*","~*"))-1)&amp;" supporting pages",""))</f>
        <v/>
      </c>
      <c r="J194">
        <f>IF(B194="Pillar","Informational",IF(OR(B194="Cluster",B194="Supporting"),INDEX(Attributes!$D$3:$D$52,Q194)&amp;"",""))</f>
        <v/>
      </c>
      <c r="K194">
        <f>IF(B194="","",IF(B194="Pillar","Pillar guide (entity hub)",IF(B194="Cluster","Hub page for this attribute",IF(INDEX(Values!$C$3:$C$502,P194)="Yes","Entity page (profile of the sub-entity)",IFERROR(INDEX(Lists!$B$3:$B$6,MATCH(J194,Lists!$A$3:$A$6,0)),"Article")))))</f>
        <v/>
      </c>
      <c r="L194">
        <f>IF(B194="Pillar",Entity!$B$6&amp;"",IF(B194="Cluster",INDEX(Attributes!$I$3:$I$52,Q194)&amp;"",IF(B194="Supporting",INDEX(Values!$F$3:$F$502,P194)&amp;"","")))</f>
        <v/>
      </c>
      <c r="M194">
        <f>IF(B194="","",IF(L194&lt;&gt;"","Covered","Gap"))</f>
        <v/>
      </c>
      <c r="N194">
        <f>IF(B194="Pillar",SUMIFS(Values!$E$3:$E$502,Values!$I$3:$I$502,"Yes"),IF(B194="Cluster",SUMIFS(Values!$E$3:$E$502,Values!$A$3:$A$502,SUBSTITUTE(SUBSTITUTE(C194,"?","~?"),"*","~*"),Values!$I$3:$I$502,"Yes"),IF(B194="Supporting",N(INDEX(Values!$E$3:$E$502,P194)),"")))</f>
        <v/>
      </c>
      <c r="O194">
        <f>IF(B194="","",IF(B194="Pillar",100,IF(B194="Cluster",N(INDEX(Attributes!$E$3:$E$52,Q194))*25+IF(M194="Gap",10,0),N(INDEX(Attributes!$E$3:$E$52,Q194))*20+MIN(20,ROUND(LOG10(N(N194)+1)*5,0))+IF(M194="Gap",10,0)+IF(INDEX(Values!$D$3:$D$502,P194)="Yes",5,0))))</f>
        <v/>
      </c>
      <c r="P194">
        <f>IF(B194="Supporting",MATCH(A194-1-Entity!$B$14,Values!$J$3:$J$502,0),"")</f>
        <v/>
      </c>
      <c r="Q194">
        <f>IF(C194="","",MATCH(C194,Attributes!$A$3:$A$52,0))</f>
        <v/>
      </c>
      <c r="R194">
        <f>IF(B194="Pillar",SUBSTITUTE(Entity!$B$7,"{entity}",LOWER(Entity!$B$3)),IF(B194="Cluster",IF(INDEX(Attributes!$G$3:$G$52,Q194)&lt;&gt;"",INDEX(Attributes!$G$3:$G$52,Q194),SUBSTITUTE(SUBSTITUTE(Entity!$B$8,"{entity}",LOWER(Entity!$B$3)),"{attribute}",LOWER(C194))),IF(B194="Supporting",SUBSTITUTE(SUBSTITUTE(SUBSTITUTE(IF(INDEX(Attributes!$H$3:$H$52,Q194)&lt;&gt;"",INDEX(Attributes!$H$3:$H$52,Q194),Entity!$B$9),"{entity}",LOWER(Entity!$B$3)),"{value}",D194),"{attribute}",LOWER(C194)),"")))</f>
        <v/>
      </c>
    </row>
    <row r="195">
      <c r="A195">
        <f>ROW()-2</f>
        <v/>
      </c>
      <c r="B195">
        <f>IF(A195=1,"Pillar",IF(A195&lt;=1+Entity!$B$14,"Cluster",IF(A195&lt;=1+Entity!$B$14+Entity!$B$15,"Supporting","")))</f>
        <v/>
      </c>
      <c r="C195">
        <f>IF(B195="Cluster",INDEX(Attributes!$A$3:$A$52,MATCH(A195-1,Attributes!$P$3:$P$52,0)),IF(B195="Supporting",INDEX(Values!$A$3:$A$502,P195),""))</f>
        <v/>
      </c>
      <c r="D195">
        <f>IF(B195="Supporting",INDEX(Values!$B$3:$B$502,P195),"")</f>
        <v/>
      </c>
      <c r="E195">
        <f>IF(R195="","",UPPER(LEFT(R195,1))&amp;MID(R195,2,500))</f>
        <v/>
      </c>
      <c r="F195">
        <f>IF(E195="","",LOWER(SUBSTITUTE(SUBSTITUTE(SUBSTITUTE(SUBSTITUTE(SUBSTITUTE(SUBSTITUTE(SUBSTITUTE(TRIM(E195),":",""),",",""),"'",""),"&amp;","and"),"£",""),"  "," ")," ","-")))</f>
        <v/>
      </c>
      <c r="G195">
        <f>IF(B195="Cluster",$E$3,IF(B195="Supporting",INDEX($E$3:$E$553,MATCH(C195,$C$3:$C$553,0)),""))</f>
        <v/>
      </c>
      <c r="H195">
        <f>IF(B195="Supporting",IFERROR(INDEX($E$3:$E$553,1+Entity!$B$14+INDEX(Values!$O$3:$O$502,P195)),""),IF(B195="Cluster",IF(Entity!$B$14&lt;2,"",INDEX($E$3:$E$553,IF(A195-1=Entity!$B$14,2,A195+1))),""))</f>
        <v/>
      </c>
      <c r="I195">
        <f>IF(B195="Pillar",Entity!$B$14&amp;" cluster pages",IF(B195="Cluster",(COUNTIF($C$3:$C$553,SUBSTITUTE(SUBSTITUTE(C195,"?","~?"),"*","~*"))-1)&amp;" supporting pages",""))</f>
        <v/>
      </c>
      <c r="J195">
        <f>IF(B195="Pillar","Informational",IF(OR(B195="Cluster",B195="Supporting"),INDEX(Attributes!$D$3:$D$52,Q195)&amp;"",""))</f>
        <v/>
      </c>
      <c r="K195">
        <f>IF(B195="","",IF(B195="Pillar","Pillar guide (entity hub)",IF(B195="Cluster","Hub page for this attribute",IF(INDEX(Values!$C$3:$C$502,P195)="Yes","Entity page (profile of the sub-entity)",IFERROR(INDEX(Lists!$B$3:$B$6,MATCH(J195,Lists!$A$3:$A$6,0)),"Article")))))</f>
        <v/>
      </c>
      <c r="L195">
        <f>IF(B195="Pillar",Entity!$B$6&amp;"",IF(B195="Cluster",INDEX(Attributes!$I$3:$I$52,Q195)&amp;"",IF(B195="Supporting",INDEX(Values!$F$3:$F$502,P195)&amp;"","")))</f>
        <v/>
      </c>
      <c r="M195">
        <f>IF(B195="","",IF(L195&lt;&gt;"","Covered","Gap"))</f>
        <v/>
      </c>
      <c r="N195">
        <f>IF(B195="Pillar",SUMIFS(Values!$E$3:$E$502,Values!$I$3:$I$502,"Yes"),IF(B195="Cluster",SUMIFS(Values!$E$3:$E$502,Values!$A$3:$A$502,SUBSTITUTE(SUBSTITUTE(C195,"?","~?"),"*","~*"),Values!$I$3:$I$502,"Yes"),IF(B195="Supporting",N(INDEX(Values!$E$3:$E$502,P195)),"")))</f>
        <v/>
      </c>
      <c r="O195">
        <f>IF(B195="","",IF(B195="Pillar",100,IF(B195="Cluster",N(INDEX(Attributes!$E$3:$E$52,Q195))*25+IF(M195="Gap",10,0),N(INDEX(Attributes!$E$3:$E$52,Q195))*20+MIN(20,ROUND(LOG10(N(N195)+1)*5,0))+IF(M195="Gap",10,0)+IF(INDEX(Values!$D$3:$D$502,P195)="Yes",5,0))))</f>
        <v/>
      </c>
      <c r="P195">
        <f>IF(B195="Supporting",MATCH(A195-1-Entity!$B$14,Values!$J$3:$J$502,0),"")</f>
        <v/>
      </c>
      <c r="Q195">
        <f>IF(C195="","",MATCH(C195,Attributes!$A$3:$A$52,0))</f>
        <v/>
      </c>
      <c r="R195">
        <f>IF(B195="Pillar",SUBSTITUTE(Entity!$B$7,"{entity}",LOWER(Entity!$B$3)),IF(B195="Cluster",IF(INDEX(Attributes!$G$3:$G$52,Q195)&lt;&gt;"",INDEX(Attributes!$G$3:$G$52,Q195),SUBSTITUTE(SUBSTITUTE(Entity!$B$8,"{entity}",LOWER(Entity!$B$3)),"{attribute}",LOWER(C195))),IF(B195="Supporting",SUBSTITUTE(SUBSTITUTE(SUBSTITUTE(IF(INDEX(Attributes!$H$3:$H$52,Q195)&lt;&gt;"",INDEX(Attributes!$H$3:$H$52,Q195),Entity!$B$9),"{entity}",LOWER(Entity!$B$3)),"{value}",D195),"{attribute}",LOWER(C195)),"")))</f>
        <v/>
      </c>
    </row>
    <row r="196">
      <c r="A196">
        <f>ROW()-2</f>
        <v/>
      </c>
      <c r="B196">
        <f>IF(A196=1,"Pillar",IF(A196&lt;=1+Entity!$B$14,"Cluster",IF(A196&lt;=1+Entity!$B$14+Entity!$B$15,"Supporting","")))</f>
        <v/>
      </c>
      <c r="C196">
        <f>IF(B196="Cluster",INDEX(Attributes!$A$3:$A$52,MATCH(A196-1,Attributes!$P$3:$P$52,0)),IF(B196="Supporting",INDEX(Values!$A$3:$A$502,P196),""))</f>
        <v/>
      </c>
      <c r="D196">
        <f>IF(B196="Supporting",INDEX(Values!$B$3:$B$502,P196),"")</f>
        <v/>
      </c>
      <c r="E196">
        <f>IF(R196="","",UPPER(LEFT(R196,1))&amp;MID(R196,2,500))</f>
        <v/>
      </c>
      <c r="F196">
        <f>IF(E196="","",LOWER(SUBSTITUTE(SUBSTITUTE(SUBSTITUTE(SUBSTITUTE(SUBSTITUTE(SUBSTITUTE(SUBSTITUTE(TRIM(E196),":",""),",",""),"'",""),"&amp;","and"),"£",""),"  "," ")," ","-")))</f>
        <v/>
      </c>
      <c r="G196">
        <f>IF(B196="Cluster",$E$3,IF(B196="Supporting",INDEX($E$3:$E$553,MATCH(C196,$C$3:$C$553,0)),""))</f>
        <v/>
      </c>
      <c r="H196">
        <f>IF(B196="Supporting",IFERROR(INDEX($E$3:$E$553,1+Entity!$B$14+INDEX(Values!$O$3:$O$502,P196)),""),IF(B196="Cluster",IF(Entity!$B$14&lt;2,"",INDEX($E$3:$E$553,IF(A196-1=Entity!$B$14,2,A196+1))),""))</f>
        <v/>
      </c>
      <c r="I196">
        <f>IF(B196="Pillar",Entity!$B$14&amp;" cluster pages",IF(B196="Cluster",(COUNTIF($C$3:$C$553,SUBSTITUTE(SUBSTITUTE(C196,"?","~?"),"*","~*"))-1)&amp;" supporting pages",""))</f>
        <v/>
      </c>
      <c r="J196">
        <f>IF(B196="Pillar","Informational",IF(OR(B196="Cluster",B196="Supporting"),INDEX(Attributes!$D$3:$D$52,Q196)&amp;"",""))</f>
        <v/>
      </c>
      <c r="K196">
        <f>IF(B196="","",IF(B196="Pillar","Pillar guide (entity hub)",IF(B196="Cluster","Hub page for this attribute",IF(INDEX(Values!$C$3:$C$502,P196)="Yes","Entity page (profile of the sub-entity)",IFERROR(INDEX(Lists!$B$3:$B$6,MATCH(J196,Lists!$A$3:$A$6,0)),"Article")))))</f>
        <v/>
      </c>
      <c r="L196">
        <f>IF(B196="Pillar",Entity!$B$6&amp;"",IF(B196="Cluster",INDEX(Attributes!$I$3:$I$52,Q196)&amp;"",IF(B196="Supporting",INDEX(Values!$F$3:$F$502,P196)&amp;"","")))</f>
        <v/>
      </c>
      <c r="M196">
        <f>IF(B196="","",IF(L196&lt;&gt;"","Covered","Gap"))</f>
        <v/>
      </c>
      <c r="N196">
        <f>IF(B196="Pillar",SUMIFS(Values!$E$3:$E$502,Values!$I$3:$I$502,"Yes"),IF(B196="Cluster",SUMIFS(Values!$E$3:$E$502,Values!$A$3:$A$502,SUBSTITUTE(SUBSTITUTE(C196,"?","~?"),"*","~*"),Values!$I$3:$I$502,"Yes"),IF(B196="Supporting",N(INDEX(Values!$E$3:$E$502,P196)),"")))</f>
        <v/>
      </c>
      <c r="O196">
        <f>IF(B196="","",IF(B196="Pillar",100,IF(B196="Cluster",N(INDEX(Attributes!$E$3:$E$52,Q196))*25+IF(M196="Gap",10,0),N(INDEX(Attributes!$E$3:$E$52,Q196))*20+MIN(20,ROUND(LOG10(N(N196)+1)*5,0))+IF(M196="Gap",10,0)+IF(INDEX(Values!$D$3:$D$502,P196)="Yes",5,0))))</f>
        <v/>
      </c>
      <c r="P196">
        <f>IF(B196="Supporting",MATCH(A196-1-Entity!$B$14,Values!$J$3:$J$502,0),"")</f>
        <v/>
      </c>
      <c r="Q196">
        <f>IF(C196="","",MATCH(C196,Attributes!$A$3:$A$52,0))</f>
        <v/>
      </c>
      <c r="R196">
        <f>IF(B196="Pillar",SUBSTITUTE(Entity!$B$7,"{entity}",LOWER(Entity!$B$3)),IF(B196="Cluster",IF(INDEX(Attributes!$G$3:$G$52,Q196)&lt;&gt;"",INDEX(Attributes!$G$3:$G$52,Q196),SUBSTITUTE(SUBSTITUTE(Entity!$B$8,"{entity}",LOWER(Entity!$B$3)),"{attribute}",LOWER(C196))),IF(B196="Supporting",SUBSTITUTE(SUBSTITUTE(SUBSTITUTE(IF(INDEX(Attributes!$H$3:$H$52,Q196)&lt;&gt;"",INDEX(Attributes!$H$3:$H$52,Q196),Entity!$B$9),"{entity}",LOWER(Entity!$B$3)),"{value}",D196),"{attribute}",LOWER(C196)),"")))</f>
        <v/>
      </c>
    </row>
    <row r="197">
      <c r="A197">
        <f>ROW()-2</f>
        <v/>
      </c>
      <c r="B197">
        <f>IF(A197=1,"Pillar",IF(A197&lt;=1+Entity!$B$14,"Cluster",IF(A197&lt;=1+Entity!$B$14+Entity!$B$15,"Supporting","")))</f>
        <v/>
      </c>
      <c r="C197">
        <f>IF(B197="Cluster",INDEX(Attributes!$A$3:$A$52,MATCH(A197-1,Attributes!$P$3:$P$52,0)),IF(B197="Supporting",INDEX(Values!$A$3:$A$502,P197),""))</f>
        <v/>
      </c>
      <c r="D197">
        <f>IF(B197="Supporting",INDEX(Values!$B$3:$B$502,P197),"")</f>
        <v/>
      </c>
      <c r="E197">
        <f>IF(R197="","",UPPER(LEFT(R197,1))&amp;MID(R197,2,500))</f>
        <v/>
      </c>
      <c r="F197">
        <f>IF(E197="","",LOWER(SUBSTITUTE(SUBSTITUTE(SUBSTITUTE(SUBSTITUTE(SUBSTITUTE(SUBSTITUTE(SUBSTITUTE(TRIM(E197),":",""),",",""),"'",""),"&amp;","and"),"£",""),"  "," ")," ","-")))</f>
        <v/>
      </c>
      <c r="G197">
        <f>IF(B197="Cluster",$E$3,IF(B197="Supporting",INDEX($E$3:$E$553,MATCH(C197,$C$3:$C$553,0)),""))</f>
        <v/>
      </c>
      <c r="H197">
        <f>IF(B197="Supporting",IFERROR(INDEX($E$3:$E$553,1+Entity!$B$14+INDEX(Values!$O$3:$O$502,P197)),""),IF(B197="Cluster",IF(Entity!$B$14&lt;2,"",INDEX($E$3:$E$553,IF(A197-1=Entity!$B$14,2,A197+1))),""))</f>
        <v/>
      </c>
      <c r="I197">
        <f>IF(B197="Pillar",Entity!$B$14&amp;" cluster pages",IF(B197="Cluster",(COUNTIF($C$3:$C$553,SUBSTITUTE(SUBSTITUTE(C197,"?","~?"),"*","~*"))-1)&amp;" supporting pages",""))</f>
        <v/>
      </c>
      <c r="J197">
        <f>IF(B197="Pillar","Informational",IF(OR(B197="Cluster",B197="Supporting"),INDEX(Attributes!$D$3:$D$52,Q197)&amp;"",""))</f>
        <v/>
      </c>
      <c r="K197">
        <f>IF(B197="","",IF(B197="Pillar","Pillar guide (entity hub)",IF(B197="Cluster","Hub page for this attribute",IF(INDEX(Values!$C$3:$C$502,P197)="Yes","Entity page (profile of the sub-entity)",IFERROR(INDEX(Lists!$B$3:$B$6,MATCH(J197,Lists!$A$3:$A$6,0)),"Article")))))</f>
        <v/>
      </c>
      <c r="L197">
        <f>IF(B197="Pillar",Entity!$B$6&amp;"",IF(B197="Cluster",INDEX(Attributes!$I$3:$I$52,Q197)&amp;"",IF(B197="Supporting",INDEX(Values!$F$3:$F$502,P197)&amp;"","")))</f>
        <v/>
      </c>
      <c r="M197">
        <f>IF(B197="","",IF(L197&lt;&gt;"","Covered","Gap"))</f>
        <v/>
      </c>
      <c r="N197">
        <f>IF(B197="Pillar",SUMIFS(Values!$E$3:$E$502,Values!$I$3:$I$502,"Yes"),IF(B197="Cluster",SUMIFS(Values!$E$3:$E$502,Values!$A$3:$A$502,SUBSTITUTE(SUBSTITUTE(C197,"?","~?"),"*","~*"),Values!$I$3:$I$502,"Yes"),IF(B197="Supporting",N(INDEX(Values!$E$3:$E$502,P197)),"")))</f>
        <v/>
      </c>
      <c r="O197">
        <f>IF(B197="","",IF(B197="Pillar",100,IF(B197="Cluster",N(INDEX(Attributes!$E$3:$E$52,Q197))*25+IF(M197="Gap",10,0),N(INDEX(Attributes!$E$3:$E$52,Q197))*20+MIN(20,ROUND(LOG10(N(N197)+1)*5,0))+IF(M197="Gap",10,0)+IF(INDEX(Values!$D$3:$D$502,P197)="Yes",5,0))))</f>
        <v/>
      </c>
      <c r="P197">
        <f>IF(B197="Supporting",MATCH(A197-1-Entity!$B$14,Values!$J$3:$J$502,0),"")</f>
        <v/>
      </c>
      <c r="Q197">
        <f>IF(C197="","",MATCH(C197,Attributes!$A$3:$A$52,0))</f>
        <v/>
      </c>
      <c r="R197">
        <f>IF(B197="Pillar",SUBSTITUTE(Entity!$B$7,"{entity}",LOWER(Entity!$B$3)),IF(B197="Cluster",IF(INDEX(Attributes!$G$3:$G$52,Q197)&lt;&gt;"",INDEX(Attributes!$G$3:$G$52,Q197),SUBSTITUTE(SUBSTITUTE(Entity!$B$8,"{entity}",LOWER(Entity!$B$3)),"{attribute}",LOWER(C197))),IF(B197="Supporting",SUBSTITUTE(SUBSTITUTE(SUBSTITUTE(IF(INDEX(Attributes!$H$3:$H$52,Q197)&lt;&gt;"",INDEX(Attributes!$H$3:$H$52,Q197),Entity!$B$9),"{entity}",LOWER(Entity!$B$3)),"{value}",D197),"{attribute}",LOWER(C197)),"")))</f>
        <v/>
      </c>
    </row>
    <row r="198">
      <c r="A198">
        <f>ROW()-2</f>
        <v/>
      </c>
      <c r="B198">
        <f>IF(A198=1,"Pillar",IF(A198&lt;=1+Entity!$B$14,"Cluster",IF(A198&lt;=1+Entity!$B$14+Entity!$B$15,"Supporting","")))</f>
        <v/>
      </c>
      <c r="C198">
        <f>IF(B198="Cluster",INDEX(Attributes!$A$3:$A$52,MATCH(A198-1,Attributes!$P$3:$P$52,0)),IF(B198="Supporting",INDEX(Values!$A$3:$A$502,P198),""))</f>
        <v/>
      </c>
      <c r="D198">
        <f>IF(B198="Supporting",INDEX(Values!$B$3:$B$502,P198),"")</f>
        <v/>
      </c>
      <c r="E198">
        <f>IF(R198="","",UPPER(LEFT(R198,1))&amp;MID(R198,2,500))</f>
        <v/>
      </c>
      <c r="F198">
        <f>IF(E198="","",LOWER(SUBSTITUTE(SUBSTITUTE(SUBSTITUTE(SUBSTITUTE(SUBSTITUTE(SUBSTITUTE(SUBSTITUTE(TRIM(E198),":",""),",",""),"'",""),"&amp;","and"),"£",""),"  "," ")," ","-")))</f>
        <v/>
      </c>
      <c r="G198">
        <f>IF(B198="Cluster",$E$3,IF(B198="Supporting",INDEX($E$3:$E$553,MATCH(C198,$C$3:$C$553,0)),""))</f>
        <v/>
      </c>
      <c r="H198">
        <f>IF(B198="Supporting",IFERROR(INDEX($E$3:$E$553,1+Entity!$B$14+INDEX(Values!$O$3:$O$502,P198)),""),IF(B198="Cluster",IF(Entity!$B$14&lt;2,"",INDEX($E$3:$E$553,IF(A198-1=Entity!$B$14,2,A198+1))),""))</f>
        <v/>
      </c>
      <c r="I198">
        <f>IF(B198="Pillar",Entity!$B$14&amp;" cluster pages",IF(B198="Cluster",(COUNTIF($C$3:$C$553,SUBSTITUTE(SUBSTITUTE(C198,"?","~?"),"*","~*"))-1)&amp;" supporting pages",""))</f>
        <v/>
      </c>
      <c r="J198">
        <f>IF(B198="Pillar","Informational",IF(OR(B198="Cluster",B198="Supporting"),INDEX(Attributes!$D$3:$D$52,Q198)&amp;"",""))</f>
        <v/>
      </c>
      <c r="K198">
        <f>IF(B198="","",IF(B198="Pillar","Pillar guide (entity hub)",IF(B198="Cluster","Hub page for this attribute",IF(INDEX(Values!$C$3:$C$502,P198)="Yes","Entity page (profile of the sub-entity)",IFERROR(INDEX(Lists!$B$3:$B$6,MATCH(J198,Lists!$A$3:$A$6,0)),"Article")))))</f>
        <v/>
      </c>
      <c r="L198">
        <f>IF(B198="Pillar",Entity!$B$6&amp;"",IF(B198="Cluster",INDEX(Attributes!$I$3:$I$52,Q198)&amp;"",IF(B198="Supporting",INDEX(Values!$F$3:$F$502,P198)&amp;"","")))</f>
        <v/>
      </c>
      <c r="M198">
        <f>IF(B198="","",IF(L198&lt;&gt;"","Covered","Gap"))</f>
        <v/>
      </c>
      <c r="N198">
        <f>IF(B198="Pillar",SUMIFS(Values!$E$3:$E$502,Values!$I$3:$I$502,"Yes"),IF(B198="Cluster",SUMIFS(Values!$E$3:$E$502,Values!$A$3:$A$502,SUBSTITUTE(SUBSTITUTE(C198,"?","~?"),"*","~*"),Values!$I$3:$I$502,"Yes"),IF(B198="Supporting",N(INDEX(Values!$E$3:$E$502,P198)),"")))</f>
        <v/>
      </c>
      <c r="O198">
        <f>IF(B198="","",IF(B198="Pillar",100,IF(B198="Cluster",N(INDEX(Attributes!$E$3:$E$52,Q198))*25+IF(M198="Gap",10,0),N(INDEX(Attributes!$E$3:$E$52,Q198))*20+MIN(20,ROUND(LOG10(N(N198)+1)*5,0))+IF(M198="Gap",10,0)+IF(INDEX(Values!$D$3:$D$502,P198)="Yes",5,0))))</f>
        <v/>
      </c>
      <c r="P198">
        <f>IF(B198="Supporting",MATCH(A198-1-Entity!$B$14,Values!$J$3:$J$502,0),"")</f>
        <v/>
      </c>
      <c r="Q198">
        <f>IF(C198="","",MATCH(C198,Attributes!$A$3:$A$52,0))</f>
        <v/>
      </c>
      <c r="R198">
        <f>IF(B198="Pillar",SUBSTITUTE(Entity!$B$7,"{entity}",LOWER(Entity!$B$3)),IF(B198="Cluster",IF(INDEX(Attributes!$G$3:$G$52,Q198)&lt;&gt;"",INDEX(Attributes!$G$3:$G$52,Q198),SUBSTITUTE(SUBSTITUTE(Entity!$B$8,"{entity}",LOWER(Entity!$B$3)),"{attribute}",LOWER(C198))),IF(B198="Supporting",SUBSTITUTE(SUBSTITUTE(SUBSTITUTE(IF(INDEX(Attributes!$H$3:$H$52,Q198)&lt;&gt;"",INDEX(Attributes!$H$3:$H$52,Q198),Entity!$B$9),"{entity}",LOWER(Entity!$B$3)),"{value}",D198),"{attribute}",LOWER(C198)),"")))</f>
        <v/>
      </c>
    </row>
    <row r="199">
      <c r="A199">
        <f>ROW()-2</f>
        <v/>
      </c>
      <c r="B199">
        <f>IF(A199=1,"Pillar",IF(A199&lt;=1+Entity!$B$14,"Cluster",IF(A199&lt;=1+Entity!$B$14+Entity!$B$15,"Supporting","")))</f>
        <v/>
      </c>
      <c r="C199">
        <f>IF(B199="Cluster",INDEX(Attributes!$A$3:$A$52,MATCH(A199-1,Attributes!$P$3:$P$52,0)),IF(B199="Supporting",INDEX(Values!$A$3:$A$502,P199),""))</f>
        <v/>
      </c>
      <c r="D199">
        <f>IF(B199="Supporting",INDEX(Values!$B$3:$B$502,P199),"")</f>
        <v/>
      </c>
      <c r="E199">
        <f>IF(R199="","",UPPER(LEFT(R199,1))&amp;MID(R199,2,500))</f>
        <v/>
      </c>
      <c r="F199">
        <f>IF(E199="","",LOWER(SUBSTITUTE(SUBSTITUTE(SUBSTITUTE(SUBSTITUTE(SUBSTITUTE(SUBSTITUTE(SUBSTITUTE(TRIM(E199),":",""),",",""),"'",""),"&amp;","and"),"£",""),"  "," ")," ","-")))</f>
        <v/>
      </c>
      <c r="G199">
        <f>IF(B199="Cluster",$E$3,IF(B199="Supporting",INDEX($E$3:$E$553,MATCH(C199,$C$3:$C$553,0)),""))</f>
        <v/>
      </c>
      <c r="H199">
        <f>IF(B199="Supporting",IFERROR(INDEX($E$3:$E$553,1+Entity!$B$14+INDEX(Values!$O$3:$O$502,P199)),""),IF(B199="Cluster",IF(Entity!$B$14&lt;2,"",INDEX($E$3:$E$553,IF(A199-1=Entity!$B$14,2,A199+1))),""))</f>
        <v/>
      </c>
      <c r="I199">
        <f>IF(B199="Pillar",Entity!$B$14&amp;" cluster pages",IF(B199="Cluster",(COUNTIF($C$3:$C$553,SUBSTITUTE(SUBSTITUTE(C199,"?","~?"),"*","~*"))-1)&amp;" supporting pages",""))</f>
        <v/>
      </c>
      <c r="J199">
        <f>IF(B199="Pillar","Informational",IF(OR(B199="Cluster",B199="Supporting"),INDEX(Attributes!$D$3:$D$52,Q199)&amp;"",""))</f>
        <v/>
      </c>
      <c r="K199">
        <f>IF(B199="","",IF(B199="Pillar","Pillar guide (entity hub)",IF(B199="Cluster","Hub page for this attribute",IF(INDEX(Values!$C$3:$C$502,P199)="Yes","Entity page (profile of the sub-entity)",IFERROR(INDEX(Lists!$B$3:$B$6,MATCH(J199,Lists!$A$3:$A$6,0)),"Article")))))</f>
        <v/>
      </c>
      <c r="L199">
        <f>IF(B199="Pillar",Entity!$B$6&amp;"",IF(B199="Cluster",INDEX(Attributes!$I$3:$I$52,Q199)&amp;"",IF(B199="Supporting",INDEX(Values!$F$3:$F$502,P199)&amp;"","")))</f>
        <v/>
      </c>
      <c r="M199">
        <f>IF(B199="","",IF(L199&lt;&gt;"","Covered","Gap"))</f>
        <v/>
      </c>
      <c r="N199">
        <f>IF(B199="Pillar",SUMIFS(Values!$E$3:$E$502,Values!$I$3:$I$502,"Yes"),IF(B199="Cluster",SUMIFS(Values!$E$3:$E$502,Values!$A$3:$A$502,SUBSTITUTE(SUBSTITUTE(C199,"?","~?"),"*","~*"),Values!$I$3:$I$502,"Yes"),IF(B199="Supporting",N(INDEX(Values!$E$3:$E$502,P199)),"")))</f>
        <v/>
      </c>
      <c r="O199">
        <f>IF(B199="","",IF(B199="Pillar",100,IF(B199="Cluster",N(INDEX(Attributes!$E$3:$E$52,Q199))*25+IF(M199="Gap",10,0),N(INDEX(Attributes!$E$3:$E$52,Q199))*20+MIN(20,ROUND(LOG10(N(N199)+1)*5,0))+IF(M199="Gap",10,0)+IF(INDEX(Values!$D$3:$D$502,P199)="Yes",5,0))))</f>
        <v/>
      </c>
      <c r="P199">
        <f>IF(B199="Supporting",MATCH(A199-1-Entity!$B$14,Values!$J$3:$J$502,0),"")</f>
        <v/>
      </c>
      <c r="Q199">
        <f>IF(C199="","",MATCH(C199,Attributes!$A$3:$A$52,0))</f>
        <v/>
      </c>
      <c r="R199">
        <f>IF(B199="Pillar",SUBSTITUTE(Entity!$B$7,"{entity}",LOWER(Entity!$B$3)),IF(B199="Cluster",IF(INDEX(Attributes!$G$3:$G$52,Q199)&lt;&gt;"",INDEX(Attributes!$G$3:$G$52,Q199),SUBSTITUTE(SUBSTITUTE(Entity!$B$8,"{entity}",LOWER(Entity!$B$3)),"{attribute}",LOWER(C199))),IF(B199="Supporting",SUBSTITUTE(SUBSTITUTE(SUBSTITUTE(IF(INDEX(Attributes!$H$3:$H$52,Q199)&lt;&gt;"",INDEX(Attributes!$H$3:$H$52,Q199),Entity!$B$9),"{entity}",LOWER(Entity!$B$3)),"{value}",D199),"{attribute}",LOWER(C199)),"")))</f>
        <v/>
      </c>
    </row>
    <row r="200">
      <c r="A200">
        <f>ROW()-2</f>
        <v/>
      </c>
      <c r="B200">
        <f>IF(A200=1,"Pillar",IF(A200&lt;=1+Entity!$B$14,"Cluster",IF(A200&lt;=1+Entity!$B$14+Entity!$B$15,"Supporting","")))</f>
        <v/>
      </c>
      <c r="C200">
        <f>IF(B200="Cluster",INDEX(Attributes!$A$3:$A$52,MATCH(A200-1,Attributes!$P$3:$P$52,0)),IF(B200="Supporting",INDEX(Values!$A$3:$A$502,P200),""))</f>
        <v/>
      </c>
      <c r="D200">
        <f>IF(B200="Supporting",INDEX(Values!$B$3:$B$502,P200),"")</f>
        <v/>
      </c>
      <c r="E200">
        <f>IF(R200="","",UPPER(LEFT(R200,1))&amp;MID(R200,2,500))</f>
        <v/>
      </c>
      <c r="F200">
        <f>IF(E200="","",LOWER(SUBSTITUTE(SUBSTITUTE(SUBSTITUTE(SUBSTITUTE(SUBSTITUTE(SUBSTITUTE(SUBSTITUTE(TRIM(E200),":",""),",",""),"'",""),"&amp;","and"),"£",""),"  "," ")," ","-")))</f>
        <v/>
      </c>
      <c r="G200">
        <f>IF(B200="Cluster",$E$3,IF(B200="Supporting",INDEX($E$3:$E$553,MATCH(C200,$C$3:$C$553,0)),""))</f>
        <v/>
      </c>
      <c r="H200">
        <f>IF(B200="Supporting",IFERROR(INDEX($E$3:$E$553,1+Entity!$B$14+INDEX(Values!$O$3:$O$502,P200)),""),IF(B200="Cluster",IF(Entity!$B$14&lt;2,"",INDEX($E$3:$E$553,IF(A200-1=Entity!$B$14,2,A200+1))),""))</f>
        <v/>
      </c>
      <c r="I200">
        <f>IF(B200="Pillar",Entity!$B$14&amp;" cluster pages",IF(B200="Cluster",(COUNTIF($C$3:$C$553,SUBSTITUTE(SUBSTITUTE(C200,"?","~?"),"*","~*"))-1)&amp;" supporting pages",""))</f>
        <v/>
      </c>
      <c r="J200">
        <f>IF(B200="Pillar","Informational",IF(OR(B200="Cluster",B200="Supporting"),INDEX(Attributes!$D$3:$D$52,Q200)&amp;"",""))</f>
        <v/>
      </c>
      <c r="K200">
        <f>IF(B200="","",IF(B200="Pillar","Pillar guide (entity hub)",IF(B200="Cluster","Hub page for this attribute",IF(INDEX(Values!$C$3:$C$502,P200)="Yes","Entity page (profile of the sub-entity)",IFERROR(INDEX(Lists!$B$3:$B$6,MATCH(J200,Lists!$A$3:$A$6,0)),"Article")))))</f>
        <v/>
      </c>
      <c r="L200">
        <f>IF(B200="Pillar",Entity!$B$6&amp;"",IF(B200="Cluster",INDEX(Attributes!$I$3:$I$52,Q200)&amp;"",IF(B200="Supporting",INDEX(Values!$F$3:$F$502,P200)&amp;"","")))</f>
        <v/>
      </c>
      <c r="M200">
        <f>IF(B200="","",IF(L200&lt;&gt;"","Covered","Gap"))</f>
        <v/>
      </c>
      <c r="N200">
        <f>IF(B200="Pillar",SUMIFS(Values!$E$3:$E$502,Values!$I$3:$I$502,"Yes"),IF(B200="Cluster",SUMIFS(Values!$E$3:$E$502,Values!$A$3:$A$502,SUBSTITUTE(SUBSTITUTE(C200,"?","~?"),"*","~*"),Values!$I$3:$I$502,"Yes"),IF(B200="Supporting",N(INDEX(Values!$E$3:$E$502,P200)),"")))</f>
        <v/>
      </c>
      <c r="O200">
        <f>IF(B200="","",IF(B200="Pillar",100,IF(B200="Cluster",N(INDEX(Attributes!$E$3:$E$52,Q200))*25+IF(M200="Gap",10,0),N(INDEX(Attributes!$E$3:$E$52,Q200))*20+MIN(20,ROUND(LOG10(N(N200)+1)*5,0))+IF(M200="Gap",10,0)+IF(INDEX(Values!$D$3:$D$502,P200)="Yes",5,0))))</f>
        <v/>
      </c>
      <c r="P200">
        <f>IF(B200="Supporting",MATCH(A200-1-Entity!$B$14,Values!$J$3:$J$502,0),"")</f>
        <v/>
      </c>
      <c r="Q200">
        <f>IF(C200="","",MATCH(C200,Attributes!$A$3:$A$52,0))</f>
        <v/>
      </c>
      <c r="R200">
        <f>IF(B200="Pillar",SUBSTITUTE(Entity!$B$7,"{entity}",LOWER(Entity!$B$3)),IF(B200="Cluster",IF(INDEX(Attributes!$G$3:$G$52,Q200)&lt;&gt;"",INDEX(Attributes!$G$3:$G$52,Q200),SUBSTITUTE(SUBSTITUTE(Entity!$B$8,"{entity}",LOWER(Entity!$B$3)),"{attribute}",LOWER(C200))),IF(B200="Supporting",SUBSTITUTE(SUBSTITUTE(SUBSTITUTE(IF(INDEX(Attributes!$H$3:$H$52,Q200)&lt;&gt;"",INDEX(Attributes!$H$3:$H$52,Q200),Entity!$B$9),"{entity}",LOWER(Entity!$B$3)),"{value}",D200),"{attribute}",LOWER(C200)),"")))</f>
        <v/>
      </c>
    </row>
    <row r="201">
      <c r="A201">
        <f>ROW()-2</f>
        <v/>
      </c>
      <c r="B201">
        <f>IF(A201=1,"Pillar",IF(A201&lt;=1+Entity!$B$14,"Cluster",IF(A201&lt;=1+Entity!$B$14+Entity!$B$15,"Supporting","")))</f>
        <v/>
      </c>
      <c r="C201">
        <f>IF(B201="Cluster",INDEX(Attributes!$A$3:$A$52,MATCH(A201-1,Attributes!$P$3:$P$52,0)),IF(B201="Supporting",INDEX(Values!$A$3:$A$502,P201),""))</f>
        <v/>
      </c>
      <c r="D201">
        <f>IF(B201="Supporting",INDEX(Values!$B$3:$B$502,P201),"")</f>
        <v/>
      </c>
      <c r="E201">
        <f>IF(R201="","",UPPER(LEFT(R201,1))&amp;MID(R201,2,500))</f>
        <v/>
      </c>
      <c r="F201">
        <f>IF(E201="","",LOWER(SUBSTITUTE(SUBSTITUTE(SUBSTITUTE(SUBSTITUTE(SUBSTITUTE(SUBSTITUTE(SUBSTITUTE(TRIM(E201),":",""),",",""),"'",""),"&amp;","and"),"£",""),"  "," ")," ","-")))</f>
        <v/>
      </c>
      <c r="G201">
        <f>IF(B201="Cluster",$E$3,IF(B201="Supporting",INDEX($E$3:$E$553,MATCH(C201,$C$3:$C$553,0)),""))</f>
        <v/>
      </c>
      <c r="H201">
        <f>IF(B201="Supporting",IFERROR(INDEX($E$3:$E$553,1+Entity!$B$14+INDEX(Values!$O$3:$O$502,P201)),""),IF(B201="Cluster",IF(Entity!$B$14&lt;2,"",INDEX($E$3:$E$553,IF(A201-1=Entity!$B$14,2,A201+1))),""))</f>
        <v/>
      </c>
      <c r="I201">
        <f>IF(B201="Pillar",Entity!$B$14&amp;" cluster pages",IF(B201="Cluster",(COUNTIF($C$3:$C$553,SUBSTITUTE(SUBSTITUTE(C201,"?","~?"),"*","~*"))-1)&amp;" supporting pages",""))</f>
        <v/>
      </c>
      <c r="J201">
        <f>IF(B201="Pillar","Informational",IF(OR(B201="Cluster",B201="Supporting"),INDEX(Attributes!$D$3:$D$52,Q201)&amp;"",""))</f>
        <v/>
      </c>
      <c r="K201">
        <f>IF(B201="","",IF(B201="Pillar","Pillar guide (entity hub)",IF(B201="Cluster","Hub page for this attribute",IF(INDEX(Values!$C$3:$C$502,P201)="Yes","Entity page (profile of the sub-entity)",IFERROR(INDEX(Lists!$B$3:$B$6,MATCH(J201,Lists!$A$3:$A$6,0)),"Article")))))</f>
        <v/>
      </c>
      <c r="L201">
        <f>IF(B201="Pillar",Entity!$B$6&amp;"",IF(B201="Cluster",INDEX(Attributes!$I$3:$I$52,Q201)&amp;"",IF(B201="Supporting",INDEX(Values!$F$3:$F$502,P201)&amp;"","")))</f>
        <v/>
      </c>
      <c r="M201">
        <f>IF(B201="","",IF(L201&lt;&gt;"","Covered","Gap"))</f>
        <v/>
      </c>
      <c r="N201">
        <f>IF(B201="Pillar",SUMIFS(Values!$E$3:$E$502,Values!$I$3:$I$502,"Yes"),IF(B201="Cluster",SUMIFS(Values!$E$3:$E$502,Values!$A$3:$A$502,SUBSTITUTE(SUBSTITUTE(C201,"?","~?"),"*","~*"),Values!$I$3:$I$502,"Yes"),IF(B201="Supporting",N(INDEX(Values!$E$3:$E$502,P201)),"")))</f>
        <v/>
      </c>
      <c r="O201">
        <f>IF(B201="","",IF(B201="Pillar",100,IF(B201="Cluster",N(INDEX(Attributes!$E$3:$E$52,Q201))*25+IF(M201="Gap",10,0),N(INDEX(Attributes!$E$3:$E$52,Q201))*20+MIN(20,ROUND(LOG10(N(N201)+1)*5,0))+IF(M201="Gap",10,0)+IF(INDEX(Values!$D$3:$D$502,P201)="Yes",5,0))))</f>
        <v/>
      </c>
      <c r="P201">
        <f>IF(B201="Supporting",MATCH(A201-1-Entity!$B$14,Values!$J$3:$J$502,0),"")</f>
        <v/>
      </c>
      <c r="Q201">
        <f>IF(C201="","",MATCH(C201,Attributes!$A$3:$A$52,0))</f>
        <v/>
      </c>
      <c r="R201">
        <f>IF(B201="Pillar",SUBSTITUTE(Entity!$B$7,"{entity}",LOWER(Entity!$B$3)),IF(B201="Cluster",IF(INDEX(Attributes!$G$3:$G$52,Q201)&lt;&gt;"",INDEX(Attributes!$G$3:$G$52,Q201),SUBSTITUTE(SUBSTITUTE(Entity!$B$8,"{entity}",LOWER(Entity!$B$3)),"{attribute}",LOWER(C201))),IF(B201="Supporting",SUBSTITUTE(SUBSTITUTE(SUBSTITUTE(IF(INDEX(Attributes!$H$3:$H$52,Q201)&lt;&gt;"",INDEX(Attributes!$H$3:$H$52,Q201),Entity!$B$9),"{entity}",LOWER(Entity!$B$3)),"{value}",D201),"{attribute}",LOWER(C201)),"")))</f>
        <v/>
      </c>
    </row>
    <row r="202">
      <c r="A202">
        <f>ROW()-2</f>
        <v/>
      </c>
      <c r="B202">
        <f>IF(A202=1,"Pillar",IF(A202&lt;=1+Entity!$B$14,"Cluster",IF(A202&lt;=1+Entity!$B$14+Entity!$B$15,"Supporting","")))</f>
        <v/>
      </c>
      <c r="C202">
        <f>IF(B202="Cluster",INDEX(Attributes!$A$3:$A$52,MATCH(A202-1,Attributes!$P$3:$P$52,0)),IF(B202="Supporting",INDEX(Values!$A$3:$A$502,P202),""))</f>
        <v/>
      </c>
      <c r="D202">
        <f>IF(B202="Supporting",INDEX(Values!$B$3:$B$502,P202),"")</f>
        <v/>
      </c>
      <c r="E202">
        <f>IF(R202="","",UPPER(LEFT(R202,1))&amp;MID(R202,2,500))</f>
        <v/>
      </c>
      <c r="F202">
        <f>IF(E202="","",LOWER(SUBSTITUTE(SUBSTITUTE(SUBSTITUTE(SUBSTITUTE(SUBSTITUTE(SUBSTITUTE(SUBSTITUTE(TRIM(E202),":",""),",",""),"'",""),"&amp;","and"),"£",""),"  "," ")," ","-")))</f>
        <v/>
      </c>
      <c r="G202">
        <f>IF(B202="Cluster",$E$3,IF(B202="Supporting",INDEX($E$3:$E$553,MATCH(C202,$C$3:$C$553,0)),""))</f>
        <v/>
      </c>
      <c r="H202">
        <f>IF(B202="Supporting",IFERROR(INDEX($E$3:$E$553,1+Entity!$B$14+INDEX(Values!$O$3:$O$502,P202)),""),IF(B202="Cluster",IF(Entity!$B$14&lt;2,"",INDEX($E$3:$E$553,IF(A202-1=Entity!$B$14,2,A202+1))),""))</f>
        <v/>
      </c>
      <c r="I202">
        <f>IF(B202="Pillar",Entity!$B$14&amp;" cluster pages",IF(B202="Cluster",(COUNTIF($C$3:$C$553,SUBSTITUTE(SUBSTITUTE(C202,"?","~?"),"*","~*"))-1)&amp;" supporting pages",""))</f>
        <v/>
      </c>
      <c r="J202">
        <f>IF(B202="Pillar","Informational",IF(OR(B202="Cluster",B202="Supporting"),INDEX(Attributes!$D$3:$D$52,Q202)&amp;"",""))</f>
        <v/>
      </c>
      <c r="K202">
        <f>IF(B202="","",IF(B202="Pillar","Pillar guide (entity hub)",IF(B202="Cluster","Hub page for this attribute",IF(INDEX(Values!$C$3:$C$502,P202)="Yes","Entity page (profile of the sub-entity)",IFERROR(INDEX(Lists!$B$3:$B$6,MATCH(J202,Lists!$A$3:$A$6,0)),"Article")))))</f>
        <v/>
      </c>
      <c r="L202">
        <f>IF(B202="Pillar",Entity!$B$6&amp;"",IF(B202="Cluster",INDEX(Attributes!$I$3:$I$52,Q202)&amp;"",IF(B202="Supporting",INDEX(Values!$F$3:$F$502,P202)&amp;"","")))</f>
        <v/>
      </c>
      <c r="M202">
        <f>IF(B202="","",IF(L202&lt;&gt;"","Covered","Gap"))</f>
        <v/>
      </c>
      <c r="N202">
        <f>IF(B202="Pillar",SUMIFS(Values!$E$3:$E$502,Values!$I$3:$I$502,"Yes"),IF(B202="Cluster",SUMIFS(Values!$E$3:$E$502,Values!$A$3:$A$502,SUBSTITUTE(SUBSTITUTE(C202,"?","~?"),"*","~*"),Values!$I$3:$I$502,"Yes"),IF(B202="Supporting",N(INDEX(Values!$E$3:$E$502,P202)),"")))</f>
        <v/>
      </c>
      <c r="O202">
        <f>IF(B202="","",IF(B202="Pillar",100,IF(B202="Cluster",N(INDEX(Attributes!$E$3:$E$52,Q202))*25+IF(M202="Gap",10,0),N(INDEX(Attributes!$E$3:$E$52,Q202))*20+MIN(20,ROUND(LOG10(N(N202)+1)*5,0))+IF(M202="Gap",10,0)+IF(INDEX(Values!$D$3:$D$502,P202)="Yes",5,0))))</f>
        <v/>
      </c>
      <c r="P202">
        <f>IF(B202="Supporting",MATCH(A202-1-Entity!$B$14,Values!$J$3:$J$502,0),"")</f>
        <v/>
      </c>
      <c r="Q202">
        <f>IF(C202="","",MATCH(C202,Attributes!$A$3:$A$52,0))</f>
        <v/>
      </c>
      <c r="R202">
        <f>IF(B202="Pillar",SUBSTITUTE(Entity!$B$7,"{entity}",LOWER(Entity!$B$3)),IF(B202="Cluster",IF(INDEX(Attributes!$G$3:$G$52,Q202)&lt;&gt;"",INDEX(Attributes!$G$3:$G$52,Q202),SUBSTITUTE(SUBSTITUTE(Entity!$B$8,"{entity}",LOWER(Entity!$B$3)),"{attribute}",LOWER(C202))),IF(B202="Supporting",SUBSTITUTE(SUBSTITUTE(SUBSTITUTE(IF(INDEX(Attributes!$H$3:$H$52,Q202)&lt;&gt;"",INDEX(Attributes!$H$3:$H$52,Q202),Entity!$B$9),"{entity}",LOWER(Entity!$B$3)),"{value}",D202),"{attribute}",LOWER(C202)),"")))</f>
        <v/>
      </c>
    </row>
    <row r="203">
      <c r="A203">
        <f>ROW()-2</f>
        <v/>
      </c>
      <c r="B203">
        <f>IF(A203=1,"Pillar",IF(A203&lt;=1+Entity!$B$14,"Cluster",IF(A203&lt;=1+Entity!$B$14+Entity!$B$15,"Supporting","")))</f>
        <v/>
      </c>
      <c r="C203">
        <f>IF(B203="Cluster",INDEX(Attributes!$A$3:$A$52,MATCH(A203-1,Attributes!$P$3:$P$52,0)),IF(B203="Supporting",INDEX(Values!$A$3:$A$502,P203),""))</f>
        <v/>
      </c>
      <c r="D203">
        <f>IF(B203="Supporting",INDEX(Values!$B$3:$B$502,P203),"")</f>
        <v/>
      </c>
      <c r="E203">
        <f>IF(R203="","",UPPER(LEFT(R203,1))&amp;MID(R203,2,500))</f>
        <v/>
      </c>
      <c r="F203">
        <f>IF(E203="","",LOWER(SUBSTITUTE(SUBSTITUTE(SUBSTITUTE(SUBSTITUTE(SUBSTITUTE(SUBSTITUTE(SUBSTITUTE(TRIM(E203),":",""),",",""),"'",""),"&amp;","and"),"£",""),"  "," ")," ","-")))</f>
        <v/>
      </c>
      <c r="G203">
        <f>IF(B203="Cluster",$E$3,IF(B203="Supporting",INDEX($E$3:$E$553,MATCH(C203,$C$3:$C$553,0)),""))</f>
        <v/>
      </c>
      <c r="H203">
        <f>IF(B203="Supporting",IFERROR(INDEX($E$3:$E$553,1+Entity!$B$14+INDEX(Values!$O$3:$O$502,P203)),""),IF(B203="Cluster",IF(Entity!$B$14&lt;2,"",INDEX($E$3:$E$553,IF(A203-1=Entity!$B$14,2,A203+1))),""))</f>
        <v/>
      </c>
      <c r="I203">
        <f>IF(B203="Pillar",Entity!$B$14&amp;" cluster pages",IF(B203="Cluster",(COUNTIF($C$3:$C$553,SUBSTITUTE(SUBSTITUTE(C203,"?","~?"),"*","~*"))-1)&amp;" supporting pages",""))</f>
        <v/>
      </c>
      <c r="J203">
        <f>IF(B203="Pillar","Informational",IF(OR(B203="Cluster",B203="Supporting"),INDEX(Attributes!$D$3:$D$52,Q203)&amp;"",""))</f>
        <v/>
      </c>
      <c r="K203">
        <f>IF(B203="","",IF(B203="Pillar","Pillar guide (entity hub)",IF(B203="Cluster","Hub page for this attribute",IF(INDEX(Values!$C$3:$C$502,P203)="Yes","Entity page (profile of the sub-entity)",IFERROR(INDEX(Lists!$B$3:$B$6,MATCH(J203,Lists!$A$3:$A$6,0)),"Article")))))</f>
        <v/>
      </c>
      <c r="L203">
        <f>IF(B203="Pillar",Entity!$B$6&amp;"",IF(B203="Cluster",INDEX(Attributes!$I$3:$I$52,Q203)&amp;"",IF(B203="Supporting",INDEX(Values!$F$3:$F$502,P203)&amp;"","")))</f>
        <v/>
      </c>
      <c r="M203">
        <f>IF(B203="","",IF(L203&lt;&gt;"","Covered","Gap"))</f>
        <v/>
      </c>
      <c r="N203">
        <f>IF(B203="Pillar",SUMIFS(Values!$E$3:$E$502,Values!$I$3:$I$502,"Yes"),IF(B203="Cluster",SUMIFS(Values!$E$3:$E$502,Values!$A$3:$A$502,SUBSTITUTE(SUBSTITUTE(C203,"?","~?"),"*","~*"),Values!$I$3:$I$502,"Yes"),IF(B203="Supporting",N(INDEX(Values!$E$3:$E$502,P203)),"")))</f>
        <v/>
      </c>
      <c r="O203">
        <f>IF(B203="","",IF(B203="Pillar",100,IF(B203="Cluster",N(INDEX(Attributes!$E$3:$E$52,Q203))*25+IF(M203="Gap",10,0),N(INDEX(Attributes!$E$3:$E$52,Q203))*20+MIN(20,ROUND(LOG10(N(N203)+1)*5,0))+IF(M203="Gap",10,0)+IF(INDEX(Values!$D$3:$D$502,P203)="Yes",5,0))))</f>
        <v/>
      </c>
      <c r="P203">
        <f>IF(B203="Supporting",MATCH(A203-1-Entity!$B$14,Values!$J$3:$J$502,0),"")</f>
        <v/>
      </c>
      <c r="Q203">
        <f>IF(C203="","",MATCH(C203,Attributes!$A$3:$A$52,0))</f>
        <v/>
      </c>
      <c r="R203">
        <f>IF(B203="Pillar",SUBSTITUTE(Entity!$B$7,"{entity}",LOWER(Entity!$B$3)),IF(B203="Cluster",IF(INDEX(Attributes!$G$3:$G$52,Q203)&lt;&gt;"",INDEX(Attributes!$G$3:$G$52,Q203),SUBSTITUTE(SUBSTITUTE(Entity!$B$8,"{entity}",LOWER(Entity!$B$3)),"{attribute}",LOWER(C203))),IF(B203="Supporting",SUBSTITUTE(SUBSTITUTE(SUBSTITUTE(IF(INDEX(Attributes!$H$3:$H$52,Q203)&lt;&gt;"",INDEX(Attributes!$H$3:$H$52,Q203),Entity!$B$9),"{entity}",LOWER(Entity!$B$3)),"{value}",D203),"{attribute}",LOWER(C203)),"")))</f>
        <v/>
      </c>
    </row>
    <row r="204">
      <c r="A204">
        <f>ROW()-2</f>
        <v/>
      </c>
      <c r="B204">
        <f>IF(A204=1,"Pillar",IF(A204&lt;=1+Entity!$B$14,"Cluster",IF(A204&lt;=1+Entity!$B$14+Entity!$B$15,"Supporting","")))</f>
        <v/>
      </c>
      <c r="C204">
        <f>IF(B204="Cluster",INDEX(Attributes!$A$3:$A$52,MATCH(A204-1,Attributes!$P$3:$P$52,0)),IF(B204="Supporting",INDEX(Values!$A$3:$A$502,P204),""))</f>
        <v/>
      </c>
      <c r="D204">
        <f>IF(B204="Supporting",INDEX(Values!$B$3:$B$502,P204),"")</f>
        <v/>
      </c>
      <c r="E204">
        <f>IF(R204="","",UPPER(LEFT(R204,1))&amp;MID(R204,2,500))</f>
        <v/>
      </c>
      <c r="F204">
        <f>IF(E204="","",LOWER(SUBSTITUTE(SUBSTITUTE(SUBSTITUTE(SUBSTITUTE(SUBSTITUTE(SUBSTITUTE(SUBSTITUTE(TRIM(E204),":",""),",",""),"'",""),"&amp;","and"),"£",""),"  "," ")," ","-")))</f>
        <v/>
      </c>
      <c r="G204">
        <f>IF(B204="Cluster",$E$3,IF(B204="Supporting",INDEX($E$3:$E$553,MATCH(C204,$C$3:$C$553,0)),""))</f>
        <v/>
      </c>
      <c r="H204">
        <f>IF(B204="Supporting",IFERROR(INDEX($E$3:$E$553,1+Entity!$B$14+INDEX(Values!$O$3:$O$502,P204)),""),IF(B204="Cluster",IF(Entity!$B$14&lt;2,"",INDEX($E$3:$E$553,IF(A204-1=Entity!$B$14,2,A204+1))),""))</f>
        <v/>
      </c>
      <c r="I204">
        <f>IF(B204="Pillar",Entity!$B$14&amp;" cluster pages",IF(B204="Cluster",(COUNTIF($C$3:$C$553,SUBSTITUTE(SUBSTITUTE(C204,"?","~?"),"*","~*"))-1)&amp;" supporting pages",""))</f>
        <v/>
      </c>
      <c r="J204">
        <f>IF(B204="Pillar","Informational",IF(OR(B204="Cluster",B204="Supporting"),INDEX(Attributes!$D$3:$D$52,Q204)&amp;"",""))</f>
        <v/>
      </c>
      <c r="K204">
        <f>IF(B204="","",IF(B204="Pillar","Pillar guide (entity hub)",IF(B204="Cluster","Hub page for this attribute",IF(INDEX(Values!$C$3:$C$502,P204)="Yes","Entity page (profile of the sub-entity)",IFERROR(INDEX(Lists!$B$3:$B$6,MATCH(J204,Lists!$A$3:$A$6,0)),"Article")))))</f>
        <v/>
      </c>
      <c r="L204">
        <f>IF(B204="Pillar",Entity!$B$6&amp;"",IF(B204="Cluster",INDEX(Attributes!$I$3:$I$52,Q204)&amp;"",IF(B204="Supporting",INDEX(Values!$F$3:$F$502,P204)&amp;"","")))</f>
        <v/>
      </c>
      <c r="M204">
        <f>IF(B204="","",IF(L204&lt;&gt;"","Covered","Gap"))</f>
        <v/>
      </c>
      <c r="N204">
        <f>IF(B204="Pillar",SUMIFS(Values!$E$3:$E$502,Values!$I$3:$I$502,"Yes"),IF(B204="Cluster",SUMIFS(Values!$E$3:$E$502,Values!$A$3:$A$502,SUBSTITUTE(SUBSTITUTE(C204,"?","~?"),"*","~*"),Values!$I$3:$I$502,"Yes"),IF(B204="Supporting",N(INDEX(Values!$E$3:$E$502,P204)),"")))</f>
        <v/>
      </c>
      <c r="O204">
        <f>IF(B204="","",IF(B204="Pillar",100,IF(B204="Cluster",N(INDEX(Attributes!$E$3:$E$52,Q204))*25+IF(M204="Gap",10,0),N(INDEX(Attributes!$E$3:$E$52,Q204))*20+MIN(20,ROUND(LOG10(N(N204)+1)*5,0))+IF(M204="Gap",10,0)+IF(INDEX(Values!$D$3:$D$502,P204)="Yes",5,0))))</f>
        <v/>
      </c>
      <c r="P204">
        <f>IF(B204="Supporting",MATCH(A204-1-Entity!$B$14,Values!$J$3:$J$502,0),"")</f>
        <v/>
      </c>
      <c r="Q204">
        <f>IF(C204="","",MATCH(C204,Attributes!$A$3:$A$52,0))</f>
        <v/>
      </c>
      <c r="R204">
        <f>IF(B204="Pillar",SUBSTITUTE(Entity!$B$7,"{entity}",LOWER(Entity!$B$3)),IF(B204="Cluster",IF(INDEX(Attributes!$G$3:$G$52,Q204)&lt;&gt;"",INDEX(Attributes!$G$3:$G$52,Q204),SUBSTITUTE(SUBSTITUTE(Entity!$B$8,"{entity}",LOWER(Entity!$B$3)),"{attribute}",LOWER(C204))),IF(B204="Supporting",SUBSTITUTE(SUBSTITUTE(SUBSTITUTE(IF(INDEX(Attributes!$H$3:$H$52,Q204)&lt;&gt;"",INDEX(Attributes!$H$3:$H$52,Q204),Entity!$B$9),"{entity}",LOWER(Entity!$B$3)),"{value}",D204),"{attribute}",LOWER(C204)),"")))</f>
        <v/>
      </c>
    </row>
    <row r="205">
      <c r="A205">
        <f>ROW()-2</f>
        <v/>
      </c>
      <c r="B205">
        <f>IF(A205=1,"Pillar",IF(A205&lt;=1+Entity!$B$14,"Cluster",IF(A205&lt;=1+Entity!$B$14+Entity!$B$15,"Supporting","")))</f>
        <v/>
      </c>
      <c r="C205">
        <f>IF(B205="Cluster",INDEX(Attributes!$A$3:$A$52,MATCH(A205-1,Attributes!$P$3:$P$52,0)),IF(B205="Supporting",INDEX(Values!$A$3:$A$502,P205),""))</f>
        <v/>
      </c>
      <c r="D205">
        <f>IF(B205="Supporting",INDEX(Values!$B$3:$B$502,P205),"")</f>
        <v/>
      </c>
      <c r="E205">
        <f>IF(R205="","",UPPER(LEFT(R205,1))&amp;MID(R205,2,500))</f>
        <v/>
      </c>
      <c r="F205">
        <f>IF(E205="","",LOWER(SUBSTITUTE(SUBSTITUTE(SUBSTITUTE(SUBSTITUTE(SUBSTITUTE(SUBSTITUTE(SUBSTITUTE(TRIM(E205),":",""),",",""),"'",""),"&amp;","and"),"£",""),"  "," ")," ","-")))</f>
        <v/>
      </c>
      <c r="G205">
        <f>IF(B205="Cluster",$E$3,IF(B205="Supporting",INDEX($E$3:$E$553,MATCH(C205,$C$3:$C$553,0)),""))</f>
        <v/>
      </c>
      <c r="H205">
        <f>IF(B205="Supporting",IFERROR(INDEX($E$3:$E$553,1+Entity!$B$14+INDEX(Values!$O$3:$O$502,P205)),""),IF(B205="Cluster",IF(Entity!$B$14&lt;2,"",INDEX($E$3:$E$553,IF(A205-1=Entity!$B$14,2,A205+1))),""))</f>
        <v/>
      </c>
      <c r="I205">
        <f>IF(B205="Pillar",Entity!$B$14&amp;" cluster pages",IF(B205="Cluster",(COUNTIF($C$3:$C$553,SUBSTITUTE(SUBSTITUTE(C205,"?","~?"),"*","~*"))-1)&amp;" supporting pages",""))</f>
        <v/>
      </c>
      <c r="J205">
        <f>IF(B205="Pillar","Informational",IF(OR(B205="Cluster",B205="Supporting"),INDEX(Attributes!$D$3:$D$52,Q205)&amp;"",""))</f>
        <v/>
      </c>
      <c r="K205">
        <f>IF(B205="","",IF(B205="Pillar","Pillar guide (entity hub)",IF(B205="Cluster","Hub page for this attribute",IF(INDEX(Values!$C$3:$C$502,P205)="Yes","Entity page (profile of the sub-entity)",IFERROR(INDEX(Lists!$B$3:$B$6,MATCH(J205,Lists!$A$3:$A$6,0)),"Article")))))</f>
        <v/>
      </c>
      <c r="L205">
        <f>IF(B205="Pillar",Entity!$B$6&amp;"",IF(B205="Cluster",INDEX(Attributes!$I$3:$I$52,Q205)&amp;"",IF(B205="Supporting",INDEX(Values!$F$3:$F$502,P205)&amp;"","")))</f>
        <v/>
      </c>
      <c r="M205">
        <f>IF(B205="","",IF(L205&lt;&gt;"","Covered","Gap"))</f>
        <v/>
      </c>
      <c r="N205">
        <f>IF(B205="Pillar",SUMIFS(Values!$E$3:$E$502,Values!$I$3:$I$502,"Yes"),IF(B205="Cluster",SUMIFS(Values!$E$3:$E$502,Values!$A$3:$A$502,SUBSTITUTE(SUBSTITUTE(C205,"?","~?"),"*","~*"),Values!$I$3:$I$502,"Yes"),IF(B205="Supporting",N(INDEX(Values!$E$3:$E$502,P205)),"")))</f>
        <v/>
      </c>
      <c r="O205">
        <f>IF(B205="","",IF(B205="Pillar",100,IF(B205="Cluster",N(INDEX(Attributes!$E$3:$E$52,Q205))*25+IF(M205="Gap",10,0),N(INDEX(Attributes!$E$3:$E$52,Q205))*20+MIN(20,ROUND(LOG10(N(N205)+1)*5,0))+IF(M205="Gap",10,0)+IF(INDEX(Values!$D$3:$D$502,P205)="Yes",5,0))))</f>
        <v/>
      </c>
      <c r="P205">
        <f>IF(B205="Supporting",MATCH(A205-1-Entity!$B$14,Values!$J$3:$J$502,0),"")</f>
        <v/>
      </c>
      <c r="Q205">
        <f>IF(C205="","",MATCH(C205,Attributes!$A$3:$A$52,0))</f>
        <v/>
      </c>
      <c r="R205">
        <f>IF(B205="Pillar",SUBSTITUTE(Entity!$B$7,"{entity}",LOWER(Entity!$B$3)),IF(B205="Cluster",IF(INDEX(Attributes!$G$3:$G$52,Q205)&lt;&gt;"",INDEX(Attributes!$G$3:$G$52,Q205),SUBSTITUTE(SUBSTITUTE(Entity!$B$8,"{entity}",LOWER(Entity!$B$3)),"{attribute}",LOWER(C205))),IF(B205="Supporting",SUBSTITUTE(SUBSTITUTE(SUBSTITUTE(IF(INDEX(Attributes!$H$3:$H$52,Q205)&lt;&gt;"",INDEX(Attributes!$H$3:$H$52,Q205),Entity!$B$9),"{entity}",LOWER(Entity!$B$3)),"{value}",D205),"{attribute}",LOWER(C205)),"")))</f>
        <v/>
      </c>
    </row>
    <row r="206">
      <c r="A206">
        <f>ROW()-2</f>
        <v/>
      </c>
      <c r="B206">
        <f>IF(A206=1,"Pillar",IF(A206&lt;=1+Entity!$B$14,"Cluster",IF(A206&lt;=1+Entity!$B$14+Entity!$B$15,"Supporting","")))</f>
        <v/>
      </c>
      <c r="C206">
        <f>IF(B206="Cluster",INDEX(Attributes!$A$3:$A$52,MATCH(A206-1,Attributes!$P$3:$P$52,0)),IF(B206="Supporting",INDEX(Values!$A$3:$A$502,P206),""))</f>
        <v/>
      </c>
      <c r="D206">
        <f>IF(B206="Supporting",INDEX(Values!$B$3:$B$502,P206),"")</f>
        <v/>
      </c>
      <c r="E206">
        <f>IF(R206="","",UPPER(LEFT(R206,1))&amp;MID(R206,2,500))</f>
        <v/>
      </c>
      <c r="F206">
        <f>IF(E206="","",LOWER(SUBSTITUTE(SUBSTITUTE(SUBSTITUTE(SUBSTITUTE(SUBSTITUTE(SUBSTITUTE(SUBSTITUTE(TRIM(E206),":",""),",",""),"'",""),"&amp;","and"),"£",""),"  "," ")," ","-")))</f>
        <v/>
      </c>
      <c r="G206">
        <f>IF(B206="Cluster",$E$3,IF(B206="Supporting",INDEX($E$3:$E$553,MATCH(C206,$C$3:$C$553,0)),""))</f>
        <v/>
      </c>
      <c r="H206">
        <f>IF(B206="Supporting",IFERROR(INDEX($E$3:$E$553,1+Entity!$B$14+INDEX(Values!$O$3:$O$502,P206)),""),IF(B206="Cluster",IF(Entity!$B$14&lt;2,"",INDEX($E$3:$E$553,IF(A206-1=Entity!$B$14,2,A206+1))),""))</f>
        <v/>
      </c>
      <c r="I206">
        <f>IF(B206="Pillar",Entity!$B$14&amp;" cluster pages",IF(B206="Cluster",(COUNTIF($C$3:$C$553,SUBSTITUTE(SUBSTITUTE(C206,"?","~?"),"*","~*"))-1)&amp;" supporting pages",""))</f>
        <v/>
      </c>
      <c r="J206">
        <f>IF(B206="Pillar","Informational",IF(OR(B206="Cluster",B206="Supporting"),INDEX(Attributes!$D$3:$D$52,Q206)&amp;"",""))</f>
        <v/>
      </c>
      <c r="K206">
        <f>IF(B206="","",IF(B206="Pillar","Pillar guide (entity hub)",IF(B206="Cluster","Hub page for this attribute",IF(INDEX(Values!$C$3:$C$502,P206)="Yes","Entity page (profile of the sub-entity)",IFERROR(INDEX(Lists!$B$3:$B$6,MATCH(J206,Lists!$A$3:$A$6,0)),"Article")))))</f>
        <v/>
      </c>
      <c r="L206">
        <f>IF(B206="Pillar",Entity!$B$6&amp;"",IF(B206="Cluster",INDEX(Attributes!$I$3:$I$52,Q206)&amp;"",IF(B206="Supporting",INDEX(Values!$F$3:$F$502,P206)&amp;"","")))</f>
        <v/>
      </c>
      <c r="M206">
        <f>IF(B206="","",IF(L206&lt;&gt;"","Covered","Gap"))</f>
        <v/>
      </c>
      <c r="N206">
        <f>IF(B206="Pillar",SUMIFS(Values!$E$3:$E$502,Values!$I$3:$I$502,"Yes"),IF(B206="Cluster",SUMIFS(Values!$E$3:$E$502,Values!$A$3:$A$502,SUBSTITUTE(SUBSTITUTE(C206,"?","~?"),"*","~*"),Values!$I$3:$I$502,"Yes"),IF(B206="Supporting",N(INDEX(Values!$E$3:$E$502,P206)),"")))</f>
        <v/>
      </c>
      <c r="O206">
        <f>IF(B206="","",IF(B206="Pillar",100,IF(B206="Cluster",N(INDEX(Attributes!$E$3:$E$52,Q206))*25+IF(M206="Gap",10,0),N(INDEX(Attributes!$E$3:$E$52,Q206))*20+MIN(20,ROUND(LOG10(N(N206)+1)*5,0))+IF(M206="Gap",10,0)+IF(INDEX(Values!$D$3:$D$502,P206)="Yes",5,0))))</f>
        <v/>
      </c>
      <c r="P206">
        <f>IF(B206="Supporting",MATCH(A206-1-Entity!$B$14,Values!$J$3:$J$502,0),"")</f>
        <v/>
      </c>
      <c r="Q206">
        <f>IF(C206="","",MATCH(C206,Attributes!$A$3:$A$52,0))</f>
        <v/>
      </c>
      <c r="R206">
        <f>IF(B206="Pillar",SUBSTITUTE(Entity!$B$7,"{entity}",LOWER(Entity!$B$3)),IF(B206="Cluster",IF(INDEX(Attributes!$G$3:$G$52,Q206)&lt;&gt;"",INDEX(Attributes!$G$3:$G$52,Q206),SUBSTITUTE(SUBSTITUTE(Entity!$B$8,"{entity}",LOWER(Entity!$B$3)),"{attribute}",LOWER(C206))),IF(B206="Supporting",SUBSTITUTE(SUBSTITUTE(SUBSTITUTE(IF(INDEX(Attributes!$H$3:$H$52,Q206)&lt;&gt;"",INDEX(Attributes!$H$3:$H$52,Q206),Entity!$B$9),"{entity}",LOWER(Entity!$B$3)),"{value}",D206),"{attribute}",LOWER(C206)),"")))</f>
        <v/>
      </c>
    </row>
    <row r="207">
      <c r="A207">
        <f>ROW()-2</f>
        <v/>
      </c>
      <c r="B207">
        <f>IF(A207=1,"Pillar",IF(A207&lt;=1+Entity!$B$14,"Cluster",IF(A207&lt;=1+Entity!$B$14+Entity!$B$15,"Supporting","")))</f>
        <v/>
      </c>
      <c r="C207">
        <f>IF(B207="Cluster",INDEX(Attributes!$A$3:$A$52,MATCH(A207-1,Attributes!$P$3:$P$52,0)),IF(B207="Supporting",INDEX(Values!$A$3:$A$502,P207),""))</f>
        <v/>
      </c>
      <c r="D207">
        <f>IF(B207="Supporting",INDEX(Values!$B$3:$B$502,P207),"")</f>
        <v/>
      </c>
      <c r="E207">
        <f>IF(R207="","",UPPER(LEFT(R207,1))&amp;MID(R207,2,500))</f>
        <v/>
      </c>
      <c r="F207">
        <f>IF(E207="","",LOWER(SUBSTITUTE(SUBSTITUTE(SUBSTITUTE(SUBSTITUTE(SUBSTITUTE(SUBSTITUTE(SUBSTITUTE(TRIM(E207),":",""),",",""),"'",""),"&amp;","and"),"£",""),"  "," ")," ","-")))</f>
        <v/>
      </c>
      <c r="G207">
        <f>IF(B207="Cluster",$E$3,IF(B207="Supporting",INDEX($E$3:$E$553,MATCH(C207,$C$3:$C$553,0)),""))</f>
        <v/>
      </c>
      <c r="H207">
        <f>IF(B207="Supporting",IFERROR(INDEX($E$3:$E$553,1+Entity!$B$14+INDEX(Values!$O$3:$O$502,P207)),""),IF(B207="Cluster",IF(Entity!$B$14&lt;2,"",INDEX($E$3:$E$553,IF(A207-1=Entity!$B$14,2,A207+1))),""))</f>
        <v/>
      </c>
      <c r="I207">
        <f>IF(B207="Pillar",Entity!$B$14&amp;" cluster pages",IF(B207="Cluster",(COUNTIF($C$3:$C$553,SUBSTITUTE(SUBSTITUTE(C207,"?","~?"),"*","~*"))-1)&amp;" supporting pages",""))</f>
        <v/>
      </c>
      <c r="J207">
        <f>IF(B207="Pillar","Informational",IF(OR(B207="Cluster",B207="Supporting"),INDEX(Attributes!$D$3:$D$52,Q207)&amp;"",""))</f>
        <v/>
      </c>
      <c r="K207">
        <f>IF(B207="","",IF(B207="Pillar","Pillar guide (entity hub)",IF(B207="Cluster","Hub page for this attribute",IF(INDEX(Values!$C$3:$C$502,P207)="Yes","Entity page (profile of the sub-entity)",IFERROR(INDEX(Lists!$B$3:$B$6,MATCH(J207,Lists!$A$3:$A$6,0)),"Article")))))</f>
        <v/>
      </c>
      <c r="L207">
        <f>IF(B207="Pillar",Entity!$B$6&amp;"",IF(B207="Cluster",INDEX(Attributes!$I$3:$I$52,Q207)&amp;"",IF(B207="Supporting",INDEX(Values!$F$3:$F$502,P207)&amp;"","")))</f>
        <v/>
      </c>
      <c r="M207">
        <f>IF(B207="","",IF(L207&lt;&gt;"","Covered","Gap"))</f>
        <v/>
      </c>
      <c r="N207">
        <f>IF(B207="Pillar",SUMIFS(Values!$E$3:$E$502,Values!$I$3:$I$502,"Yes"),IF(B207="Cluster",SUMIFS(Values!$E$3:$E$502,Values!$A$3:$A$502,SUBSTITUTE(SUBSTITUTE(C207,"?","~?"),"*","~*"),Values!$I$3:$I$502,"Yes"),IF(B207="Supporting",N(INDEX(Values!$E$3:$E$502,P207)),"")))</f>
        <v/>
      </c>
      <c r="O207">
        <f>IF(B207="","",IF(B207="Pillar",100,IF(B207="Cluster",N(INDEX(Attributes!$E$3:$E$52,Q207))*25+IF(M207="Gap",10,0),N(INDEX(Attributes!$E$3:$E$52,Q207))*20+MIN(20,ROUND(LOG10(N(N207)+1)*5,0))+IF(M207="Gap",10,0)+IF(INDEX(Values!$D$3:$D$502,P207)="Yes",5,0))))</f>
        <v/>
      </c>
      <c r="P207">
        <f>IF(B207="Supporting",MATCH(A207-1-Entity!$B$14,Values!$J$3:$J$502,0),"")</f>
        <v/>
      </c>
      <c r="Q207">
        <f>IF(C207="","",MATCH(C207,Attributes!$A$3:$A$52,0))</f>
        <v/>
      </c>
      <c r="R207">
        <f>IF(B207="Pillar",SUBSTITUTE(Entity!$B$7,"{entity}",LOWER(Entity!$B$3)),IF(B207="Cluster",IF(INDEX(Attributes!$G$3:$G$52,Q207)&lt;&gt;"",INDEX(Attributes!$G$3:$G$52,Q207),SUBSTITUTE(SUBSTITUTE(Entity!$B$8,"{entity}",LOWER(Entity!$B$3)),"{attribute}",LOWER(C207))),IF(B207="Supporting",SUBSTITUTE(SUBSTITUTE(SUBSTITUTE(IF(INDEX(Attributes!$H$3:$H$52,Q207)&lt;&gt;"",INDEX(Attributes!$H$3:$H$52,Q207),Entity!$B$9),"{entity}",LOWER(Entity!$B$3)),"{value}",D207),"{attribute}",LOWER(C207)),"")))</f>
        <v/>
      </c>
    </row>
    <row r="208">
      <c r="A208">
        <f>ROW()-2</f>
        <v/>
      </c>
      <c r="B208">
        <f>IF(A208=1,"Pillar",IF(A208&lt;=1+Entity!$B$14,"Cluster",IF(A208&lt;=1+Entity!$B$14+Entity!$B$15,"Supporting","")))</f>
        <v/>
      </c>
      <c r="C208">
        <f>IF(B208="Cluster",INDEX(Attributes!$A$3:$A$52,MATCH(A208-1,Attributes!$P$3:$P$52,0)),IF(B208="Supporting",INDEX(Values!$A$3:$A$502,P208),""))</f>
        <v/>
      </c>
      <c r="D208">
        <f>IF(B208="Supporting",INDEX(Values!$B$3:$B$502,P208),"")</f>
        <v/>
      </c>
      <c r="E208">
        <f>IF(R208="","",UPPER(LEFT(R208,1))&amp;MID(R208,2,500))</f>
        <v/>
      </c>
      <c r="F208">
        <f>IF(E208="","",LOWER(SUBSTITUTE(SUBSTITUTE(SUBSTITUTE(SUBSTITUTE(SUBSTITUTE(SUBSTITUTE(SUBSTITUTE(TRIM(E208),":",""),",",""),"'",""),"&amp;","and"),"£",""),"  "," ")," ","-")))</f>
        <v/>
      </c>
      <c r="G208">
        <f>IF(B208="Cluster",$E$3,IF(B208="Supporting",INDEX($E$3:$E$553,MATCH(C208,$C$3:$C$553,0)),""))</f>
        <v/>
      </c>
      <c r="H208">
        <f>IF(B208="Supporting",IFERROR(INDEX($E$3:$E$553,1+Entity!$B$14+INDEX(Values!$O$3:$O$502,P208)),""),IF(B208="Cluster",IF(Entity!$B$14&lt;2,"",INDEX($E$3:$E$553,IF(A208-1=Entity!$B$14,2,A208+1))),""))</f>
        <v/>
      </c>
      <c r="I208">
        <f>IF(B208="Pillar",Entity!$B$14&amp;" cluster pages",IF(B208="Cluster",(COUNTIF($C$3:$C$553,SUBSTITUTE(SUBSTITUTE(C208,"?","~?"),"*","~*"))-1)&amp;" supporting pages",""))</f>
        <v/>
      </c>
      <c r="J208">
        <f>IF(B208="Pillar","Informational",IF(OR(B208="Cluster",B208="Supporting"),INDEX(Attributes!$D$3:$D$52,Q208)&amp;"",""))</f>
        <v/>
      </c>
      <c r="K208">
        <f>IF(B208="","",IF(B208="Pillar","Pillar guide (entity hub)",IF(B208="Cluster","Hub page for this attribute",IF(INDEX(Values!$C$3:$C$502,P208)="Yes","Entity page (profile of the sub-entity)",IFERROR(INDEX(Lists!$B$3:$B$6,MATCH(J208,Lists!$A$3:$A$6,0)),"Article")))))</f>
        <v/>
      </c>
      <c r="L208">
        <f>IF(B208="Pillar",Entity!$B$6&amp;"",IF(B208="Cluster",INDEX(Attributes!$I$3:$I$52,Q208)&amp;"",IF(B208="Supporting",INDEX(Values!$F$3:$F$502,P208)&amp;"","")))</f>
        <v/>
      </c>
      <c r="M208">
        <f>IF(B208="","",IF(L208&lt;&gt;"","Covered","Gap"))</f>
        <v/>
      </c>
      <c r="N208">
        <f>IF(B208="Pillar",SUMIFS(Values!$E$3:$E$502,Values!$I$3:$I$502,"Yes"),IF(B208="Cluster",SUMIFS(Values!$E$3:$E$502,Values!$A$3:$A$502,SUBSTITUTE(SUBSTITUTE(C208,"?","~?"),"*","~*"),Values!$I$3:$I$502,"Yes"),IF(B208="Supporting",N(INDEX(Values!$E$3:$E$502,P208)),"")))</f>
        <v/>
      </c>
      <c r="O208">
        <f>IF(B208="","",IF(B208="Pillar",100,IF(B208="Cluster",N(INDEX(Attributes!$E$3:$E$52,Q208))*25+IF(M208="Gap",10,0),N(INDEX(Attributes!$E$3:$E$52,Q208))*20+MIN(20,ROUND(LOG10(N(N208)+1)*5,0))+IF(M208="Gap",10,0)+IF(INDEX(Values!$D$3:$D$502,P208)="Yes",5,0))))</f>
        <v/>
      </c>
      <c r="P208">
        <f>IF(B208="Supporting",MATCH(A208-1-Entity!$B$14,Values!$J$3:$J$502,0),"")</f>
        <v/>
      </c>
      <c r="Q208">
        <f>IF(C208="","",MATCH(C208,Attributes!$A$3:$A$52,0))</f>
        <v/>
      </c>
      <c r="R208">
        <f>IF(B208="Pillar",SUBSTITUTE(Entity!$B$7,"{entity}",LOWER(Entity!$B$3)),IF(B208="Cluster",IF(INDEX(Attributes!$G$3:$G$52,Q208)&lt;&gt;"",INDEX(Attributes!$G$3:$G$52,Q208),SUBSTITUTE(SUBSTITUTE(Entity!$B$8,"{entity}",LOWER(Entity!$B$3)),"{attribute}",LOWER(C208))),IF(B208="Supporting",SUBSTITUTE(SUBSTITUTE(SUBSTITUTE(IF(INDEX(Attributes!$H$3:$H$52,Q208)&lt;&gt;"",INDEX(Attributes!$H$3:$H$52,Q208),Entity!$B$9),"{entity}",LOWER(Entity!$B$3)),"{value}",D208),"{attribute}",LOWER(C208)),"")))</f>
        <v/>
      </c>
    </row>
    <row r="209">
      <c r="A209">
        <f>ROW()-2</f>
        <v/>
      </c>
      <c r="B209">
        <f>IF(A209=1,"Pillar",IF(A209&lt;=1+Entity!$B$14,"Cluster",IF(A209&lt;=1+Entity!$B$14+Entity!$B$15,"Supporting","")))</f>
        <v/>
      </c>
      <c r="C209">
        <f>IF(B209="Cluster",INDEX(Attributes!$A$3:$A$52,MATCH(A209-1,Attributes!$P$3:$P$52,0)),IF(B209="Supporting",INDEX(Values!$A$3:$A$502,P209),""))</f>
        <v/>
      </c>
      <c r="D209">
        <f>IF(B209="Supporting",INDEX(Values!$B$3:$B$502,P209),"")</f>
        <v/>
      </c>
      <c r="E209">
        <f>IF(R209="","",UPPER(LEFT(R209,1))&amp;MID(R209,2,500))</f>
        <v/>
      </c>
      <c r="F209">
        <f>IF(E209="","",LOWER(SUBSTITUTE(SUBSTITUTE(SUBSTITUTE(SUBSTITUTE(SUBSTITUTE(SUBSTITUTE(SUBSTITUTE(TRIM(E209),":",""),",",""),"'",""),"&amp;","and"),"£",""),"  "," ")," ","-")))</f>
        <v/>
      </c>
      <c r="G209">
        <f>IF(B209="Cluster",$E$3,IF(B209="Supporting",INDEX($E$3:$E$553,MATCH(C209,$C$3:$C$553,0)),""))</f>
        <v/>
      </c>
      <c r="H209">
        <f>IF(B209="Supporting",IFERROR(INDEX($E$3:$E$553,1+Entity!$B$14+INDEX(Values!$O$3:$O$502,P209)),""),IF(B209="Cluster",IF(Entity!$B$14&lt;2,"",INDEX($E$3:$E$553,IF(A209-1=Entity!$B$14,2,A209+1))),""))</f>
        <v/>
      </c>
      <c r="I209">
        <f>IF(B209="Pillar",Entity!$B$14&amp;" cluster pages",IF(B209="Cluster",(COUNTIF($C$3:$C$553,SUBSTITUTE(SUBSTITUTE(C209,"?","~?"),"*","~*"))-1)&amp;" supporting pages",""))</f>
        <v/>
      </c>
      <c r="J209">
        <f>IF(B209="Pillar","Informational",IF(OR(B209="Cluster",B209="Supporting"),INDEX(Attributes!$D$3:$D$52,Q209)&amp;"",""))</f>
        <v/>
      </c>
      <c r="K209">
        <f>IF(B209="","",IF(B209="Pillar","Pillar guide (entity hub)",IF(B209="Cluster","Hub page for this attribute",IF(INDEX(Values!$C$3:$C$502,P209)="Yes","Entity page (profile of the sub-entity)",IFERROR(INDEX(Lists!$B$3:$B$6,MATCH(J209,Lists!$A$3:$A$6,0)),"Article")))))</f>
        <v/>
      </c>
      <c r="L209">
        <f>IF(B209="Pillar",Entity!$B$6&amp;"",IF(B209="Cluster",INDEX(Attributes!$I$3:$I$52,Q209)&amp;"",IF(B209="Supporting",INDEX(Values!$F$3:$F$502,P209)&amp;"","")))</f>
        <v/>
      </c>
      <c r="M209">
        <f>IF(B209="","",IF(L209&lt;&gt;"","Covered","Gap"))</f>
        <v/>
      </c>
      <c r="N209">
        <f>IF(B209="Pillar",SUMIFS(Values!$E$3:$E$502,Values!$I$3:$I$502,"Yes"),IF(B209="Cluster",SUMIFS(Values!$E$3:$E$502,Values!$A$3:$A$502,SUBSTITUTE(SUBSTITUTE(C209,"?","~?"),"*","~*"),Values!$I$3:$I$502,"Yes"),IF(B209="Supporting",N(INDEX(Values!$E$3:$E$502,P209)),"")))</f>
        <v/>
      </c>
      <c r="O209">
        <f>IF(B209="","",IF(B209="Pillar",100,IF(B209="Cluster",N(INDEX(Attributes!$E$3:$E$52,Q209))*25+IF(M209="Gap",10,0),N(INDEX(Attributes!$E$3:$E$52,Q209))*20+MIN(20,ROUND(LOG10(N(N209)+1)*5,0))+IF(M209="Gap",10,0)+IF(INDEX(Values!$D$3:$D$502,P209)="Yes",5,0))))</f>
        <v/>
      </c>
      <c r="P209">
        <f>IF(B209="Supporting",MATCH(A209-1-Entity!$B$14,Values!$J$3:$J$502,0),"")</f>
        <v/>
      </c>
      <c r="Q209">
        <f>IF(C209="","",MATCH(C209,Attributes!$A$3:$A$52,0))</f>
        <v/>
      </c>
      <c r="R209">
        <f>IF(B209="Pillar",SUBSTITUTE(Entity!$B$7,"{entity}",LOWER(Entity!$B$3)),IF(B209="Cluster",IF(INDEX(Attributes!$G$3:$G$52,Q209)&lt;&gt;"",INDEX(Attributes!$G$3:$G$52,Q209),SUBSTITUTE(SUBSTITUTE(Entity!$B$8,"{entity}",LOWER(Entity!$B$3)),"{attribute}",LOWER(C209))),IF(B209="Supporting",SUBSTITUTE(SUBSTITUTE(SUBSTITUTE(IF(INDEX(Attributes!$H$3:$H$52,Q209)&lt;&gt;"",INDEX(Attributes!$H$3:$H$52,Q209),Entity!$B$9),"{entity}",LOWER(Entity!$B$3)),"{value}",D209),"{attribute}",LOWER(C209)),"")))</f>
        <v/>
      </c>
    </row>
    <row r="210">
      <c r="A210">
        <f>ROW()-2</f>
        <v/>
      </c>
      <c r="B210">
        <f>IF(A210=1,"Pillar",IF(A210&lt;=1+Entity!$B$14,"Cluster",IF(A210&lt;=1+Entity!$B$14+Entity!$B$15,"Supporting","")))</f>
        <v/>
      </c>
      <c r="C210">
        <f>IF(B210="Cluster",INDEX(Attributes!$A$3:$A$52,MATCH(A210-1,Attributes!$P$3:$P$52,0)),IF(B210="Supporting",INDEX(Values!$A$3:$A$502,P210),""))</f>
        <v/>
      </c>
      <c r="D210">
        <f>IF(B210="Supporting",INDEX(Values!$B$3:$B$502,P210),"")</f>
        <v/>
      </c>
      <c r="E210">
        <f>IF(R210="","",UPPER(LEFT(R210,1))&amp;MID(R210,2,500))</f>
        <v/>
      </c>
      <c r="F210">
        <f>IF(E210="","",LOWER(SUBSTITUTE(SUBSTITUTE(SUBSTITUTE(SUBSTITUTE(SUBSTITUTE(SUBSTITUTE(SUBSTITUTE(TRIM(E210),":",""),",",""),"'",""),"&amp;","and"),"£",""),"  "," ")," ","-")))</f>
        <v/>
      </c>
      <c r="G210">
        <f>IF(B210="Cluster",$E$3,IF(B210="Supporting",INDEX($E$3:$E$553,MATCH(C210,$C$3:$C$553,0)),""))</f>
        <v/>
      </c>
      <c r="H210">
        <f>IF(B210="Supporting",IFERROR(INDEX($E$3:$E$553,1+Entity!$B$14+INDEX(Values!$O$3:$O$502,P210)),""),IF(B210="Cluster",IF(Entity!$B$14&lt;2,"",INDEX($E$3:$E$553,IF(A210-1=Entity!$B$14,2,A210+1))),""))</f>
        <v/>
      </c>
      <c r="I210">
        <f>IF(B210="Pillar",Entity!$B$14&amp;" cluster pages",IF(B210="Cluster",(COUNTIF($C$3:$C$553,SUBSTITUTE(SUBSTITUTE(C210,"?","~?"),"*","~*"))-1)&amp;" supporting pages",""))</f>
        <v/>
      </c>
      <c r="J210">
        <f>IF(B210="Pillar","Informational",IF(OR(B210="Cluster",B210="Supporting"),INDEX(Attributes!$D$3:$D$52,Q210)&amp;"",""))</f>
        <v/>
      </c>
      <c r="K210">
        <f>IF(B210="","",IF(B210="Pillar","Pillar guide (entity hub)",IF(B210="Cluster","Hub page for this attribute",IF(INDEX(Values!$C$3:$C$502,P210)="Yes","Entity page (profile of the sub-entity)",IFERROR(INDEX(Lists!$B$3:$B$6,MATCH(J210,Lists!$A$3:$A$6,0)),"Article")))))</f>
        <v/>
      </c>
      <c r="L210">
        <f>IF(B210="Pillar",Entity!$B$6&amp;"",IF(B210="Cluster",INDEX(Attributes!$I$3:$I$52,Q210)&amp;"",IF(B210="Supporting",INDEX(Values!$F$3:$F$502,P210)&amp;"","")))</f>
        <v/>
      </c>
      <c r="M210">
        <f>IF(B210="","",IF(L210&lt;&gt;"","Covered","Gap"))</f>
        <v/>
      </c>
      <c r="N210">
        <f>IF(B210="Pillar",SUMIFS(Values!$E$3:$E$502,Values!$I$3:$I$502,"Yes"),IF(B210="Cluster",SUMIFS(Values!$E$3:$E$502,Values!$A$3:$A$502,SUBSTITUTE(SUBSTITUTE(C210,"?","~?"),"*","~*"),Values!$I$3:$I$502,"Yes"),IF(B210="Supporting",N(INDEX(Values!$E$3:$E$502,P210)),"")))</f>
        <v/>
      </c>
      <c r="O210">
        <f>IF(B210="","",IF(B210="Pillar",100,IF(B210="Cluster",N(INDEX(Attributes!$E$3:$E$52,Q210))*25+IF(M210="Gap",10,0),N(INDEX(Attributes!$E$3:$E$52,Q210))*20+MIN(20,ROUND(LOG10(N(N210)+1)*5,0))+IF(M210="Gap",10,0)+IF(INDEX(Values!$D$3:$D$502,P210)="Yes",5,0))))</f>
        <v/>
      </c>
      <c r="P210">
        <f>IF(B210="Supporting",MATCH(A210-1-Entity!$B$14,Values!$J$3:$J$502,0),"")</f>
        <v/>
      </c>
      <c r="Q210">
        <f>IF(C210="","",MATCH(C210,Attributes!$A$3:$A$52,0))</f>
        <v/>
      </c>
      <c r="R210">
        <f>IF(B210="Pillar",SUBSTITUTE(Entity!$B$7,"{entity}",LOWER(Entity!$B$3)),IF(B210="Cluster",IF(INDEX(Attributes!$G$3:$G$52,Q210)&lt;&gt;"",INDEX(Attributes!$G$3:$G$52,Q210),SUBSTITUTE(SUBSTITUTE(Entity!$B$8,"{entity}",LOWER(Entity!$B$3)),"{attribute}",LOWER(C210))),IF(B210="Supporting",SUBSTITUTE(SUBSTITUTE(SUBSTITUTE(IF(INDEX(Attributes!$H$3:$H$52,Q210)&lt;&gt;"",INDEX(Attributes!$H$3:$H$52,Q210),Entity!$B$9),"{entity}",LOWER(Entity!$B$3)),"{value}",D210),"{attribute}",LOWER(C210)),"")))</f>
        <v/>
      </c>
    </row>
    <row r="211">
      <c r="A211">
        <f>ROW()-2</f>
        <v/>
      </c>
      <c r="B211">
        <f>IF(A211=1,"Pillar",IF(A211&lt;=1+Entity!$B$14,"Cluster",IF(A211&lt;=1+Entity!$B$14+Entity!$B$15,"Supporting","")))</f>
        <v/>
      </c>
      <c r="C211">
        <f>IF(B211="Cluster",INDEX(Attributes!$A$3:$A$52,MATCH(A211-1,Attributes!$P$3:$P$52,0)),IF(B211="Supporting",INDEX(Values!$A$3:$A$502,P211),""))</f>
        <v/>
      </c>
      <c r="D211">
        <f>IF(B211="Supporting",INDEX(Values!$B$3:$B$502,P211),"")</f>
        <v/>
      </c>
      <c r="E211">
        <f>IF(R211="","",UPPER(LEFT(R211,1))&amp;MID(R211,2,500))</f>
        <v/>
      </c>
      <c r="F211">
        <f>IF(E211="","",LOWER(SUBSTITUTE(SUBSTITUTE(SUBSTITUTE(SUBSTITUTE(SUBSTITUTE(SUBSTITUTE(SUBSTITUTE(TRIM(E211),":",""),",",""),"'",""),"&amp;","and"),"£",""),"  "," ")," ","-")))</f>
        <v/>
      </c>
      <c r="G211">
        <f>IF(B211="Cluster",$E$3,IF(B211="Supporting",INDEX($E$3:$E$553,MATCH(C211,$C$3:$C$553,0)),""))</f>
        <v/>
      </c>
      <c r="H211">
        <f>IF(B211="Supporting",IFERROR(INDEX($E$3:$E$553,1+Entity!$B$14+INDEX(Values!$O$3:$O$502,P211)),""),IF(B211="Cluster",IF(Entity!$B$14&lt;2,"",INDEX($E$3:$E$553,IF(A211-1=Entity!$B$14,2,A211+1))),""))</f>
        <v/>
      </c>
      <c r="I211">
        <f>IF(B211="Pillar",Entity!$B$14&amp;" cluster pages",IF(B211="Cluster",(COUNTIF($C$3:$C$553,SUBSTITUTE(SUBSTITUTE(C211,"?","~?"),"*","~*"))-1)&amp;" supporting pages",""))</f>
        <v/>
      </c>
      <c r="J211">
        <f>IF(B211="Pillar","Informational",IF(OR(B211="Cluster",B211="Supporting"),INDEX(Attributes!$D$3:$D$52,Q211)&amp;"",""))</f>
        <v/>
      </c>
      <c r="K211">
        <f>IF(B211="","",IF(B211="Pillar","Pillar guide (entity hub)",IF(B211="Cluster","Hub page for this attribute",IF(INDEX(Values!$C$3:$C$502,P211)="Yes","Entity page (profile of the sub-entity)",IFERROR(INDEX(Lists!$B$3:$B$6,MATCH(J211,Lists!$A$3:$A$6,0)),"Article")))))</f>
        <v/>
      </c>
      <c r="L211">
        <f>IF(B211="Pillar",Entity!$B$6&amp;"",IF(B211="Cluster",INDEX(Attributes!$I$3:$I$52,Q211)&amp;"",IF(B211="Supporting",INDEX(Values!$F$3:$F$502,P211)&amp;"","")))</f>
        <v/>
      </c>
      <c r="M211">
        <f>IF(B211="","",IF(L211&lt;&gt;"","Covered","Gap"))</f>
        <v/>
      </c>
      <c r="N211">
        <f>IF(B211="Pillar",SUMIFS(Values!$E$3:$E$502,Values!$I$3:$I$502,"Yes"),IF(B211="Cluster",SUMIFS(Values!$E$3:$E$502,Values!$A$3:$A$502,SUBSTITUTE(SUBSTITUTE(C211,"?","~?"),"*","~*"),Values!$I$3:$I$502,"Yes"),IF(B211="Supporting",N(INDEX(Values!$E$3:$E$502,P211)),"")))</f>
        <v/>
      </c>
      <c r="O211">
        <f>IF(B211="","",IF(B211="Pillar",100,IF(B211="Cluster",N(INDEX(Attributes!$E$3:$E$52,Q211))*25+IF(M211="Gap",10,0),N(INDEX(Attributes!$E$3:$E$52,Q211))*20+MIN(20,ROUND(LOG10(N(N211)+1)*5,0))+IF(M211="Gap",10,0)+IF(INDEX(Values!$D$3:$D$502,P211)="Yes",5,0))))</f>
        <v/>
      </c>
      <c r="P211">
        <f>IF(B211="Supporting",MATCH(A211-1-Entity!$B$14,Values!$J$3:$J$502,0),"")</f>
        <v/>
      </c>
      <c r="Q211">
        <f>IF(C211="","",MATCH(C211,Attributes!$A$3:$A$52,0))</f>
        <v/>
      </c>
      <c r="R211">
        <f>IF(B211="Pillar",SUBSTITUTE(Entity!$B$7,"{entity}",LOWER(Entity!$B$3)),IF(B211="Cluster",IF(INDEX(Attributes!$G$3:$G$52,Q211)&lt;&gt;"",INDEX(Attributes!$G$3:$G$52,Q211),SUBSTITUTE(SUBSTITUTE(Entity!$B$8,"{entity}",LOWER(Entity!$B$3)),"{attribute}",LOWER(C211))),IF(B211="Supporting",SUBSTITUTE(SUBSTITUTE(SUBSTITUTE(IF(INDEX(Attributes!$H$3:$H$52,Q211)&lt;&gt;"",INDEX(Attributes!$H$3:$H$52,Q211),Entity!$B$9),"{entity}",LOWER(Entity!$B$3)),"{value}",D211),"{attribute}",LOWER(C211)),"")))</f>
        <v/>
      </c>
    </row>
    <row r="212">
      <c r="A212">
        <f>ROW()-2</f>
        <v/>
      </c>
      <c r="B212">
        <f>IF(A212=1,"Pillar",IF(A212&lt;=1+Entity!$B$14,"Cluster",IF(A212&lt;=1+Entity!$B$14+Entity!$B$15,"Supporting","")))</f>
        <v/>
      </c>
      <c r="C212">
        <f>IF(B212="Cluster",INDEX(Attributes!$A$3:$A$52,MATCH(A212-1,Attributes!$P$3:$P$52,0)),IF(B212="Supporting",INDEX(Values!$A$3:$A$502,P212),""))</f>
        <v/>
      </c>
      <c r="D212">
        <f>IF(B212="Supporting",INDEX(Values!$B$3:$B$502,P212),"")</f>
        <v/>
      </c>
      <c r="E212">
        <f>IF(R212="","",UPPER(LEFT(R212,1))&amp;MID(R212,2,500))</f>
        <v/>
      </c>
      <c r="F212">
        <f>IF(E212="","",LOWER(SUBSTITUTE(SUBSTITUTE(SUBSTITUTE(SUBSTITUTE(SUBSTITUTE(SUBSTITUTE(SUBSTITUTE(TRIM(E212),":",""),",",""),"'",""),"&amp;","and"),"£",""),"  "," ")," ","-")))</f>
        <v/>
      </c>
      <c r="G212">
        <f>IF(B212="Cluster",$E$3,IF(B212="Supporting",INDEX($E$3:$E$553,MATCH(C212,$C$3:$C$553,0)),""))</f>
        <v/>
      </c>
      <c r="H212">
        <f>IF(B212="Supporting",IFERROR(INDEX($E$3:$E$553,1+Entity!$B$14+INDEX(Values!$O$3:$O$502,P212)),""),IF(B212="Cluster",IF(Entity!$B$14&lt;2,"",INDEX($E$3:$E$553,IF(A212-1=Entity!$B$14,2,A212+1))),""))</f>
        <v/>
      </c>
      <c r="I212">
        <f>IF(B212="Pillar",Entity!$B$14&amp;" cluster pages",IF(B212="Cluster",(COUNTIF($C$3:$C$553,SUBSTITUTE(SUBSTITUTE(C212,"?","~?"),"*","~*"))-1)&amp;" supporting pages",""))</f>
        <v/>
      </c>
      <c r="J212">
        <f>IF(B212="Pillar","Informational",IF(OR(B212="Cluster",B212="Supporting"),INDEX(Attributes!$D$3:$D$52,Q212)&amp;"",""))</f>
        <v/>
      </c>
      <c r="K212">
        <f>IF(B212="","",IF(B212="Pillar","Pillar guide (entity hub)",IF(B212="Cluster","Hub page for this attribute",IF(INDEX(Values!$C$3:$C$502,P212)="Yes","Entity page (profile of the sub-entity)",IFERROR(INDEX(Lists!$B$3:$B$6,MATCH(J212,Lists!$A$3:$A$6,0)),"Article")))))</f>
        <v/>
      </c>
      <c r="L212">
        <f>IF(B212="Pillar",Entity!$B$6&amp;"",IF(B212="Cluster",INDEX(Attributes!$I$3:$I$52,Q212)&amp;"",IF(B212="Supporting",INDEX(Values!$F$3:$F$502,P212)&amp;"","")))</f>
        <v/>
      </c>
      <c r="M212">
        <f>IF(B212="","",IF(L212&lt;&gt;"","Covered","Gap"))</f>
        <v/>
      </c>
      <c r="N212">
        <f>IF(B212="Pillar",SUMIFS(Values!$E$3:$E$502,Values!$I$3:$I$502,"Yes"),IF(B212="Cluster",SUMIFS(Values!$E$3:$E$502,Values!$A$3:$A$502,SUBSTITUTE(SUBSTITUTE(C212,"?","~?"),"*","~*"),Values!$I$3:$I$502,"Yes"),IF(B212="Supporting",N(INDEX(Values!$E$3:$E$502,P212)),"")))</f>
        <v/>
      </c>
      <c r="O212">
        <f>IF(B212="","",IF(B212="Pillar",100,IF(B212="Cluster",N(INDEX(Attributes!$E$3:$E$52,Q212))*25+IF(M212="Gap",10,0),N(INDEX(Attributes!$E$3:$E$52,Q212))*20+MIN(20,ROUND(LOG10(N(N212)+1)*5,0))+IF(M212="Gap",10,0)+IF(INDEX(Values!$D$3:$D$502,P212)="Yes",5,0))))</f>
        <v/>
      </c>
      <c r="P212">
        <f>IF(B212="Supporting",MATCH(A212-1-Entity!$B$14,Values!$J$3:$J$502,0),"")</f>
        <v/>
      </c>
      <c r="Q212">
        <f>IF(C212="","",MATCH(C212,Attributes!$A$3:$A$52,0))</f>
        <v/>
      </c>
      <c r="R212">
        <f>IF(B212="Pillar",SUBSTITUTE(Entity!$B$7,"{entity}",LOWER(Entity!$B$3)),IF(B212="Cluster",IF(INDEX(Attributes!$G$3:$G$52,Q212)&lt;&gt;"",INDEX(Attributes!$G$3:$G$52,Q212),SUBSTITUTE(SUBSTITUTE(Entity!$B$8,"{entity}",LOWER(Entity!$B$3)),"{attribute}",LOWER(C212))),IF(B212="Supporting",SUBSTITUTE(SUBSTITUTE(SUBSTITUTE(IF(INDEX(Attributes!$H$3:$H$52,Q212)&lt;&gt;"",INDEX(Attributes!$H$3:$H$52,Q212),Entity!$B$9),"{entity}",LOWER(Entity!$B$3)),"{value}",D212),"{attribute}",LOWER(C212)),"")))</f>
        <v/>
      </c>
    </row>
    <row r="213">
      <c r="A213">
        <f>ROW()-2</f>
        <v/>
      </c>
      <c r="B213">
        <f>IF(A213=1,"Pillar",IF(A213&lt;=1+Entity!$B$14,"Cluster",IF(A213&lt;=1+Entity!$B$14+Entity!$B$15,"Supporting","")))</f>
        <v/>
      </c>
      <c r="C213">
        <f>IF(B213="Cluster",INDEX(Attributes!$A$3:$A$52,MATCH(A213-1,Attributes!$P$3:$P$52,0)),IF(B213="Supporting",INDEX(Values!$A$3:$A$502,P213),""))</f>
        <v/>
      </c>
      <c r="D213">
        <f>IF(B213="Supporting",INDEX(Values!$B$3:$B$502,P213),"")</f>
        <v/>
      </c>
      <c r="E213">
        <f>IF(R213="","",UPPER(LEFT(R213,1))&amp;MID(R213,2,500))</f>
        <v/>
      </c>
      <c r="F213">
        <f>IF(E213="","",LOWER(SUBSTITUTE(SUBSTITUTE(SUBSTITUTE(SUBSTITUTE(SUBSTITUTE(SUBSTITUTE(SUBSTITUTE(TRIM(E213),":",""),",",""),"'",""),"&amp;","and"),"£",""),"  "," ")," ","-")))</f>
        <v/>
      </c>
      <c r="G213">
        <f>IF(B213="Cluster",$E$3,IF(B213="Supporting",INDEX($E$3:$E$553,MATCH(C213,$C$3:$C$553,0)),""))</f>
        <v/>
      </c>
      <c r="H213">
        <f>IF(B213="Supporting",IFERROR(INDEX($E$3:$E$553,1+Entity!$B$14+INDEX(Values!$O$3:$O$502,P213)),""),IF(B213="Cluster",IF(Entity!$B$14&lt;2,"",INDEX($E$3:$E$553,IF(A213-1=Entity!$B$14,2,A213+1))),""))</f>
        <v/>
      </c>
      <c r="I213">
        <f>IF(B213="Pillar",Entity!$B$14&amp;" cluster pages",IF(B213="Cluster",(COUNTIF($C$3:$C$553,SUBSTITUTE(SUBSTITUTE(C213,"?","~?"),"*","~*"))-1)&amp;" supporting pages",""))</f>
        <v/>
      </c>
      <c r="J213">
        <f>IF(B213="Pillar","Informational",IF(OR(B213="Cluster",B213="Supporting"),INDEX(Attributes!$D$3:$D$52,Q213)&amp;"",""))</f>
        <v/>
      </c>
      <c r="K213">
        <f>IF(B213="","",IF(B213="Pillar","Pillar guide (entity hub)",IF(B213="Cluster","Hub page for this attribute",IF(INDEX(Values!$C$3:$C$502,P213)="Yes","Entity page (profile of the sub-entity)",IFERROR(INDEX(Lists!$B$3:$B$6,MATCH(J213,Lists!$A$3:$A$6,0)),"Article")))))</f>
        <v/>
      </c>
      <c r="L213">
        <f>IF(B213="Pillar",Entity!$B$6&amp;"",IF(B213="Cluster",INDEX(Attributes!$I$3:$I$52,Q213)&amp;"",IF(B213="Supporting",INDEX(Values!$F$3:$F$502,P213)&amp;"","")))</f>
        <v/>
      </c>
      <c r="M213">
        <f>IF(B213="","",IF(L213&lt;&gt;"","Covered","Gap"))</f>
        <v/>
      </c>
      <c r="N213">
        <f>IF(B213="Pillar",SUMIFS(Values!$E$3:$E$502,Values!$I$3:$I$502,"Yes"),IF(B213="Cluster",SUMIFS(Values!$E$3:$E$502,Values!$A$3:$A$502,SUBSTITUTE(SUBSTITUTE(C213,"?","~?"),"*","~*"),Values!$I$3:$I$502,"Yes"),IF(B213="Supporting",N(INDEX(Values!$E$3:$E$502,P213)),"")))</f>
        <v/>
      </c>
      <c r="O213">
        <f>IF(B213="","",IF(B213="Pillar",100,IF(B213="Cluster",N(INDEX(Attributes!$E$3:$E$52,Q213))*25+IF(M213="Gap",10,0),N(INDEX(Attributes!$E$3:$E$52,Q213))*20+MIN(20,ROUND(LOG10(N(N213)+1)*5,0))+IF(M213="Gap",10,0)+IF(INDEX(Values!$D$3:$D$502,P213)="Yes",5,0))))</f>
        <v/>
      </c>
      <c r="P213">
        <f>IF(B213="Supporting",MATCH(A213-1-Entity!$B$14,Values!$J$3:$J$502,0),"")</f>
        <v/>
      </c>
      <c r="Q213">
        <f>IF(C213="","",MATCH(C213,Attributes!$A$3:$A$52,0))</f>
        <v/>
      </c>
      <c r="R213">
        <f>IF(B213="Pillar",SUBSTITUTE(Entity!$B$7,"{entity}",LOWER(Entity!$B$3)),IF(B213="Cluster",IF(INDEX(Attributes!$G$3:$G$52,Q213)&lt;&gt;"",INDEX(Attributes!$G$3:$G$52,Q213),SUBSTITUTE(SUBSTITUTE(Entity!$B$8,"{entity}",LOWER(Entity!$B$3)),"{attribute}",LOWER(C213))),IF(B213="Supporting",SUBSTITUTE(SUBSTITUTE(SUBSTITUTE(IF(INDEX(Attributes!$H$3:$H$52,Q213)&lt;&gt;"",INDEX(Attributes!$H$3:$H$52,Q213),Entity!$B$9),"{entity}",LOWER(Entity!$B$3)),"{value}",D213),"{attribute}",LOWER(C213)),"")))</f>
        <v/>
      </c>
    </row>
    <row r="214">
      <c r="A214">
        <f>ROW()-2</f>
        <v/>
      </c>
      <c r="B214">
        <f>IF(A214=1,"Pillar",IF(A214&lt;=1+Entity!$B$14,"Cluster",IF(A214&lt;=1+Entity!$B$14+Entity!$B$15,"Supporting","")))</f>
        <v/>
      </c>
      <c r="C214">
        <f>IF(B214="Cluster",INDEX(Attributes!$A$3:$A$52,MATCH(A214-1,Attributes!$P$3:$P$52,0)),IF(B214="Supporting",INDEX(Values!$A$3:$A$502,P214),""))</f>
        <v/>
      </c>
      <c r="D214">
        <f>IF(B214="Supporting",INDEX(Values!$B$3:$B$502,P214),"")</f>
        <v/>
      </c>
      <c r="E214">
        <f>IF(R214="","",UPPER(LEFT(R214,1))&amp;MID(R214,2,500))</f>
        <v/>
      </c>
      <c r="F214">
        <f>IF(E214="","",LOWER(SUBSTITUTE(SUBSTITUTE(SUBSTITUTE(SUBSTITUTE(SUBSTITUTE(SUBSTITUTE(SUBSTITUTE(TRIM(E214),":",""),",",""),"'",""),"&amp;","and"),"£",""),"  "," ")," ","-")))</f>
        <v/>
      </c>
      <c r="G214">
        <f>IF(B214="Cluster",$E$3,IF(B214="Supporting",INDEX($E$3:$E$553,MATCH(C214,$C$3:$C$553,0)),""))</f>
        <v/>
      </c>
      <c r="H214">
        <f>IF(B214="Supporting",IFERROR(INDEX($E$3:$E$553,1+Entity!$B$14+INDEX(Values!$O$3:$O$502,P214)),""),IF(B214="Cluster",IF(Entity!$B$14&lt;2,"",INDEX($E$3:$E$553,IF(A214-1=Entity!$B$14,2,A214+1))),""))</f>
        <v/>
      </c>
      <c r="I214">
        <f>IF(B214="Pillar",Entity!$B$14&amp;" cluster pages",IF(B214="Cluster",(COUNTIF($C$3:$C$553,SUBSTITUTE(SUBSTITUTE(C214,"?","~?"),"*","~*"))-1)&amp;" supporting pages",""))</f>
        <v/>
      </c>
      <c r="J214">
        <f>IF(B214="Pillar","Informational",IF(OR(B214="Cluster",B214="Supporting"),INDEX(Attributes!$D$3:$D$52,Q214)&amp;"",""))</f>
        <v/>
      </c>
      <c r="K214">
        <f>IF(B214="","",IF(B214="Pillar","Pillar guide (entity hub)",IF(B214="Cluster","Hub page for this attribute",IF(INDEX(Values!$C$3:$C$502,P214)="Yes","Entity page (profile of the sub-entity)",IFERROR(INDEX(Lists!$B$3:$B$6,MATCH(J214,Lists!$A$3:$A$6,0)),"Article")))))</f>
        <v/>
      </c>
      <c r="L214">
        <f>IF(B214="Pillar",Entity!$B$6&amp;"",IF(B214="Cluster",INDEX(Attributes!$I$3:$I$52,Q214)&amp;"",IF(B214="Supporting",INDEX(Values!$F$3:$F$502,P214)&amp;"","")))</f>
        <v/>
      </c>
      <c r="M214">
        <f>IF(B214="","",IF(L214&lt;&gt;"","Covered","Gap"))</f>
        <v/>
      </c>
      <c r="N214">
        <f>IF(B214="Pillar",SUMIFS(Values!$E$3:$E$502,Values!$I$3:$I$502,"Yes"),IF(B214="Cluster",SUMIFS(Values!$E$3:$E$502,Values!$A$3:$A$502,SUBSTITUTE(SUBSTITUTE(C214,"?","~?"),"*","~*"),Values!$I$3:$I$502,"Yes"),IF(B214="Supporting",N(INDEX(Values!$E$3:$E$502,P214)),"")))</f>
        <v/>
      </c>
      <c r="O214">
        <f>IF(B214="","",IF(B214="Pillar",100,IF(B214="Cluster",N(INDEX(Attributes!$E$3:$E$52,Q214))*25+IF(M214="Gap",10,0),N(INDEX(Attributes!$E$3:$E$52,Q214))*20+MIN(20,ROUND(LOG10(N(N214)+1)*5,0))+IF(M214="Gap",10,0)+IF(INDEX(Values!$D$3:$D$502,P214)="Yes",5,0))))</f>
        <v/>
      </c>
      <c r="P214">
        <f>IF(B214="Supporting",MATCH(A214-1-Entity!$B$14,Values!$J$3:$J$502,0),"")</f>
        <v/>
      </c>
      <c r="Q214">
        <f>IF(C214="","",MATCH(C214,Attributes!$A$3:$A$52,0))</f>
        <v/>
      </c>
      <c r="R214">
        <f>IF(B214="Pillar",SUBSTITUTE(Entity!$B$7,"{entity}",LOWER(Entity!$B$3)),IF(B214="Cluster",IF(INDEX(Attributes!$G$3:$G$52,Q214)&lt;&gt;"",INDEX(Attributes!$G$3:$G$52,Q214),SUBSTITUTE(SUBSTITUTE(Entity!$B$8,"{entity}",LOWER(Entity!$B$3)),"{attribute}",LOWER(C214))),IF(B214="Supporting",SUBSTITUTE(SUBSTITUTE(SUBSTITUTE(IF(INDEX(Attributes!$H$3:$H$52,Q214)&lt;&gt;"",INDEX(Attributes!$H$3:$H$52,Q214),Entity!$B$9),"{entity}",LOWER(Entity!$B$3)),"{value}",D214),"{attribute}",LOWER(C214)),"")))</f>
        <v/>
      </c>
    </row>
    <row r="215">
      <c r="A215">
        <f>ROW()-2</f>
        <v/>
      </c>
      <c r="B215">
        <f>IF(A215=1,"Pillar",IF(A215&lt;=1+Entity!$B$14,"Cluster",IF(A215&lt;=1+Entity!$B$14+Entity!$B$15,"Supporting","")))</f>
        <v/>
      </c>
      <c r="C215">
        <f>IF(B215="Cluster",INDEX(Attributes!$A$3:$A$52,MATCH(A215-1,Attributes!$P$3:$P$52,0)),IF(B215="Supporting",INDEX(Values!$A$3:$A$502,P215),""))</f>
        <v/>
      </c>
      <c r="D215">
        <f>IF(B215="Supporting",INDEX(Values!$B$3:$B$502,P215),"")</f>
        <v/>
      </c>
      <c r="E215">
        <f>IF(R215="","",UPPER(LEFT(R215,1))&amp;MID(R215,2,500))</f>
        <v/>
      </c>
      <c r="F215">
        <f>IF(E215="","",LOWER(SUBSTITUTE(SUBSTITUTE(SUBSTITUTE(SUBSTITUTE(SUBSTITUTE(SUBSTITUTE(SUBSTITUTE(TRIM(E215),":",""),",",""),"'",""),"&amp;","and"),"£",""),"  "," ")," ","-")))</f>
        <v/>
      </c>
      <c r="G215">
        <f>IF(B215="Cluster",$E$3,IF(B215="Supporting",INDEX($E$3:$E$553,MATCH(C215,$C$3:$C$553,0)),""))</f>
        <v/>
      </c>
      <c r="H215">
        <f>IF(B215="Supporting",IFERROR(INDEX($E$3:$E$553,1+Entity!$B$14+INDEX(Values!$O$3:$O$502,P215)),""),IF(B215="Cluster",IF(Entity!$B$14&lt;2,"",INDEX($E$3:$E$553,IF(A215-1=Entity!$B$14,2,A215+1))),""))</f>
        <v/>
      </c>
      <c r="I215">
        <f>IF(B215="Pillar",Entity!$B$14&amp;" cluster pages",IF(B215="Cluster",(COUNTIF($C$3:$C$553,SUBSTITUTE(SUBSTITUTE(C215,"?","~?"),"*","~*"))-1)&amp;" supporting pages",""))</f>
        <v/>
      </c>
      <c r="J215">
        <f>IF(B215="Pillar","Informational",IF(OR(B215="Cluster",B215="Supporting"),INDEX(Attributes!$D$3:$D$52,Q215)&amp;"",""))</f>
        <v/>
      </c>
      <c r="K215">
        <f>IF(B215="","",IF(B215="Pillar","Pillar guide (entity hub)",IF(B215="Cluster","Hub page for this attribute",IF(INDEX(Values!$C$3:$C$502,P215)="Yes","Entity page (profile of the sub-entity)",IFERROR(INDEX(Lists!$B$3:$B$6,MATCH(J215,Lists!$A$3:$A$6,0)),"Article")))))</f>
        <v/>
      </c>
      <c r="L215">
        <f>IF(B215="Pillar",Entity!$B$6&amp;"",IF(B215="Cluster",INDEX(Attributes!$I$3:$I$52,Q215)&amp;"",IF(B215="Supporting",INDEX(Values!$F$3:$F$502,P215)&amp;"","")))</f>
        <v/>
      </c>
      <c r="M215">
        <f>IF(B215="","",IF(L215&lt;&gt;"","Covered","Gap"))</f>
        <v/>
      </c>
      <c r="N215">
        <f>IF(B215="Pillar",SUMIFS(Values!$E$3:$E$502,Values!$I$3:$I$502,"Yes"),IF(B215="Cluster",SUMIFS(Values!$E$3:$E$502,Values!$A$3:$A$502,SUBSTITUTE(SUBSTITUTE(C215,"?","~?"),"*","~*"),Values!$I$3:$I$502,"Yes"),IF(B215="Supporting",N(INDEX(Values!$E$3:$E$502,P215)),"")))</f>
        <v/>
      </c>
      <c r="O215">
        <f>IF(B215="","",IF(B215="Pillar",100,IF(B215="Cluster",N(INDEX(Attributes!$E$3:$E$52,Q215))*25+IF(M215="Gap",10,0),N(INDEX(Attributes!$E$3:$E$52,Q215))*20+MIN(20,ROUND(LOG10(N(N215)+1)*5,0))+IF(M215="Gap",10,0)+IF(INDEX(Values!$D$3:$D$502,P215)="Yes",5,0))))</f>
        <v/>
      </c>
      <c r="P215">
        <f>IF(B215="Supporting",MATCH(A215-1-Entity!$B$14,Values!$J$3:$J$502,0),"")</f>
        <v/>
      </c>
      <c r="Q215">
        <f>IF(C215="","",MATCH(C215,Attributes!$A$3:$A$52,0))</f>
        <v/>
      </c>
      <c r="R215">
        <f>IF(B215="Pillar",SUBSTITUTE(Entity!$B$7,"{entity}",LOWER(Entity!$B$3)),IF(B215="Cluster",IF(INDEX(Attributes!$G$3:$G$52,Q215)&lt;&gt;"",INDEX(Attributes!$G$3:$G$52,Q215),SUBSTITUTE(SUBSTITUTE(Entity!$B$8,"{entity}",LOWER(Entity!$B$3)),"{attribute}",LOWER(C215))),IF(B215="Supporting",SUBSTITUTE(SUBSTITUTE(SUBSTITUTE(IF(INDEX(Attributes!$H$3:$H$52,Q215)&lt;&gt;"",INDEX(Attributes!$H$3:$H$52,Q215),Entity!$B$9),"{entity}",LOWER(Entity!$B$3)),"{value}",D215),"{attribute}",LOWER(C215)),"")))</f>
        <v/>
      </c>
    </row>
    <row r="216">
      <c r="A216">
        <f>ROW()-2</f>
        <v/>
      </c>
      <c r="B216">
        <f>IF(A216=1,"Pillar",IF(A216&lt;=1+Entity!$B$14,"Cluster",IF(A216&lt;=1+Entity!$B$14+Entity!$B$15,"Supporting","")))</f>
        <v/>
      </c>
      <c r="C216">
        <f>IF(B216="Cluster",INDEX(Attributes!$A$3:$A$52,MATCH(A216-1,Attributes!$P$3:$P$52,0)),IF(B216="Supporting",INDEX(Values!$A$3:$A$502,P216),""))</f>
        <v/>
      </c>
      <c r="D216">
        <f>IF(B216="Supporting",INDEX(Values!$B$3:$B$502,P216),"")</f>
        <v/>
      </c>
      <c r="E216">
        <f>IF(R216="","",UPPER(LEFT(R216,1))&amp;MID(R216,2,500))</f>
        <v/>
      </c>
      <c r="F216">
        <f>IF(E216="","",LOWER(SUBSTITUTE(SUBSTITUTE(SUBSTITUTE(SUBSTITUTE(SUBSTITUTE(SUBSTITUTE(SUBSTITUTE(TRIM(E216),":",""),",",""),"'",""),"&amp;","and"),"£",""),"  "," ")," ","-")))</f>
        <v/>
      </c>
      <c r="G216">
        <f>IF(B216="Cluster",$E$3,IF(B216="Supporting",INDEX($E$3:$E$553,MATCH(C216,$C$3:$C$553,0)),""))</f>
        <v/>
      </c>
      <c r="H216">
        <f>IF(B216="Supporting",IFERROR(INDEX($E$3:$E$553,1+Entity!$B$14+INDEX(Values!$O$3:$O$502,P216)),""),IF(B216="Cluster",IF(Entity!$B$14&lt;2,"",INDEX($E$3:$E$553,IF(A216-1=Entity!$B$14,2,A216+1))),""))</f>
        <v/>
      </c>
      <c r="I216">
        <f>IF(B216="Pillar",Entity!$B$14&amp;" cluster pages",IF(B216="Cluster",(COUNTIF($C$3:$C$553,SUBSTITUTE(SUBSTITUTE(C216,"?","~?"),"*","~*"))-1)&amp;" supporting pages",""))</f>
        <v/>
      </c>
      <c r="J216">
        <f>IF(B216="Pillar","Informational",IF(OR(B216="Cluster",B216="Supporting"),INDEX(Attributes!$D$3:$D$52,Q216)&amp;"",""))</f>
        <v/>
      </c>
      <c r="K216">
        <f>IF(B216="","",IF(B216="Pillar","Pillar guide (entity hub)",IF(B216="Cluster","Hub page for this attribute",IF(INDEX(Values!$C$3:$C$502,P216)="Yes","Entity page (profile of the sub-entity)",IFERROR(INDEX(Lists!$B$3:$B$6,MATCH(J216,Lists!$A$3:$A$6,0)),"Article")))))</f>
        <v/>
      </c>
      <c r="L216">
        <f>IF(B216="Pillar",Entity!$B$6&amp;"",IF(B216="Cluster",INDEX(Attributes!$I$3:$I$52,Q216)&amp;"",IF(B216="Supporting",INDEX(Values!$F$3:$F$502,P216)&amp;"","")))</f>
        <v/>
      </c>
      <c r="M216">
        <f>IF(B216="","",IF(L216&lt;&gt;"","Covered","Gap"))</f>
        <v/>
      </c>
      <c r="N216">
        <f>IF(B216="Pillar",SUMIFS(Values!$E$3:$E$502,Values!$I$3:$I$502,"Yes"),IF(B216="Cluster",SUMIFS(Values!$E$3:$E$502,Values!$A$3:$A$502,SUBSTITUTE(SUBSTITUTE(C216,"?","~?"),"*","~*"),Values!$I$3:$I$502,"Yes"),IF(B216="Supporting",N(INDEX(Values!$E$3:$E$502,P216)),"")))</f>
        <v/>
      </c>
      <c r="O216">
        <f>IF(B216="","",IF(B216="Pillar",100,IF(B216="Cluster",N(INDEX(Attributes!$E$3:$E$52,Q216))*25+IF(M216="Gap",10,0),N(INDEX(Attributes!$E$3:$E$52,Q216))*20+MIN(20,ROUND(LOG10(N(N216)+1)*5,0))+IF(M216="Gap",10,0)+IF(INDEX(Values!$D$3:$D$502,P216)="Yes",5,0))))</f>
        <v/>
      </c>
      <c r="P216">
        <f>IF(B216="Supporting",MATCH(A216-1-Entity!$B$14,Values!$J$3:$J$502,0),"")</f>
        <v/>
      </c>
      <c r="Q216">
        <f>IF(C216="","",MATCH(C216,Attributes!$A$3:$A$52,0))</f>
        <v/>
      </c>
      <c r="R216">
        <f>IF(B216="Pillar",SUBSTITUTE(Entity!$B$7,"{entity}",LOWER(Entity!$B$3)),IF(B216="Cluster",IF(INDEX(Attributes!$G$3:$G$52,Q216)&lt;&gt;"",INDEX(Attributes!$G$3:$G$52,Q216),SUBSTITUTE(SUBSTITUTE(Entity!$B$8,"{entity}",LOWER(Entity!$B$3)),"{attribute}",LOWER(C216))),IF(B216="Supporting",SUBSTITUTE(SUBSTITUTE(SUBSTITUTE(IF(INDEX(Attributes!$H$3:$H$52,Q216)&lt;&gt;"",INDEX(Attributes!$H$3:$H$52,Q216),Entity!$B$9),"{entity}",LOWER(Entity!$B$3)),"{value}",D216),"{attribute}",LOWER(C216)),"")))</f>
        <v/>
      </c>
    </row>
    <row r="217">
      <c r="A217">
        <f>ROW()-2</f>
        <v/>
      </c>
      <c r="B217">
        <f>IF(A217=1,"Pillar",IF(A217&lt;=1+Entity!$B$14,"Cluster",IF(A217&lt;=1+Entity!$B$14+Entity!$B$15,"Supporting","")))</f>
        <v/>
      </c>
      <c r="C217">
        <f>IF(B217="Cluster",INDEX(Attributes!$A$3:$A$52,MATCH(A217-1,Attributes!$P$3:$P$52,0)),IF(B217="Supporting",INDEX(Values!$A$3:$A$502,P217),""))</f>
        <v/>
      </c>
      <c r="D217">
        <f>IF(B217="Supporting",INDEX(Values!$B$3:$B$502,P217),"")</f>
        <v/>
      </c>
      <c r="E217">
        <f>IF(R217="","",UPPER(LEFT(R217,1))&amp;MID(R217,2,500))</f>
        <v/>
      </c>
      <c r="F217">
        <f>IF(E217="","",LOWER(SUBSTITUTE(SUBSTITUTE(SUBSTITUTE(SUBSTITUTE(SUBSTITUTE(SUBSTITUTE(SUBSTITUTE(TRIM(E217),":",""),",",""),"'",""),"&amp;","and"),"£",""),"  "," ")," ","-")))</f>
        <v/>
      </c>
      <c r="G217">
        <f>IF(B217="Cluster",$E$3,IF(B217="Supporting",INDEX($E$3:$E$553,MATCH(C217,$C$3:$C$553,0)),""))</f>
        <v/>
      </c>
      <c r="H217">
        <f>IF(B217="Supporting",IFERROR(INDEX($E$3:$E$553,1+Entity!$B$14+INDEX(Values!$O$3:$O$502,P217)),""),IF(B217="Cluster",IF(Entity!$B$14&lt;2,"",INDEX($E$3:$E$553,IF(A217-1=Entity!$B$14,2,A217+1))),""))</f>
        <v/>
      </c>
      <c r="I217">
        <f>IF(B217="Pillar",Entity!$B$14&amp;" cluster pages",IF(B217="Cluster",(COUNTIF($C$3:$C$553,SUBSTITUTE(SUBSTITUTE(C217,"?","~?"),"*","~*"))-1)&amp;" supporting pages",""))</f>
        <v/>
      </c>
      <c r="J217">
        <f>IF(B217="Pillar","Informational",IF(OR(B217="Cluster",B217="Supporting"),INDEX(Attributes!$D$3:$D$52,Q217)&amp;"",""))</f>
        <v/>
      </c>
      <c r="K217">
        <f>IF(B217="","",IF(B217="Pillar","Pillar guide (entity hub)",IF(B217="Cluster","Hub page for this attribute",IF(INDEX(Values!$C$3:$C$502,P217)="Yes","Entity page (profile of the sub-entity)",IFERROR(INDEX(Lists!$B$3:$B$6,MATCH(J217,Lists!$A$3:$A$6,0)),"Article")))))</f>
        <v/>
      </c>
      <c r="L217">
        <f>IF(B217="Pillar",Entity!$B$6&amp;"",IF(B217="Cluster",INDEX(Attributes!$I$3:$I$52,Q217)&amp;"",IF(B217="Supporting",INDEX(Values!$F$3:$F$502,P217)&amp;"","")))</f>
        <v/>
      </c>
      <c r="M217">
        <f>IF(B217="","",IF(L217&lt;&gt;"","Covered","Gap"))</f>
        <v/>
      </c>
      <c r="N217">
        <f>IF(B217="Pillar",SUMIFS(Values!$E$3:$E$502,Values!$I$3:$I$502,"Yes"),IF(B217="Cluster",SUMIFS(Values!$E$3:$E$502,Values!$A$3:$A$502,SUBSTITUTE(SUBSTITUTE(C217,"?","~?"),"*","~*"),Values!$I$3:$I$502,"Yes"),IF(B217="Supporting",N(INDEX(Values!$E$3:$E$502,P217)),"")))</f>
        <v/>
      </c>
      <c r="O217">
        <f>IF(B217="","",IF(B217="Pillar",100,IF(B217="Cluster",N(INDEX(Attributes!$E$3:$E$52,Q217))*25+IF(M217="Gap",10,0),N(INDEX(Attributes!$E$3:$E$52,Q217))*20+MIN(20,ROUND(LOG10(N(N217)+1)*5,0))+IF(M217="Gap",10,0)+IF(INDEX(Values!$D$3:$D$502,P217)="Yes",5,0))))</f>
        <v/>
      </c>
      <c r="P217">
        <f>IF(B217="Supporting",MATCH(A217-1-Entity!$B$14,Values!$J$3:$J$502,0),"")</f>
        <v/>
      </c>
      <c r="Q217">
        <f>IF(C217="","",MATCH(C217,Attributes!$A$3:$A$52,0))</f>
        <v/>
      </c>
      <c r="R217">
        <f>IF(B217="Pillar",SUBSTITUTE(Entity!$B$7,"{entity}",LOWER(Entity!$B$3)),IF(B217="Cluster",IF(INDEX(Attributes!$G$3:$G$52,Q217)&lt;&gt;"",INDEX(Attributes!$G$3:$G$52,Q217),SUBSTITUTE(SUBSTITUTE(Entity!$B$8,"{entity}",LOWER(Entity!$B$3)),"{attribute}",LOWER(C217))),IF(B217="Supporting",SUBSTITUTE(SUBSTITUTE(SUBSTITUTE(IF(INDEX(Attributes!$H$3:$H$52,Q217)&lt;&gt;"",INDEX(Attributes!$H$3:$H$52,Q217),Entity!$B$9),"{entity}",LOWER(Entity!$B$3)),"{value}",D217),"{attribute}",LOWER(C217)),"")))</f>
        <v/>
      </c>
    </row>
    <row r="218">
      <c r="A218">
        <f>ROW()-2</f>
        <v/>
      </c>
      <c r="B218">
        <f>IF(A218=1,"Pillar",IF(A218&lt;=1+Entity!$B$14,"Cluster",IF(A218&lt;=1+Entity!$B$14+Entity!$B$15,"Supporting","")))</f>
        <v/>
      </c>
      <c r="C218">
        <f>IF(B218="Cluster",INDEX(Attributes!$A$3:$A$52,MATCH(A218-1,Attributes!$P$3:$P$52,0)),IF(B218="Supporting",INDEX(Values!$A$3:$A$502,P218),""))</f>
        <v/>
      </c>
      <c r="D218">
        <f>IF(B218="Supporting",INDEX(Values!$B$3:$B$502,P218),"")</f>
        <v/>
      </c>
      <c r="E218">
        <f>IF(R218="","",UPPER(LEFT(R218,1))&amp;MID(R218,2,500))</f>
        <v/>
      </c>
      <c r="F218">
        <f>IF(E218="","",LOWER(SUBSTITUTE(SUBSTITUTE(SUBSTITUTE(SUBSTITUTE(SUBSTITUTE(SUBSTITUTE(SUBSTITUTE(TRIM(E218),":",""),",",""),"'",""),"&amp;","and"),"£",""),"  "," ")," ","-")))</f>
        <v/>
      </c>
      <c r="G218">
        <f>IF(B218="Cluster",$E$3,IF(B218="Supporting",INDEX($E$3:$E$553,MATCH(C218,$C$3:$C$553,0)),""))</f>
        <v/>
      </c>
      <c r="H218">
        <f>IF(B218="Supporting",IFERROR(INDEX($E$3:$E$553,1+Entity!$B$14+INDEX(Values!$O$3:$O$502,P218)),""),IF(B218="Cluster",IF(Entity!$B$14&lt;2,"",INDEX($E$3:$E$553,IF(A218-1=Entity!$B$14,2,A218+1))),""))</f>
        <v/>
      </c>
      <c r="I218">
        <f>IF(B218="Pillar",Entity!$B$14&amp;" cluster pages",IF(B218="Cluster",(COUNTIF($C$3:$C$553,SUBSTITUTE(SUBSTITUTE(C218,"?","~?"),"*","~*"))-1)&amp;" supporting pages",""))</f>
        <v/>
      </c>
      <c r="J218">
        <f>IF(B218="Pillar","Informational",IF(OR(B218="Cluster",B218="Supporting"),INDEX(Attributes!$D$3:$D$52,Q218)&amp;"",""))</f>
        <v/>
      </c>
      <c r="K218">
        <f>IF(B218="","",IF(B218="Pillar","Pillar guide (entity hub)",IF(B218="Cluster","Hub page for this attribute",IF(INDEX(Values!$C$3:$C$502,P218)="Yes","Entity page (profile of the sub-entity)",IFERROR(INDEX(Lists!$B$3:$B$6,MATCH(J218,Lists!$A$3:$A$6,0)),"Article")))))</f>
        <v/>
      </c>
      <c r="L218">
        <f>IF(B218="Pillar",Entity!$B$6&amp;"",IF(B218="Cluster",INDEX(Attributes!$I$3:$I$52,Q218)&amp;"",IF(B218="Supporting",INDEX(Values!$F$3:$F$502,P218)&amp;"","")))</f>
        <v/>
      </c>
      <c r="M218">
        <f>IF(B218="","",IF(L218&lt;&gt;"","Covered","Gap"))</f>
        <v/>
      </c>
      <c r="N218">
        <f>IF(B218="Pillar",SUMIFS(Values!$E$3:$E$502,Values!$I$3:$I$502,"Yes"),IF(B218="Cluster",SUMIFS(Values!$E$3:$E$502,Values!$A$3:$A$502,SUBSTITUTE(SUBSTITUTE(C218,"?","~?"),"*","~*"),Values!$I$3:$I$502,"Yes"),IF(B218="Supporting",N(INDEX(Values!$E$3:$E$502,P218)),"")))</f>
        <v/>
      </c>
      <c r="O218">
        <f>IF(B218="","",IF(B218="Pillar",100,IF(B218="Cluster",N(INDEX(Attributes!$E$3:$E$52,Q218))*25+IF(M218="Gap",10,0),N(INDEX(Attributes!$E$3:$E$52,Q218))*20+MIN(20,ROUND(LOG10(N(N218)+1)*5,0))+IF(M218="Gap",10,0)+IF(INDEX(Values!$D$3:$D$502,P218)="Yes",5,0))))</f>
        <v/>
      </c>
      <c r="P218">
        <f>IF(B218="Supporting",MATCH(A218-1-Entity!$B$14,Values!$J$3:$J$502,0),"")</f>
        <v/>
      </c>
      <c r="Q218">
        <f>IF(C218="","",MATCH(C218,Attributes!$A$3:$A$52,0))</f>
        <v/>
      </c>
      <c r="R218">
        <f>IF(B218="Pillar",SUBSTITUTE(Entity!$B$7,"{entity}",LOWER(Entity!$B$3)),IF(B218="Cluster",IF(INDEX(Attributes!$G$3:$G$52,Q218)&lt;&gt;"",INDEX(Attributes!$G$3:$G$52,Q218),SUBSTITUTE(SUBSTITUTE(Entity!$B$8,"{entity}",LOWER(Entity!$B$3)),"{attribute}",LOWER(C218))),IF(B218="Supporting",SUBSTITUTE(SUBSTITUTE(SUBSTITUTE(IF(INDEX(Attributes!$H$3:$H$52,Q218)&lt;&gt;"",INDEX(Attributes!$H$3:$H$52,Q218),Entity!$B$9),"{entity}",LOWER(Entity!$B$3)),"{value}",D218),"{attribute}",LOWER(C218)),"")))</f>
        <v/>
      </c>
    </row>
    <row r="219">
      <c r="A219">
        <f>ROW()-2</f>
        <v/>
      </c>
      <c r="B219">
        <f>IF(A219=1,"Pillar",IF(A219&lt;=1+Entity!$B$14,"Cluster",IF(A219&lt;=1+Entity!$B$14+Entity!$B$15,"Supporting","")))</f>
        <v/>
      </c>
      <c r="C219">
        <f>IF(B219="Cluster",INDEX(Attributes!$A$3:$A$52,MATCH(A219-1,Attributes!$P$3:$P$52,0)),IF(B219="Supporting",INDEX(Values!$A$3:$A$502,P219),""))</f>
        <v/>
      </c>
      <c r="D219">
        <f>IF(B219="Supporting",INDEX(Values!$B$3:$B$502,P219),"")</f>
        <v/>
      </c>
      <c r="E219">
        <f>IF(R219="","",UPPER(LEFT(R219,1))&amp;MID(R219,2,500))</f>
        <v/>
      </c>
      <c r="F219">
        <f>IF(E219="","",LOWER(SUBSTITUTE(SUBSTITUTE(SUBSTITUTE(SUBSTITUTE(SUBSTITUTE(SUBSTITUTE(SUBSTITUTE(TRIM(E219),":",""),",",""),"'",""),"&amp;","and"),"£",""),"  "," ")," ","-")))</f>
        <v/>
      </c>
      <c r="G219">
        <f>IF(B219="Cluster",$E$3,IF(B219="Supporting",INDEX($E$3:$E$553,MATCH(C219,$C$3:$C$553,0)),""))</f>
        <v/>
      </c>
      <c r="H219">
        <f>IF(B219="Supporting",IFERROR(INDEX($E$3:$E$553,1+Entity!$B$14+INDEX(Values!$O$3:$O$502,P219)),""),IF(B219="Cluster",IF(Entity!$B$14&lt;2,"",INDEX($E$3:$E$553,IF(A219-1=Entity!$B$14,2,A219+1))),""))</f>
        <v/>
      </c>
      <c r="I219">
        <f>IF(B219="Pillar",Entity!$B$14&amp;" cluster pages",IF(B219="Cluster",(COUNTIF($C$3:$C$553,SUBSTITUTE(SUBSTITUTE(C219,"?","~?"),"*","~*"))-1)&amp;" supporting pages",""))</f>
        <v/>
      </c>
      <c r="J219">
        <f>IF(B219="Pillar","Informational",IF(OR(B219="Cluster",B219="Supporting"),INDEX(Attributes!$D$3:$D$52,Q219)&amp;"",""))</f>
        <v/>
      </c>
      <c r="K219">
        <f>IF(B219="","",IF(B219="Pillar","Pillar guide (entity hub)",IF(B219="Cluster","Hub page for this attribute",IF(INDEX(Values!$C$3:$C$502,P219)="Yes","Entity page (profile of the sub-entity)",IFERROR(INDEX(Lists!$B$3:$B$6,MATCH(J219,Lists!$A$3:$A$6,0)),"Article")))))</f>
        <v/>
      </c>
      <c r="L219">
        <f>IF(B219="Pillar",Entity!$B$6&amp;"",IF(B219="Cluster",INDEX(Attributes!$I$3:$I$52,Q219)&amp;"",IF(B219="Supporting",INDEX(Values!$F$3:$F$502,P219)&amp;"","")))</f>
        <v/>
      </c>
      <c r="M219">
        <f>IF(B219="","",IF(L219&lt;&gt;"","Covered","Gap"))</f>
        <v/>
      </c>
      <c r="N219">
        <f>IF(B219="Pillar",SUMIFS(Values!$E$3:$E$502,Values!$I$3:$I$502,"Yes"),IF(B219="Cluster",SUMIFS(Values!$E$3:$E$502,Values!$A$3:$A$502,SUBSTITUTE(SUBSTITUTE(C219,"?","~?"),"*","~*"),Values!$I$3:$I$502,"Yes"),IF(B219="Supporting",N(INDEX(Values!$E$3:$E$502,P219)),"")))</f>
        <v/>
      </c>
      <c r="O219">
        <f>IF(B219="","",IF(B219="Pillar",100,IF(B219="Cluster",N(INDEX(Attributes!$E$3:$E$52,Q219))*25+IF(M219="Gap",10,0),N(INDEX(Attributes!$E$3:$E$52,Q219))*20+MIN(20,ROUND(LOG10(N(N219)+1)*5,0))+IF(M219="Gap",10,0)+IF(INDEX(Values!$D$3:$D$502,P219)="Yes",5,0))))</f>
        <v/>
      </c>
      <c r="P219">
        <f>IF(B219="Supporting",MATCH(A219-1-Entity!$B$14,Values!$J$3:$J$502,0),"")</f>
        <v/>
      </c>
      <c r="Q219">
        <f>IF(C219="","",MATCH(C219,Attributes!$A$3:$A$52,0))</f>
        <v/>
      </c>
      <c r="R219">
        <f>IF(B219="Pillar",SUBSTITUTE(Entity!$B$7,"{entity}",LOWER(Entity!$B$3)),IF(B219="Cluster",IF(INDEX(Attributes!$G$3:$G$52,Q219)&lt;&gt;"",INDEX(Attributes!$G$3:$G$52,Q219),SUBSTITUTE(SUBSTITUTE(Entity!$B$8,"{entity}",LOWER(Entity!$B$3)),"{attribute}",LOWER(C219))),IF(B219="Supporting",SUBSTITUTE(SUBSTITUTE(SUBSTITUTE(IF(INDEX(Attributes!$H$3:$H$52,Q219)&lt;&gt;"",INDEX(Attributes!$H$3:$H$52,Q219),Entity!$B$9),"{entity}",LOWER(Entity!$B$3)),"{value}",D219),"{attribute}",LOWER(C219)),"")))</f>
        <v/>
      </c>
    </row>
    <row r="220">
      <c r="A220">
        <f>ROW()-2</f>
        <v/>
      </c>
      <c r="B220">
        <f>IF(A220=1,"Pillar",IF(A220&lt;=1+Entity!$B$14,"Cluster",IF(A220&lt;=1+Entity!$B$14+Entity!$B$15,"Supporting","")))</f>
        <v/>
      </c>
      <c r="C220">
        <f>IF(B220="Cluster",INDEX(Attributes!$A$3:$A$52,MATCH(A220-1,Attributes!$P$3:$P$52,0)),IF(B220="Supporting",INDEX(Values!$A$3:$A$502,P220),""))</f>
        <v/>
      </c>
      <c r="D220">
        <f>IF(B220="Supporting",INDEX(Values!$B$3:$B$502,P220),"")</f>
        <v/>
      </c>
      <c r="E220">
        <f>IF(R220="","",UPPER(LEFT(R220,1))&amp;MID(R220,2,500))</f>
        <v/>
      </c>
      <c r="F220">
        <f>IF(E220="","",LOWER(SUBSTITUTE(SUBSTITUTE(SUBSTITUTE(SUBSTITUTE(SUBSTITUTE(SUBSTITUTE(SUBSTITUTE(TRIM(E220),":",""),",",""),"'",""),"&amp;","and"),"£",""),"  "," ")," ","-")))</f>
        <v/>
      </c>
      <c r="G220">
        <f>IF(B220="Cluster",$E$3,IF(B220="Supporting",INDEX($E$3:$E$553,MATCH(C220,$C$3:$C$553,0)),""))</f>
        <v/>
      </c>
      <c r="H220">
        <f>IF(B220="Supporting",IFERROR(INDEX($E$3:$E$553,1+Entity!$B$14+INDEX(Values!$O$3:$O$502,P220)),""),IF(B220="Cluster",IF(Entity!$B$14&lt;2,"",INDEX($E$3:$E$553,IF(A220-1=Entity!$B$14,2,A220+1))),""))</f>
        <v/>
      </c>
      <c r="I220">
        <f>IF(B220="Pillar",Entity!$B$14&amp;" cluster pages",IF(B220="Cluster",(COUNTIF($C$3:$C$553,SUBSTITUTE(SUBSTITUTE(C220,"?","~?"),"*","~*"))-1)&amp;" supporting pages",""))</f>
        <v/>
      </c>
      <c r="J220">
        <f>IF(B220="Pillar","Informational",IF(OR(B220="Cluster",B220="Supporting"),INDEX(Attributes!$D$3:$D$52,Q220)&amp;"",""))</f>
        <v/>
      </c>
      <c r="K220">
        <f>IF(B220="","",IF(B220="Pillar","Pillar guide (entity hub)",IF(B220="Cluster","Hub page for this attribute",IF(INDEX(Values!$C$3:$C$502,P220)="Yes","Entity page (profile of the sub-entity)",IFERROR(INDEX(Lists!$B$3:$B$6,MATCH(J220,Lists!$A$3:$A$6,0)),"Article")))))</f>
        <v/>
      </c>
      <c r="L220">
        <f>IF(B220="Pillar",Entity!$B$6&amp;"",IF(B220="Cluster",INDEX(Attributes!$I$3:$I$52,Q220)&amp;"",IF(B220="Supporting",INDEX(Values!$F$3:$F$502,P220)&amp;"","")))</f>
        <v/>
      </c>
      <c r="M220">
        <f>IF(B220="","",IF(L220&lt;&gt;"","Covered","Gap"))</f>
        <v/>
      </c>
      <c r="N220">
        <f>IF(B220="Pillar",SUMIFS(Values!$E$3:$E$502,Values!$I$3:$I$502,"Yes"),IF(B220="Cluster",SUMIFS(Values!$E$3:$E$502,Values!$A$3:$A$502,SUBSTITUTE(SUBSTITUTE(C220,"?","~?"),"*","~*"),Values!$I$3:$I$502,"Yes"),IF(B220="Supporting",N(INDEX(Values!$E$3:$E$502,P220)),"")))</f>
        <v/>
      </c>
      <c r="O220">
        <f>IF(B220="","",IF(B220="Pillar",100,IF(B220="Cluster",N(INDEX(Attributes!$E$3:$E$52,Q220))*25+IF(M220="Gap",10,0),N(INDEX(Attributes!$E$3:$E$52,Q220))*20+MIN(20,ROUND(LOG10(N(N220)+1)*5,0))+IF(M220="Gap",10,0)+IF(INDEX(Values!$D$3:$D$502,P220)="Yes",5,0))))</f>
        <v/>
      </c>
      <c r="P220">
        <f>IF(B220="Supporting",MATCH(A220-1-Entity!$B$14,Values!$J$3:$J$502,0),"")</f>
        <v/>
      </c>
      <c r="Q220">
        <f>IF(C220="","",MATCH(C220,Attributes!$A$3:$A$52,0))</f>
        <v/>
      </c>
      <c r="R220">
        <f>IF(B220="Pillar",SUBSTITUTE(Entity!$B$7,"{entity}",LOWER(Entity!$B$3)),IF(B220="Cluster",IF(INDEX(Attributes!$G$3:$G$52,Q220)&lt;&gt;"",INDEX(Attributes!$G$3:$G$52,Q220),SUBSTITUTE(SUBSTITUTE(Entity!$B$8,"{entity}",LOWER(Entity!$B$3)),"{attribute}",LOWER(C220))),IF(B220="Supporting",SUBSTITUTE(SUBSTITUTE(SUBSTITUTE(IF(INDEX(Attributes!$H$3:$H$52,Q220)&lt;&gt;"",INDEX(Attributes!$H$3:$H$52,Q220),Entity!$B$9),"{entity}",LOWER(Entity!$B$3)),"{value}",D220),"{attribute}",LOWER(C220)),"")))</f>
        <v/>
      </c>
    </row>
    <row r="221">
      <c r="A221">
        <f>ROW()-2</f>
        <v/>
      </c>
      <c r="B221">
        <f>IF(A221=1,"Pillar",IF(A221&lt;=1+Entity!$B$14,"Cluster",IF(A221&lt;=1+Entity!$B$14+Entity!$B$15,"Supporting","")))</f>
        <v/>
      </c>
      <c r="C221">
        <f>IF(B221="Cluster",INDEX(Attributes!$A$3:$A$52,MATCH(A221-1,Attributes!$P$3:$P$52,0)),IF(B221="Supporting",INDEX(Values!$A$3:$A$502,P221),""))</f>
        <v/>
      </c>
      <c r="D221">
        <f>IF(B221="Supporting",INDEX(Values!$B$3:$B$502,P221),"")</f>
        <v/>
      </c>
      <c r="E221">
        <f>IF(R221="","",UPPER(LEFT(R221,1))&amp;MID(R221,2,500))</f>
        <v/>
      </c>
      <c r="F221">
        <f>IF(E221="","",LOWER(SUBSTITUTE(SUBSTITUTE(SUBSTITUTE(SUBSTITUTE(SUBSTITUTE(SUBSTITUTE(SUBSTITUTE(TRIM(E221),":",""),",",""),"'",""),"&amp;","and"),"£",""),"  "," ")," ","-")))</f>
        <v/>
      </c>
      <c r="G221">
        <f>IF(B221="Cluster",$E$3,IF(B221="Supporting",INDEX($E$3:$E$553,MATCH(C221,$C$3:$C$553,0)),""))</f>
        <v/>
      </c>
      <c r="H221">
        <f>IF(B221="Supporting",IFERROR(INDEX($E$3:$E$553,1+Entity!$B$14+INDEX(Values!$O$3:$O$502,P221)),""),IF(B221="Cluster",IF(Entity!$B$14&lt;2,"",INDEX($E$3:$E$553,IF(A221-1=Entity!$B$14,2,A221+1))),""))</f>
        <v/>
      </c>
      <c r="I221">
        <f>IF(B221="Pillar",Entity!$B$14&amp;" cluster pages",IF(B221="Cluster",(COUNTIF($C$3:$C$553,SUBSTITUTE(SUBSTITUTE(C221,"?","~?"),"*","~*"))-1)&amp;" supporting pages",""))</f>
        <v/>
      </c>
      <c r="J221">
        <f>IF(B221="Pillar","Informational",IF(OR(B221="Cluster",B221="Supporting"),INDEX(Attributes!$D$3:$D$52,Q221)&amp;"",""))</f>
        <v/>
      </c>
      <c r="K221">
        <f>IF(B221="","",IF(B221="Pillar","Pillar guide (entity hub)",IF(B221="Cluster","Hub page for this attribute",IF(INDEX(Values!$C$3:$C$502,P221)="Yes","Entity page (profile of the sub-entity)",IFERROR(INDEX(Lists!$B$3:$B$6,MATCH(J221,Lists!$A$3:$A$6,0)),"Article")))))</f>
        <v/>
      </c>
      <c r="L221">
        <f>IF(B221="Pillar",Entity!$B$6&amp;"",IF(B221="Cluster",INDEX(Attributes!$I$3:$I$52,Q221)&amp;"",IF(B221="Supporting",INDEX(Values!$F$3:$F$502,P221)&amp;"","")))</f>
        <v/>
      </c>
      <c r="M221">
        <f>IF(B221="","",IF(L221&lt;&gt;"","Covered","Gap"))</f>
        <v/>
      </c>
      <c r="N221">
        <f>IF(B221="Pillar",SUMIFS(Values!$E$3:$E$502,Values!$I$3:$I$502,"Yes"),IF(B221="Cluster",SUMIFS(Values!$E$3:$E$502,Values!$A$3:$A$502,SUBSTITUTE(SUBSTITUTE(C221,"?","~?"),"*","~*"),Values!$I$3:$I$502,"Yes"),IF(B221="Supporting",N(INDEX(Values!$E$3:$E$502,P221)),"")))</f>
        <v/>
      </c>
      <c r="O221">
        <f>IF(B221="","",IF(B221="Pillar",100,IF(B221="Cluster",N(INDEX(Attributes!$E$3:$E$52,Q221))*25+IF(M221="Gap",10,0),N(INDEX(Attributes!$E$3:$E$52,Q221))*20+MIN(20,ROUND(LOG10(N(N221)+1)*5,0))+IF(M221="Gap",10,0)+IF(INDEX(Values!$D$3:$D$502,P221)="Yes",5,0))))</f>
        <v/>
      </c>
      <c r="P221">
        <f>IF(B221="Supporting",MATCH(A221-1-Entity!$B$14,Values!$J$3:$J$502,0),"")</f>
        <v/>
      </c>
      <c r="Q221">
        <f>IF(C221="","",MATCH(C221,Attributes!$A$3:$A$52,0))</f>
        <v/>
      </c>
      <c r="R221">
        <f>IF(B221="Pillar",SUBSTITUTE(Entity!$B$7,"{entity}",LOWER(Entity!$B$3)),IF(B221="Cluster",IF(INDEX(Attributes!$G$3:$G$52,Q221)&lt;&gt;"",INDEX(Attributes!$G$3:$G$52,Q221),SUBSTITUTE(SUBSTITUTE(Entity!$B$8,"{entity}",LOWER(Entity!$B$3)),"{attribute}",LOWER(C221))),IF(B221="Supporting",SUBSTITUTE(SUBSTITUTE(SUBSTITUTE(IF(INDEX(Attributes!$H$3:$H$52,Q221)&lt;&gt;"",INDEX(Attributes!$H$3:$H$52,Q221),Entity!$B$9),"{entity}",LOWER(Entity!$B$3)),"{value}",D221),"{attribute}",LOWER(C221)),"")))</f>
        <v/>
      </c>
    </row>
    <row r="222">
      <c r="A222">
        <f>ROW()-2</f>
        <v/>
      </c>
      <c r="B222">
        <f>IF(A222=1,"Pillar",IF(A222&lt;=1+Entity!$B$14,"Cluster",IF(A222&lt;=1+Entity!$B$14+Entity!$B$15,"Supporting","")))</f>
        <v/>
      </c>
      <c r="C222">
        <f>IF(B222="Cluster",INDEX(Attributes!$A$3:$A$52,MATCH(A222-1,Attributes!$P$3:$P$52,0)),IF(B222="Supporting",INDEX(Values!$A$3:$A$502,P222),""))</f>
        <v/>
      </c>
      <c r="D222">
        <f>IF(B222="Supporting",INDEX(Values!$B$3:$B$502,P222),"")</f>
        <v/>
      </c>
      <c r="E222">
        <f>IF(R222="","",UPPER(LEFT(R222,1))&amp;MID(R222,2,500))</f>
        <v/>
      </c>
      <c r="F222">
        <f>IF(E222="","",LOWER(SUBSTITUTE(SUBSTITUTE(SUBSTITUTE(SUBSTITUTE(SUBSTITUTE(SUBSTITUTE(SUBSTITUTE(TRIM(E222),":",""),",",""),"'",""),"&amp;","and"),"£",""),"  "," ")," ","-")))</f>
        <v/>
      </c>
      <c r="G222">
        <f>IF(B222="Cluster",$E$3,IF(B222="Supporting",INDEX($E$3:$E$553,MATCH(C222,$C$3:$C$553,0)),""))</f>
        <v/>
      </c>
      <c r="H222">
        <f>IF(B222="Supporting",IFERROR(INDEX($E$3:$E$553,1+Entity!$B$14+INDEX(Values!$O$3:$O$502,P222)),""),IF(B222="Cluster",IF(Entity!$B$14&lt;2,"",INDEX($E$3:$E$553,IF(A222-1=Entity!$B$14,2,A222+1))),""))</f>
        <v/>
      </c>
      <c r="I222">
        <f>IF(B222="Pillar",Entity!$B$14&amp;" cluster pages",IF(B222="Cluster",(COUNTIF($C$3:$C$553,SUBSTITUTE(SUBSTITUTE(C222,"?","~?"),"*","~*"))-1)&amp;" supporting pages",""))</f>
        <v/>
      </c>
      <c r="J222">
        <f>IF(B222="Pillar","Informational",IF(OR(B222="Cluster",B222="Supporting"),INDEX(Attributes!$D$3:$D$52,Q222)&amp;"",""))</f>
        <v/>
      </c>
      <c r="K222">
        <f>IF(B222="","",IF(B222="Pillar","Pillar guide (entity hub)",IF(B222="Cluster","Hub page for this attribute",IF(INDEX(Values!$C$3:$C$502,P222)="Yes","Entity page (profile of the sub-entity)",IFERROR(INDEX(Lists!$B$3:$B$6,MATCH(J222,Lists!$A$3:$A$6,0)),"Article")))))</f>
        <v/>
      </c>
      <c r="L222">
        <f>IF(B222="Pillar",Entity!$B$6&amp;"",IF(B222="Cluster",INDEX(Attributes!$I$3:$I$52,Q222)&amp;"",IF(B222="Supporting",INDEX(Values!$F$3:$F$502,P222)&amp;"","")))</f>
        <v/>
      </c>
      <c r="M222">
        <f>IF(B222="","",IF(L222&lt;&gt;"","Covered","Gap"))</f>
        <v/>
      </c>
      <c r="N222">
        <f>IF(B222="Pillar",SUMIFS(Values!$E$3:$E$502,Values!$I$3:$I$502,"Yes"),IF(B222="Cluster",SUMIFS(Values!$E$3:$E$502,Values!$A$3:$A$502,SUBSTITUTE(SUBSTITUTE(C222,"?","~?"),"*","~*"),Values!$I$3:$I$502,"Yes"),IF(B222="Supporting",N(INDEX(Values!$E$3:$E$502,P222)),"")))</f>
        <v/>
      </c>
      <c r="O222">
        <f>IF(B222="","",IF(B222="Pillar",100,IF(B222="Cluster",N(INDEX(Attributes!$E$3:$E$52,Q222))*25+IF(M222="Gap",10,0),N(INDEX(Attributes!$E$3:$E$52,Q222))*20+MIN(20,ROUND(LOG10(N(N222)+1)*5,0))+IF(M222="Gap",10,0)+IF(INDEX(Values!$D$3:$D$502,P222)="Yes",5,0))))</f>
        <v/>
      </c>
      <c r="P222">
        <f>IF(B222="Supporting",MATCH(A222-1-Entity!$B$14,Values!$J$3:$J$502,0),"")</f>
        <v/>
      </c>
      <c r="Q222">
        <f>IF(C222="","",MATCH(C222,Attributes!$A$3:$A$52,0))</f>
        <v/>
      </c>
      <c r="R222">
        <f>IF(B222="Pillar",SUBSTITUTE(Entity!$B$7,"{entity}",LOWER(Entity!$B$3)),IF(B222="Cluster",IF(INDEX(Attributes!$G$3:$G$52,Q222)&lt;&gt;"",INDEX(Attributes!$G$3:$G$52,Q222),SUBSTITUTE(SUBSTITUTE(Entity!$B$8,"{entity}",LOWER(Entity!$B$3)),"{attribute}",LOWER(C222))),IF(B222="Supporting",SUBSTITUTE(SUBSTITUTE(SUBSTITUTE(IF(INDEX(Attributes!$H$3:$H$52,Q222)&lt;&gt;"",INDEX(Attributes!$H$3:$H$52,Q222),Entity!$B$9),"{entity}",LOWER(Entity!$B$3)),"{value}",D222),"{attribute}",LOWER(C222)),"")))</f>
        <v/>
      </c>
    </row>
    <row r="223">
      <c r="A223">
        <f>ROW()-2</f>
        <v/>
      </c>
      <c r="B223">
        <f>IF(A223=1,"Pillar",IF(A223&lt;=1+Entity!$B$14,"Cluster",IF(A223&lt;=1+Entity!$B$14+Entity!$B$15,"Supporting","")))</f>
        <v/>
      </c>
      <c r="C223">
        <f>IF(B223="Cluster",INDEX(Attributes!$A$3:$A$52,MATCH(A223-1,Attributes!$P$3:$P$52,0)),IF(B223="Supporting",INDEX(Values!$A$3:$A$502,P223),""))</f>
        <v/>
      </c>
      <c r="D223">
        <f>IF(B223="Supporting",INDEX(Values!$B$3:$B$502,P223),"")</f>
        <v/>
      </c>
      <c r="E223">
        <f>IF(R223="","",UPPER(LEFT(R223,1))&amp;MID(R223,2,500))</f>
        <v/>
      </c>
      <c r="F223">
        <f>IF(E223="","",LOWER(SUBSTITUTE(SUBSTITUTE(SUBSTITUTE(SUBSTITUTE(SUBSTITUTE(SUBSTITUTE(SUBSTITUTE(TRIM(E223),":",""),",",""),"'",""),"&amp;","and"),"£",""),"  "," ")," ","-")))</f>
        <v/>
      </c>
      <c r="G223">
        <f>IF(B223="Cluster",$E$3,IF(B223="Supporting",INDEX($E$3:$E$553,MATCH(C223,$C$3:$C$553,0)),""))</f>
        <v/>
      </c>
      <c r="H223">
        <f>IF(B223="Supporting",IFERROR(INDEX($E$3:$E$553,1+Entity!$B$14+INDEX(Values!$O$3:$O$502,P223)),""),IF(B223="Cluster",IF(Entity!$B$14&lt;2,"",INDEX($E$3:$E$553,IF(A223-1=Entity!$B$14,2,A223+1))),""))</f>
        <v/>
      </c>
      <c r="I223">
        <f>IF(B223="Pillar",Entity!$B$14&amp;" cluster pages",IF(B223="Cluster",(COUNTIF($C$3:$C$553,SUBSTITUTE(SUBSTITUTE(C223,"?","~?"),"*","~*"))-1)&amp;" supporting pages",""))</f>
        <v/>
      </c>
      <c r="J223">
        <f>IF(B223="Pillar","Informational",IF(OR(B223="Cluster",B223="Supporting"),INDEX(Attributes!$D$3:$D$52,Q223)&amp;"",""))</f>
        <v/>
      </c>
      <c r="K223">
        <f>IF(B223="","",IF(B223="Pillar","Pillar guide (entity hub)",IF(B223="Cluster","Hub page for this attribute",IF(INDEX(Values!$C$3:$C$502,P223)="Yes","Entity page (profile of the sub-entity)",IFERROR(INDEX(Lists!$B$3:$B$6,MATCH(J223,Lists!$A$3:$A$6,0)),"Article")))))</f>
        <v/>
      </c>
      <c r="L223">
        <f>IF(B223="Pillar",Entity!$B$6&amp;"",IF(B223="Cluster",INDEX(Attributes!$I$3:$I$52,Q223)&amp;"",IF(B223="Supporting",INDEX(Values!$F$3:$F$502,P223)&amp;"","")))</f>
        <v/>
      </c>
      <c r="M223">
        <f>IF(B223="","",IF(L223&lt;&gt;"","Covered","Gap"))</f>
        <v/>
      </c>
      <c r="N223">
        <f>IF(B223="Pillar",SUMIFS(Values!$E$3:$E$502,Values!$I$3:$I$502,"Yes"),IF(B223="Cluster",SUMIFS(Values!$E$3:$E$502,Values!$A$3:$A$502,SUBSTITUTE(SUBSTITUTE(C223,"?","~?"),"*","~*"),Values!$I$3:$I$502,"Yes"),IF(B223="Supporting",N(INDEX(Values!$E$3:$E$502,P223)),"")))</f>
        <v/>
      </c>
      <c r="O223">
        <f>IF(B223="","",IF(B223="Pillar",100,IF(B223="Cluster",N(INDEX(Attributes!$E$3:$E$52,Q223))*25+IF(M223="Gap",10,0),N(INDEX(Attributes!$E$3:$E$52,Q223))*20+MIN(20,ROUND(LOG10(N(N223)+1)*5,0))+IF(M223="Gap",10,0)+IF(INDEX(Values!$D$3:$D$502,P223)="Yes",5,0))))</f>
        <v/>
      </c>
      <c r="P223">
        <f>IF(B223="Supporting",MATCH(A223-1-Entity!$B$14,Values!$J$3:$J$502,0),"")</f>
        <v/>
      </c>
      <c r="Q223">
        <f>IF(C223="","",MATCH(C223,Attributes!$A$3:$A$52,0))</f>
        <v/>
      </c>
      <c r="R223">
        <f>IF(B223="Pillar",SUBSTITUTE(Entity!$B$7,"{entity}",LOWER(Entity!$B$3)),IF(B223="Cluster",IF(INDEX(Attributes!$G$3:$G$52,Q223)&lt;&gt;"",INDEX(Attributes!$G$3:$G$52,Q223),SUBSTITUTE(SUBSTITUTE(Entity!$B$8,"{entity}",LOWER(Entity!$B$3)),"{attribute}",LOWER(C223))),IF(B223="Supporting",SUBSTITUTE(SUBSTITUTE(SUBSTITUTE(IF(INDEX(Attributes!$H$3:$H$52,Q223)&lt;&gt;"",INDEX(Attributes!$H$3:$H$52,Q223),Entity!$B$9),"{entity}",LOWER(Entity!$B$3)),"{value}",D223),"{attribute}",LOWER(C223)),"")))</f>
        <v/>
      </c>
    </row>
    <row r="224">
      <c r="A224">
        <f>ROW()-2</f>
        <v/>
      </c>
      <c r="B224">
        <f>IF(A224=1,"Pillar",IF(A224&lt;=1+Entity!$B$14,"Cluster",IF(A224&lt;=1+Entity!$B$14+Entity!$B$15,"Supporting","")))</f>
        <v/>
      </c>
      <c r="C224">
        <f>IF(B224="Cluster",INDEX(Attributes!$A$3:$A$52,MATCH(A224-1,Attributes!$P$3:$P$52,0)),IF(B224="Supporting",INDEX(Values!$A$3:$A$502,P224),""))</f>
        <v/>
      </c>
      <c r="D224">
        <f>IF(B224="Supporting",INDEX(Values!$B$3:$B$502,P224),"")</f>
        <v/>
      </c>
      <c r="E224">
        <f>IF(R224="","",UPPER(LEFT(R224,1))&amp;MID(R224,2,500))</f>
        <v/>
      </c>
      <c r="F224">
        <f>IF(E224="","",LOWER(SUBSTITUTE(SUBSTITUTE(SUBSTITUTE(SUBSTITUTE(SUBSTITUTE(SUBSTITUTE(SUBSTITUTE(TRIM(E224),":",""),",",""),"'",""),"&amp;","and"),"£",""),"  "," ")," ","-")))</f>
        <v/>
      </c>
      <c r="G224">
        <f>IF(B224="Cluster",$E$3,IF(B224="Supporting",INDEX($E$3:$E$553,MATCH(C224,$C$3:$C$553,0)),""))</f>
        <v/>
      </c>
      <c r="H224">
        <f>IF(B224="Supporting",IFERROR(INDEX($E$3:$E$553,1+Entity!$B$14+INDEX(Values!$O$3:$O$502,P224)),""),IF(B224="Cluster",IF(Entity!$B$14&lt;2,"",INDEX($E$3:$E$553,IF(A224-1=Entity!$B$14,2,A224+1))),""))</f>
        <v/>
      </c>
      <c r="I224">
        <f>IF(B224="Pillar",Entity!$B$14&amp;" cluster pages",IF(B224="Cluster",(COUNTIF($C$3:$C$553,SUBSTITUTE(SUBSTITUTE(C224,"?","~?"),"*","~*"))-1)&amp;" supporting pages",""))</f>
        <v/>
      </c>
      <c r="J224">
        <f>IF(B224="Pillar","Informational",IF(OR(B224="Cluster",B224="Supporting"),INDEX(Attributes!$D$3:$D$52,Q224)&amp;"",""))</f>
        <v/>
      </c>
      <c r="K224">
        <f>IF(B224="","",IF(B224="Pillar","Pillar guide (entity hub)",IF(B224="Cluster","Hub page for this attribute",IF(INDEX(Values!$C$3:$C$502,P224)="Yes","Entity page (profile of the sub-entity)",IFERROR(INDEX(Lists!$B$3:$B$6,MATCH(J224,Lists!$A$3:$A$6,0)),"Article")))))</f>
        <v/>
      </c>
      <c r="L224">
        <f>IF(B224="Pillar",Entity!$B$6&amp;"",IF(B224="Cluster",INDEX(Attributes!$I$3:$I$52,Q224)&amp;"",IF(B224="Supporting",INDEX(Values!$F$3:$F$502,P224)&amp;"","")))</f>
        <v/>
      </c>
      <c r="M224">
        <f>IF(B224="","",IF(L224&lt;&gt;"","Covered","Gap"))</f>
        <v/>
      </c>
      <c r="N224">
        <f>IF(B224="Pillar",SUMIFS(Values!$E$3:$E$502,Values!$I$3:$I$502,"Yes"),IF(B224="Cluster",SUMIFS(Values!$E$3:$E$502,Values!$A$3:$A$502,SUBSTITUTE(SUBSTITUTE(C224,"?","~?"),"*","~*"),Values!$I$3:$I$502,"Yes"),IF(B224="Supporting",N(INDEX(Values!$E$3:$E$502,P224)),"")))</f>
        <v/>
      </c>
      <c r="O224">
        <f>IF(B224="","",IF(B224="Pillar",100,IF(B224="Cluster",N(INDEX(Attributes!$E$3:$E$52,Q224))*25+IF(M224="Gap",10,0),N(INDEX(Attributes!$E$3:$E$52,Q224))*20+MIN(20,ROUND(LOG10(N(N224)+1)*5,0))+IF(M224="Gap",10,0)+IF(INDEX(Values!$D$3:$D$502,P224)="Yes",5,0))))</f>
        <v/>
      </c>
      <c r="P224">
        <f>IF(B224="Supporting",MATCH(A224-1-Entity!$B$14,Values!$J$3:$J$502,0),"")</f>
        <v/>
      </c>
      <c r="Q224">
        <f>IF(C224="","",MATCH(C224,Attributes!$A$3:$A$52,0))</f>
        <v/>
      </c>
      <c r="R224">
        <f>IF(B224="Pillar",SUBSTITUTE(Entity!$B$7,"{entity}",LOWER(Entity!$B$3)),IF(B224="Cluster",IF(INDEX(Attributes!$G$3:$G$52,Q224)&lt;&gt;"",INDEX(Attributes!$G$3:$G$52,Q224),SUBSTITUTE(SUBSTITUTE(Entity!$B$8,"{entity}",LOWER(Entity!$B$3)),"{attribute}",LOWER(C224))),IF(B224="Supporting",SUBSTITUTE(SUBSTITUTE(SUBSTITUTE(IF(INDEX(Attributes!$H$3:$H$52,Q224)&lt;&gt;"",INDEX(Attributes!$H$3:$H$52,Q224),Entity!$B$9),"{entity}",LOWER(Entity!$B$3)),"{value}",D224),"{attribute}",LOWER(C224)),"")))</f>
        <v/>
      </c>
    </row>
    <row r="225">
      <c r="A225">
        <f>ROW()-2</f>
        <v/>
      </c>
      <c r="B225">
        <f>IF(A225=1,"Pillar",IF(A225&lt;=1+Entity!$B$14,"Cluster",IF(A225&lt;=1+Entity!$B$14+Entity!$B$15,"Supporting","")))</f>
        <v/>
      </c>
      <c r="C225">
        <f>IF(B225="Cluster",INDEX(Attributes!$A$3:$A$52,MATCH(A225-1,Attributes!$P$3:$P$52,0)),IF(B225="Supporting",INDEX(Values!$A$3:$A$502,P225),""))</f>
        <v/>
      </c>
      <c r="D225">
        <f>IF(B225="Supporting",INDEX(Values!$B$3:$B$502,P225),"")</f>
        <v/>
      </c>
      <c r="E225">
        <f>IF(R225="","",UPPER(LEFT(R225,1))&amp;MID(R225,2,500))</f>
        <v/>
      </c>
      <c r="F225">
        <f>IF(E225="","",LOWER(SUBSTITUTE(SUBSTITUTE(SUBSTITUTE(SUBSTITUTE(SUBSTITUTE(SUBSTITUTE(SUBSTITUTE(TRIM(E225),":",""),",",""),"'",""),"&amp;","and"),"£",""),"  "," ")," ","-")))</f>
        <v/>
      </c>
      <c r="G225">
        <f>IF(B225="Cluster",$E$3,IF(B225="Supporting",INDEX($E$3:$E$553,MATCH(C225,$C$3:$C$553,0)),""))</f>
        <v/>
      </c>
      <c r="H225">
        <f>IF(B225="Supporting",IFERROR(INDEX($E$3:$E$553,1+Entity!$B$14+INDEX(Values!$O$3:$O$502,P225)),""),IF(B225="Cluster",IF(Entity!$B$14&lt;2,"",INDEX($E$3:$E$553,IF(A225-1=Entity!$B$14,2,A225+1))),""))</f>
        <v/>
      </c>
      <c r="I225">
        <f>IF(B225="Pillar",Entity!$B$14&amp;" cluster pages",IF(B225="Cluster",(COUNTIF($C$3:$C$553,SUBSTITUTE(SUBSTITUTE(C225,"?","~?"),"*","~*"))-1)&amp;" supporting pages",""))</f>
        <v/>
      </c>
      <c r="J225">
        <f>IF(B225="Pillar","Informational",IF(OR(B225="Cluster",B225="Supporting"),INDEX(Attributes!$D$3:$D$52,Q225)&amp;"",""))</f>
        <v/>
      </c>
      <c r="K225">
        <f>IF(B225="","",IF(B225="Pillar","Pillar guide (entity hub)",IF(B225="Cluster","Hub page for this attribute",IF(INDEX(Values!$C$3:$C$502,P225)="Yes","Entity page (profile of the sub-entity)",IFERROR(INDEX(Lists!$B$3:$B$6,MATCH(J225,Lists!$A$3:$A$6,0)),"Article")))))</f>
        <v/>
      </c>
      <c r="L225">
        <f>IF(B225="Pillar",Entity!$B$6&amp;"",IF(B225="Cluster",INDEX(Attributes!$I$3:$I$52,Q225)&amp;"",IF(B225="Supporting",INDEX(Values!$F$3:$F$502,P225)&amp;"","")))</f>
        <v/>
      </c>
      <c r="M225">
        <f>IF(B225="","",IF(L225&lt;&gt;"","Covered","Gap"))</f>
        <v/>
      </c>
      <c r="N225">
        <f>IF(B225="Pillar",SUMIFS(Values!$E$3:$E$502,Values!$I$3:$I$502,"Yes"),IF(B225="Cluster",SUMIFS(Values!$E$3:$E$502,Values!$A$3:$A$502,SUBSTITUTE(SUBSTITUTE(C225,"?","~?"),"*","~*"),Values!$I$3:$I$502,"Yes"),IF(B225="Supporting",N(INDEX(Values!$E$3:$E$502,P225)),"")))</f>
        <v/>
      </c>
      <c r="O225">
        <f>IF(B225="","",IF(B225="Pillar",100,IF(B225="Cluster",N(INDEX(Attributes!$E$3:$E$52,Q225))*25+IF(M225="Gap",10,0),N(INDEX(Attributes!$E$3:$E$52,Q225))*20+MIN(20,ROUND(LOG10(N(N225)+1)*5,0))+IF(M225="Gap",10,0)+IF(INDEX(Values!$D$3:$D$502,P225)="Yes",5,0))))</f>
        <v/>
      </c>
      <c r="P225">
        <f>IF(B225="Supporting",MATCH(A225-1-Entity!$B$14,Values!$J$3:$J$502,0),"")</f>
        <v/>
      </c>
      <c r="Q225">
        <f>IF(C225="","",MATCH(C225,Attributes!$A$3:$A$52,0))</f>
        <v/>
      </c>
      <c r="R225">
        <f>IF(B225="Pillar",SUBSTITUTE(Entity!$B$7,"{entity}",LOWER(Entity!$B$3)),IF(B225="Cluster",IF(INDEX(Attributes!$G$3:$G$52,Q225)&lt;&gt;"",INDEX(Attributes!$G$3:$G$52,Q225),SUBSTITUTE(SUBSTITUTE(Entity!$B$8,"{entity}",LOWER(Entity!$B$3)),"{attribute}",LOWER(C225))),IF(B225="Supporting",SUBSTITUTE(SUBSTITUTE(SUBSTITUTE(IF(INDEX(Attributes!$H$3:$H$52,Q225)&lt;&gt;"",INDEX(Attributes!$H$3:$H$52,Q225),Entity!$B$9),"{entity}",LOWER(Entity!$B$3)),"{value}",D225),"{attribute}",LOWER(C225)),"")))</f>
        <v/>
      </c>
    </row>
    <row r="226">
      <c r="A226">
        <f>ROW()-2</f>
        <v/>
      </c>
      <c r="B226">
        <f>IF(A226=1,"Pillar",IF(A226&lt;=1+Entity!$B$14,"Cluster",IF(A226&lt;=1+Entity!$B$14+Entity!$B$15,"Supporting","")))</f>
        <v/>
      </c>
      <c r="C226">
        <f>IF(B226="Cluster",INDEX(Attributes!$A$3:$A$52,MATCH(A226-1,Attributes!$P$3:$P$52,0)),IF(B226="Supporting",INDEX(Values!$A$3:$A$502,P226),""))</f>
        <v/>
      </c>
      <c r="D226">
        <f>IF(B226="Supporting",INDEX(Values!$B$3:$B$502,P226),"")</f>
        <v/>
      </c>
      <c r="E226">
        <f>IF(R226="","",UPPER(LEFT(R226,1))&amp;MID(R226,2,500))</f>
        <v/>
      </c>
      <c r="F226">
        <f>IF(E226="","",LOWER(SUBSTITUTE(SUBSTITUTE(SUBSTITUTE(SUBSTITUTE(SUBSTITUTE(SUBSTITUTE(SUBSTITUTE(TRIM(E226),":",""),",",""),"'",""),"&amp;","and"),"£",""),"  "," ")," ","-")))</f>
        <v/>
      </c>
      <c r="G226">
        <f>IF(B226="Cluster",$E$3,IF(B226="Supporting",INDEX($E$3:$E$553,MATCH(C226,$C$3:$C$553,0)),""))</f>
        <v/>
      </c>
      <c r="H226">
        <f>IF(B226="Supporting",IFERROR(INDEX($E$3:$E$553,1+Entity!$B$14+INDEX(Values!$O$3:$O$502,P226)),""),IF(B226="Cluster",IF(Entity!$B$14&lt;2,"",INDEX($E$3:$E$553,IF(A226-1=Entity!$B$14,2,A226+1))),""))</f>
        <v/>
      </c>
      <c r="I226">
        <f>IF(B226="Pillar",Entity!$B$14&amp;" cluster pages",IF(B226="Cluster",(COUNTIF($C$3:$C$553,SUBSTITUTE(SUBSTITUTE(C226,"?","~?"),"*","~*"))-1)&amp;" supporting pages",""))</f>
        <v/>
      </c>
      <c r="J226">
        <f>IF(B226="Pillar","Informational",IF(OR(B226="Cluster",B226="Supporting"),INDEX(Attributes!$D$3:$D$52,Q226)&amp;"",""))</f>
        <v/>
      </c>
      <c r="K226">
        <f>IF(B226="","",IF(B226="Pillar","Pillar guide (entity hub)",IF(B226="Cluster","Hub page for this attribute",IF(INDEX(Values!$C$3:$C$502,P226)="Yes","Entity page (profile of the sub-entity)",IFERROR(INDEX(Lists!$B$3:$B$6,MATCH(J226,Lists!$A$3:$A$6,0)),"Article")))))</f>
        <v/>
      </c>
      <c r="L226">
        <f>IF(B226="Pillar",Entity!$B$6&amp;"",IF(B226="Cluster",INDEX(Attributes!$I$3:$I$52,Q226)&amp;"",IF(B226="Supporting",INDEX(Values!$F$3:$F$502,P226)&amp;"","")))</f>
        <v/>
      </c>
      <c r="M226">
        <f>IF(B226="","",IF(L226&lt;&gt;"","Covered","Gap"))</f>
        <v/>
      </c>
      <c r="N226">
        <f>IF(B226="Pillar",SUMIFS(Values!$E$3:$E$502,Values!$I$3:$I$502,"Yes"),IF(B226="Cluster",SUMIFS(Values!$E$3:$E$502,Values!$A$3:$A$502,SUBSTITUTE(SUBSTITUTE(C226,"?","~?"),"*","~*"),Values!$I$3:$I$502,"Yes"),IF(B226="Supporting",N(INDEX(Values!$E$3:$E$502,P226)),"")))</f>
        <v/>
      </c>
      <c r="O226">
        <f>IF(B226="","",IF(B226="Pillar",100,IF(B226="Cluster",N(INDEX(Attributes!$E$3:$E$52,Q226))*25+IF(M226="Gap",10,0),N(INDEX(Attributes!$E$3:$E$52,Q226))*20+MIN(20,ROUND(LOG10(N(N226)+1)*5,0))+IF(M226="Gap",10,0)+IF(INDEX(Values!$D$3:$D$502,P226)="Yes",5,0))))</f>
        <v/>
      </c>
      <c r="P226">
        <f>IF(B226="Supporting",MATCH(A226-1-Entity!$B$14,Values!$J$3:$J$502,0),"")</f>
        <v/>
      </c>
      <c r="Q226">
        <f>IF(C226="","",MATCH(C226,Attributes!$A$3:$A$52,0))</f>
        <v/>
      </c>
      <c r="R226">
        <f>IF(B226="Pillar",SUBSTITUTE(Entity!$B$7,"{entity}",LOWER(Entity!$B$3)),IF(B226="Cluster",IF(INDEX(Attributes!$G$3:$G$52,Q226)&lt;&gt;"",INDEX(Attributes!$G$3:$G$52,Q226),SUBSTITUTE(SUBSTITUTE(Entity!$B$8,"{entity}",LOWER(Entity!$B$3)),"{attribute}",LOWER(C226))),IF(B226="Supporting",SUBSTITUTE(SUBSTITUTE(SUBSTITUTE(IF(INDEX(Attributes!$H$3:$H$52,Q226)&lt;&gt;"",INDEX(Attributes!$H$3:$H$52,Q226),Entity!$B$9),"{entity}",LOWER(Entity!$B$3)),"{value}",D226),"{attribute}",LOWER(C226)),"")))</f>
        <v/>
      </c>
    </row>
    <row r="227">
      <c r="A227">
        <f>ROW()-2</f>
        <v/>
      </c>
      <c r="B227">
        <f>IF(A227=1,"Pillar",IF(A227&lt;=1+Entity!$B$14,"Cluster",IF(A227&lt;=1+Entity!$B$14+Entity!$B$15,"Supporting","")))</f>
        <v/>
      </c>
      <c r="C227">
        <f>IF(B227="Cluster",INDEX(Attributes!$A$3:$A$52,MATCH(A227-1,Attributes!$P$3:$P$52,0)),IF(B227="Supporting",INDEX(Values!$A$3:$A$502,P227),""))</f>
        <v/>
      </c>
      <c r="D227">
        <f>IF(B227="Supporting",INDEX(Values!$B$3:$B$502,P227),"")</f>
        <v/>
      </c>
      <c r="E227">
        <f>IF(R227="","",UPPER(LEFT(R227,1))&amp;MID(R227,2,500))</f>
        <v/>
      </c>
      <c r="F227">
        <f>IF(E227="","",LOWER(SUBSTITUTE(SUBSTITUTE(SUBSTITUTE(SUBSTITUTE(SUBSTITUTE(SUBSTITUTE(SUBSTITUTE(TRIM(E227),":",""),",",""),"'",""),"&amp;","and"),"£",""),"  "," ")," ","-")))</f>
        <v/>
      </c>
      <c r="G227">
        <f>IF(B227="Cluster",$E$3,IF(B227="Supporting",INDEX($E$3:$E$553,MATCH(C227,$C$3:$C$553,0)),""))</f>
        <v/>
      </c>
      <c r="H227">
        <f>IF(B227="Supporting",IFERROR(INDEX($E$3:$E$553,1+Entity!$B$14+INDEX(Values!$O$3:$O$502,P227)),""),IF(B227="Cluster",IF(Entity!$B$14&lt;2,"",INDEX($E$3:$E$553,IF(A227-1=Entity!$B$14,2,A227+1))),""))</f>
        <v/>
      </c>
      <c r="I227">
        <f>IF(B227="Pillar",Entity!$B$14&amp;" cluster pages",IF(B227="Cluster",(COUNTIF($C$3:$C$553,SUBSTITUTE(SUBSTITUTE(C227,"?","~?"),"*","~*"))-1)&amp;" supporting pages",""))</f>
        <v/>
      </c>
      <c r="J227">
        <f>IF(B227="Pillar","Informational",IF(OR(B227="Cluster",B227="Supporting"),INDEX(Attributes!$D$3:$D$52,Q227)&amp;"",""))</f>
        <v/>
      </c>
      <c r="K227">
        <f>IF(B227="","",IF(B227="Pillar","Pillar guide (entity hub)",IF(B227="Cluster","Hub page for this attribute",IF(INDEX(Values!$C$3:$C$502,P227)="Yes","Entity page (profile of the sub-entity)",IFERROR(INDEX(Lists!$B$3:$B$6,MATCH(J227,Lists!$A$3:$A$6,0)),"Article")))))</f>
        <v/>
      </c>
      <c r="L227">
        <f>IF(B227="Pillar",Entity!$B$6&amp;"",IF(B227="Cluster",INDEX(Attributes!$I$3:$I$52,Q227)&amp;"",IF(B227="Supporting",INDEX(Values!$F$3:$F$502,P227)&amp;"","")))</f>
        <v/>
      </c>
      <c r="M227">
        <f>IF(B227="","",IF(L227&lt;&gt;"","Covered","Gap"))</f>
        <v/>
      </c>
      <c r="N227">
        <f>IF(B227="Pillar",SUMIFS(Values!$E$3:$E$502,Values!$I$3:$I$502,"Yes"),IF(B227="Cluster",SUMIFS(Values!$E$3:$E$502,Values!$A$3:$A$502,SUBSTITUTE(SUBSTITUTE(C227,"?","~?"),"*","~*"),Values!$I$3:$I$502,"Yes"),IF(B227="Supporting",N(INDEX(Values!$E$3:$E$502,P227)),"")))</f>
        <v/>
      </c>
      <c r="O227">
        <f>IF(B227="","",IF(B227="Pillar",100,IF(B227="Cluster",N(INDEX(Attributes!$E$3:$E$52,Q227))*25+IF(M227="Gap",10,0),N(INDEX(Attributes!$E$3:$E$52,Q227))*20+MIN(20,ROUND(LOG10(N(N227)+1)*5,0))+IF(M227="Gap",10,0)+IF(INDEX(Values!$D$3:$D$502,P227)="Yes",5,0))))</f>
        <v/>
      </c>
      <c r="P227">
        <f>IF(B227="Supporting",MATCH(A227-1-Entity!$B$14,Values!$J$3:$J$502,0),"")</f>
        <v/>
      </c>
      <c r="Q227">
        <f>IF(C227="","",MATCH(C227,Attributes!$A$3:$A$52,0))</f>
        <v/>
      </c>
      <c r="R227">
        <f>IF(B227="Pillar",SUBSTITUTE(Entity!$B$7,"{entity}",LOWER(Entity!$B$3)),IF(B227="Cluster",IF(INDEX(Attributes!$G$3:$G$52,Q227)&lt;&gt;"",INDEX(Attributes!$G$3:$G$52,Q227),SUBSTITUTE(SUBSTITUTE(Entity!$B$8,"{entity}",LOWER(Entity!$B$3)),"{attribute}",LOWER(C227))),IF(B227="Supporting",SUBSTITUTE(SUBSTITUTE(SUBSTITUTE(IF(INDEX(Attributes!$H$3:$H$52,Q227)&lt;&gt;"",INDEX(Attributes!$H$3:$H$52,Q227),Entity!$B$9),"{entity}",LOWER(Entity!$B$3)),"{value}",D227),"{attribute}",LOWER(C227)),"")))</f>
        <v/>
      </c>
    </row>
    <row r="228">
      <c r="A228">
        <f>ROW()-2</f>
        <v/>
      </c>
      <c r="B228">
        <f>IF(A228=1,"Pillar",IF(A228&lt;=1+Entity!$B$14,"Cluster",IF(A228&lt;=1+Entity!$B$14+Entity!$B$15,"Supporting","")))</f>
        <v/>
      </c>
      <c r="C228">
        <f>IF(B228="Cluster",INDEX(Attributes!$A$3:$A$52,MATCH(A228-1,Attributes!$P$3:$P$52,0)),IF(B228="Supporting",INDEX(Values!$A$3:$A$502,P228),""))</f>
        <v/>
      </c>
      <c r="D228">
        <f>IF(B228="Supporting",INDEX(Values!$B$3:$B$502,P228),"")</f>
        <v/>
      </c>
      <c r="E228">
        <f>IF(R228="","",UPPER(LEFT(R228,1))&amp;MID(R228,2,500))</f>
        <v/>
      </c>
      <c r="F228">
        <f>IF(E228="","",LOWER(SUBSTITUTE(SUBSTITUTE(SUBSTITUTE(SUBSTITUTE(SUBSTITUTE(SUBSTITUTE(SUBSTITUTE(TRIM(E228),":",""),",",""),"'",""),"&amp;","and"),"£",""),"  "," ")," ","-")))</f>
        <v/>
      </c>
      <c r="G228">
        <f>IF(B228="Cluster",$E$3,IF(B228="Supporting",INDEX($E$3:$E$553,MATCH(C228,$C$3:$C$553,0)),""))</f>
        <v/>
      </c>
      <c r="H228">
        <f>IF(B228="Supporting",IFERROR(INDEX($E$3:$E$553,1+Entity!$B$14+INDEX(Values!$O$3:$O$502,P228)),""),IF(B228="Cluster",IF(Entity!$B$14&lt;2,"",INDEX($E$3:$E$553,IF(A228-1=Entity!$B$14,2,A228+1))),""))</f>
        <v/>
      </c>
      <c r="I228">
        <f>IF(B228="Pillar",Entity!$B$14&amp;" cluster pages",IF(B228="Cluster",(COUNTIF($C$3:$C$553,SUBSTITUTE(SUBSTITUTE(C228,"?","~?"),"*","~*"))-1)&amp;" supporting pages",""))</f>
        <v/>
      </c>
      <c r="J228">
        <f>IF(B228="Pillar","Informational",IF(OR(B228="Cluster",B228="Supporting"),INDEX(Attributes!$D$3:$D$52,Q228)&amp;"",""))</f>
        <v/>
      </c>
      <c r="K228">
        <f>IF(B228="","",IF(B228="Pillar","Pillar guide (entity hub)",IF(B228="Cluster","Hub page for this attribute",IF(INDEX(Values!$C$3:$C$502,P228)="Yes","Entity page (profile of the sub-entity)",IFERROR(INDEX(Lists!$B$3:$B$6,MATCH(J228,Lists!$A$3:$A$6,0)),"Article")))))</f>
        <v/>
      </c>
      <c r="L228">
        <f>IF(B228="Pillar",Entity!$B$6&amp;"",IF(B228="Cluster",INDEX(Attributes!$I$3:$I$52,Q228)&amp;"",IF(B228="Supporting",INDEX(Values!$F$3:$F$502,P228)&amp;"","")))</f>
        <v/>
      </c>
      <c r="M228">
        <f>IF(B228="","",IF(L228&lt;&gt;"","Covered","Gap"))</f>
        <v/>
      </c>
      <c r="N228">
        <f>IF(B228="Pillar",SUMIFS(Values!$E$3:$E$502,Values!$I$3:$I$502,"Yes"),IF(B228="Cluster",SUMIFS(Values!$E$3:$E$502,Values!$A$3:$A$502,SUBSTITUTE(SUBSTITUTE(C228,"?","~?"),"*","~*"),Values!$I$3:$I$502,"Yes"),IF(B228="Supporting",N(INDEX(Values!$E$3:$E$502,P228)),"")))</f>
        <v/>
      </c>
      <c r="O228">
        <f>IF(B228="","",IF(B228="Pillar",100,IF(B228="Cluster",N(INDEX(Attributes!$E$3:$E$52,Q228))*25+IF(M228="Gap",10,0),N(INDEX(Attributes!$E$3:$E$52,Q228))*20+MIN(20,ROUND(LOG10(N(N228)+1)*5,0))+IF(M228="Gap",10,0)+IF(INDEX(Values!$D$3:$D$502,P228)="Yes",5,0))))</f>
        <v/>
      </c>
      <c r="P228">
        <f>IF(B228="Supporting",MATCH(A228-1-Entity!$B$14,Values!$J$3:$J$502,0),"")</f>
        <v/>
      </c>
      <c r="Q228">
        <f>IF(C228="","",MATCH(C228,Attributes!$A$3:$A$52,0))</f>
        <v/>
      </c>
      <c r="R228">
        <f>IF(B228="Pillar",SUBSTITUTE(Entity!$B$7,"{entity}",LOWER(Entity!$B$3)),IF(B228="Cluster",IF(INDEX(Attributes!$G$3:$G$52,Q228)&lt;&gt;"",INDEX(Attributes!$G$3:$G$52,Q228),SUBSTITUTE(SUBSTITUTE(Entity!$B$8,"{entity}",LOWER(Entity!$B$3)),"{attribute}",LOWER(C228))),IF(B228="Supporting",SUBSTITUTE(SUBSTITUTE(SUBSTITUTE(IF(INDEX(Attributes!$H$3:$H$52,Q228)&lt;&gt;"",INDEX(Attributes!$H$3:$H$52,Q228),Entity!$B$9),"{entity}",LOWER(Entity!$B$3)),"{value}",D228),"{attribute}",LOWER(C228)),"")))</f>
        <v/>
      </c>
    </row>
    <row r="229">
      <c r="A229">
        <f>ROW()-2</f>
        <v/>
      </c>
      <c r="B229">
        <f>IF(A229=1,"Pillar",IF(A229&lt;=1+Entity!$B$14,"Cluster",IF(A229&lt;=1+Entity!$B$14+Entity!$B$15,"Supporting","")))</f>
        <v/>
      </c>
      <c r="C229">
        <f>IF(B229="Cluster",INDEX(Attributes!$A$3:$A$52,MATCH(A229-1,Attributes!$P$3:$P$52,0)),IF(B229="Supporting",INDEX(Values!$A$3:$A$502,P229),""))</f>
        <v/>
      </c>
      <c r="D229">
        <f>IF(B229="Supporting",INDEX(Values!$B$3:$B$502,P229),"")</f>
        <v/>
      </c>
      <c r="E229">
        <f>IF(R229="","",UPPER(LEFT(R229,1))&amp;MID(R229,2,500))</f>
        <v/>
      </c>
      <c r="F229">
        <f>IF(E229="","",LOWER(SUBSTITUTE(SUBSTITUTE(SUBSTITUTE(SUBSTITUTE(SUBSTITUTE(SUBSTITUTE(SUBSTITUTE(TRIM(E229),":",""),",",""),"'",""),"&amp;","and"),"£",""),"  "," ")," ","-")))</f>
        <v/>
      </c>
      <c r="G229">
        <f>IF(B229="Cluster",$E$3,IF(B229="Supporting",INDEX($E$3:$E$553,MATCH(C229,$C$3:$C$553,0)),""))</f>
        <v/>
      </c>
      <c r="H229">
        <f>IF(B229="Supporting",IFERROR(INDEX($E$3:$E$553,1+Entity!$B$14+INDEX(Values!$O$3:$O$502,P229)),""),IF(B229="Cluster",IF(Entity!$B$14&lt;2,"",INDEX($E$3:$E$553,IF(A229-1=Entity!$B$14,2,A229+1))),""))</f>
        <v/>
      </c>
      <c r="I229">
        <f>IF(B229="Pillar",Entity!$B$14&amp;" cluster pages",IF(B229="Cluster",(COUNTIF($C$3:$C$553,SUBSTITUTE(SUBSTITUTE(C229,"?","~?"),"*","~*"))-1)&amp;" supporting pages",""))</f>
        <v/>
      </c>
      <c r="J229">
        <f>IF(B229="Pillar","Informational",IF(OR(B229="Cluster",B229="Supporting"),INDEX(Attributes!$D$3:$D$52,Q229)&amp;"",""))</f>
        <v/>
      </c>
      <c r="K229">
        <f>IF(B229="","",IF(B229="Pillar","Pillar guide (entity hub)",IF(B229="Cluster","Hub page for this attribute",IF(INDEX(Values!$C$3:$C$502,P229)="Yes","Entity page (profile of the sub-entity)",IFERROR(INDEX(Lists!$B$3:$B$6,MATCH(J229,Lists!$A$3:$A$6,0)),"Article")))))</f>
        <v/>
      </c>
      <c r="L229">
        <f>IF(B229="Pillar",Entity!$B$6&amp;"",IF(B229="Cluster",INDEX(Attributes!$I$3:$I$52,Q229)&amp;"",IF(B229="Supporting",INDEX(Values!$F$3:$F$502,P229)&amp;"","")))</f>
        <v/>
      </c>
      <c r="M229">
        <f>IF(B229="","",IF(L229&lt;&gt;"","Covered","Gap"))</f>
        <v/>
      </c>
      <c r="N229">
        <f>IF(B229="Pillar",SUMIFS(Values!$E$3:$E$502,Values!$I$3:$I$502,"Yes"),IF(B229="Cluster",SUMIFS(Values!$E$3:$E$502,Values!$A$3:$A$502,SUBSTITUTE(SUBSTITUTE(C229,"?","~?"),"*","~*"),Values!$I$3:$I$502,"Yes"),IF(B229="Supporting",N(INDEX(Values!$E$3:$E$502,P229)),"")))</f>
        <v/>
      </c>
      <c r="O229">
        <f>IF(B229="","",IF(B229="Pillar",100,IF(B229="Cluster",N(INDEX(Attributes!$E$3:$E$52,Q229))*25+IF(M229="Gap",10,0),N(INDEX(Attributes!$E$3:$E$52,Q229))*20+MIN(20,ROUND(LOG10(N(N229)+1)*5,0))+IF(M229="Gap",10,0)+IF(INDEX(Values!$D$3:$D$502,P229)="Yes",5,0))))</f>
        <v/>
      </c>
      <c r="P229">
        <f>IF(B229="Supporting",MATCH(A229-1-Entity!$B$14,Values!$J$3:$J$502,0),"")</f>
        <v/>
      </c>
      <c r="Q229">
        <f>IF(C229="","",MATCH(C229,Attributes!$A$3:$A$52,0))</f>
        <v/>
      </c>
      <c r="R229">
        <f>IF(B229="Pillar",SUBSTITUTE(Entity!$B$7,"{entity}",LOWER(Entity!$B$3)),IF(B229="Cluster",IF(INDEX(Attributes!$G$3:$G$52,Q229)&lt;&gt;"",INDEX(Attributes!$G$3:$G$52,Q229),SUBSTITUTE(SUBSTITUTE(Entity!$B$8,"{entity}",LOWER(Entity!$B$3)),"{attribute}",LOWER(C229))),IF(B229="Supporting",SUBSTITUTE(SUBSTITUTE(SUBSTITUTE(IF(INDEX(Attributes!$H$3:$H$52,Q229)&lt;&gt;"",INDEX(Attributes!$H$3:$H$52,Q229),Entity!$B$9),"{entity}",LOWER(Entity!$B$3)),"{value}",D229),"{attribute}",LOWER(C229)),"")))</f>
        <v/>
      </c>
    </row>
    <row r="230">
      <c r="A230">
        <f>ROW()-2</f>
        <v/>
      </c>
      <c r="B230">
        <f>IF(A230=1,"Pillar",IF(A230&lt;=1+Entity!$B$14,"Cluster",IF(A230&lt;=1+Entity!$B$14+Entity!$B$15,"Supporting","")))</f>
        <v/>
      </c>
      <c r="C230">
        <f>IF(B230="Cluster",INDEX(Attributes!$A$3:$A$52,MATCH(A230-1,Attributes!$P$3:$P$52,0)),IF(B230="Supporting",INDEX(Values!$A$3:$A$502,P230),""))</f>
        <v/>
      </c>
      <c r="D230">
        <f>IF(B230="Supporting",INDEX(Values!$B$3:$B$502,P230),"")</f>
        <v/>
      </c>
      <c r="E230">
        <f>IF(R230="","",UPPER(LEFT(R230,1))&amp;MID(R230,2,500))</f>
        <v/>
      </c>
      <c r="F230">
        <f>IF(E230="","",LOWER(SUBSTITUTE(SUBSTITUTE(SUBSTITUTE(SUBSTITUTE(SUBSTITUTE(SUBSTITUTE(SUBSTITUTE(TRIM(E230),":",""),",",""),"'",""),"&amp;","and"),"£",""),"  "," ")," ","-")))</f>
        <v/>
      </c>
      <c r="G230">
        <f>IF(B230="Cluster",$E$3,IF(B230="Supporting",INDEX($E$3:$E$553,MATCH(C230,$C$3:$C$553,0)),""))</f>
        <v/>
      </c>
      <c r="H230">
        <f>IF(B230="Supporting",IFERROR(INDEX($E$3:$E$553,1+Entity!$B$14+INDEX(Values!$O$3:$O$502,P230)),""),IF(B230="Cluster",IF(Entity!$B$14&lt;2,"",INDEX($E$3:$E$553,IF(A230-1=Entity!$B$14,2,A230+1))),""))</f>
        <v/>
      </c>
      <c r="I230">
        <f>IF(B230="Pillar",Entity!$B$14&amp;" cluster pages",IF(B230="Cluster",(COUNTIF($C$3:$C$553,SUBSTITUTE(SUBSTITUTE(C230,"?","~?"),"*","~*"))-1)&amp;" supporting pages",""))</f>
        <v/>
      </c>
      <c r="J230">
        <f>IF(B230="Pillar","Informational",IF(OR(B230="Cluster",B230="Supporting"),INDEX(Attributes!$D$3:$D$52,Q230)&amp;"",""))</f>
        <v/>
      </c>
      <c r="K230">
        <f>IF(B230="","",IF(B230="Pillar","Pillar guide (entity hub)",IF(B230="Cluster","Hub page for this attribute",IF(INDEX(Values!$C$3:$C$502,P230)="Yes","Entity page (profile of the sub-entity)",IFERROR(INDEX(Lists!$B$3:$B$6,MATCH(J230,Lists!$A$3:$A$6,0)),"Article")))))</f>
        <v/>
      </c>
      <c r="L230">
        <f>IF(B230="Pillar",Entity!$B$6&amp;"",IF(B230="Cluster",INDEX(Attributes!$I$3:$I$52,Q230)&amp;"",IF(B230="Supporting",INDEX(Values!$F$3:$F$502,P230)&amp;"","")))</f>
        <v/>
      </c>
      <c r="M230">
        <f>IF(B230="","",IF(L230&lt;&gt;"","Covered","Gap"))</f>
        <v/>
      </c>
      <c r="N230">
        <f>IF(B230="Pillar",SUMIFS(Values!$E$3:$E$502,Values!$I$3:$I$502,"Yes"),IF(B230="Cluster",SUMIFS(Values!$E$3:$E$502,Values!$A$3:$A$502,SUBSTITUTE(SUBSTITUTE(C230,"?","~?"),"*","~*"),Values!$I$3:$I$502,"Yes"),IF(B230="Supporting",N(INDEX(Values!$E$3:$E$502,P230)),"")))</f>
        <v/>
      </c>
      <c r="O230">
        <f>IF(B230="","",IF(B230="Pillar",100,IF(B230="Cluster",N(INDEX(Attributes!$E$3:$E$52,Q230))*25+IF(M230="Gap",10,0),N(INDEX(Attributes!$E$3:$E$52,Q230))*20+MIN(20,ROUND(LOG10(N(N230)+1)*5,0))+IF(M230="Gap",10,0)+IF(INDEX(Values!$D$3:$D$502,P230)="Yes",5,0))))</f>
        <v/>
      </c>
      <c r="P230">
        <f>IF(B230="Supporting",MATCH(A230-1-Entity!$B$14,Values!$J$3:$J$502,0),"")</f>
        <v/>
      </c>
      <c r="Q230">
        <f>IF(C230="","",MATCH(C230,Attributes!$A$3:$A$52,0))</f>
        <v/>
      </c>
      <c r="R230">
        <f>IF(B230="Pillar",SUBSTITUTE(Entity!$B$7,"{entity}",LOWER(Entity!$B$3)),IF(B230="Cluster",IF(INDEX(Attributes!$G$3:$G$52,Q230)&lt;&gt;"",INDEX(Attributes!$G$3:$G$52,Q230),SUBSTITUTE(SUBSTITUTE(Entity!$B$8,"{entity}",LOWER(Entity!$B$3)),"{attribute}",LOWER(C230))),IF(B230="Supporting",SUBSTITUTE(SUBSTITUTE(SUBSTITUTE(IF(INDEX(Attributes!$H$3:$H$52,Q230)&lt;&gt;"",INDEX(Attributes!$H$3:$H$52,Q230),Entity!$B$9),"{entity}",LOWER(Entity!$B$3)),"{value}",D230),"{attribute}",LOWER(C230)),"")))</f>
        <v/>
      </c>
    </row>
    <row r="231">
      <c r="A231">
        <f>ROW()-2</f>
        <v/>
      </c>
      <c r="B231">
        <f>IF(A231=1,"Pillar",IF(A231&lt;=1+Entity!$B$14,"Cluster",IF(A231&lt;=1+Entity!$B$14+Entity!$B$15,"Supporting","")))</f>
        <v/>
      </c>
      <c r="C231">
        <f>IF(B231="Cluster",INDEX(Attributes!$A$3:$A$52,MATCH(A231-1,Attributes!$P$3:$P$52,0)),IF(B231="Supporting",INDEX(Values!$A$3:$A$502,P231),""))</f>
        <v/>
      </c>
      <c r="D231">
        <f>IF(B231="Supporting",INDEX(Values!$B$3:$B$502,P231),"")</f>
        <v/>
      </c>
      <c r="E231">
        <f>IF(R231="","",UPPER(LEFT(R231,1))&amp;MID(R231,2,500))</f>
        <v/>
      </c>
      <c r="F231">
        <f>IF(E231="","",LOWER(SUBSTITUTE(SUBSTITUTE(SUBSTITUTE(SUBSTITUTE(SUBSTITUTE(SUBSTITUTE(SUBSTITUTE(TRIM(E231),":",""),",",""),"'",""),"&amp;","and"),"£",""),"  "," ")," ","-")))</f>
        <v/>
      </c>
      <c r="G231">
        <f>IF(B231="Cluster",$E$3,IF(B231="Supporting",INDEX($E$3:$E$553,MATCH(C231,$C$3:$C$553,0)),""))</f>
        <v/>
      </c>
      <c r="H231">
        <f>IF(B231="Supporting",IFERROR(INDEX($E$3:$E$553,1+Entity!$B$14+INDEX(Values!$O$3:$O$502,P231)),""),IF(B231="Cluster",IF(Entity!$B$14&lt;2,"",INDEX($E$3:$E$553,IF(A231-1=Entity!$B$14,2,A231+1))),""))</f>
        <v/>
      </c>
      <c r="I231">
        <f>IF(B231="Pillar",Entity!$B$14&amp;" cluster pages",IF(B231="Cluster",(COUNTIF($C$3:$C$553,SUBSTITUTE(SUBSTITUTE(C231,"?","~?"),"*","~*"))-1)&amp;" supporting pages",""))</f>
        <v/>
      </c>
      <c r="J231">
        <f>IF(B231="Pillar","Informational",IF(OR(B231="Cluster",B231="Supporting"),INDEX(Attributes!$D$3:$D$52,Q231)&amp;"",""))</f>
        <v/>
      </c>
      <c r="K231">
        <f>IF(B231="","",IF(B231="Pillar","Pillar guide (entity hub)",IF(B231="Cluster","Hub page for this attribute",IF(INDEX(Values!$C$3:$C$502,P231)="Yes","Entity page (profile of the sub-entity)",IFERROR(INDEX(Lists!$B$3:$B$6,MATCH(J231,Lists!$A$3:$A$6,0)),"Article")))))</f>
        <v/>
      </c>
      <c r="L231">
        <f>IF(B231="Pillar",Entity!$B$6&amp;"",IF(B231="Cluster",INDEX(Attributes!$I$3:$I$52,Q231)&amp;"",IF(B231="Supporting",INDEX(Values!$F$3:$F$502,P231)&amp;"","")))</f>
        <v/>
      </c>
      <c r="M231">
        <f>IF(B231="","",IF(L231&lt;&gt;"","Covered","Gap"))</f>
        <v/>
      </c>
      <c r="N231">
        <f>IF(B231="Pillar",SUMIFS(Values!$E$3:$E$502,Values!$I$3:$I$502,"Yes"),IF(B231="Cluster",SUMIFS(Values!$E$3:$E$502,Values!$A$3:$A$502,SUBSTITUTE(SUBSTITUTE(C231,"?","~?"),"*","~*"),Values!$I$3:$I$502,"Yes"),IF(B231="Supporting",N(INDEX(Values!$E$3:$E$502,P231)),"")))</f>
        <v/>
      </c>
      <c r="O231">
        <f>IF(B231="","",IF(B231="Pillar",100,IF(B231="Cluster",N(INDEX(Attributes!$E$3:$E$52,Q231))*25+IF(M231="Gap",10,0),N(INDEX(Attributes!$E$3:$E$52,Q231))*20+MIN(20,ROUND(LOG10(N(N231)+1)*5,0))+IF(M231="Gap",10,0)+IF(INDEX(Values!$D$3:$D$502,P231)="Yes",5,0))))</f>
        <v/>
      </c>
      <c r="P231">
        <f>IF(B231="Supporting",MATCH(A231-1-Entity!$B$14,Values!$J$3:$J$502,0),"")</f>
        <v/>
      </c>
      <c r="Q231">
        <f>IF(C231="","",MATCH(C231,Attributes!$A$3:$A$52,0))</f>
        <v/>
      </c>
      <c r="R231">
        <f>IF(B231="Pillar",SUBSTITUTE(Entity!$B$7,"{entity}",LOWER(Entity!$B$3)),IF(B231="Cluster",IF(INDEX(Attributes!$G$3:$G$52,Q231)&lt;&gt;"",INDEX(Attributes!$G$3:$G$52,Q231),SUBSTITUTE(SUBSTITUTE(Entity!$B$8,"{entity}",LOWER(Entity!$B$3)),"{attribute}",LOWER(C231))),IF(B231="Supporting",SUBSTITUTE(SUBSTITUTE(SUBSTITUTE(IF(INDEX(Attributes!$H$3:$H$52,Q231)&lt;&gt;"",INDEX(Attributes!$H$3:$H$52,Q231),Entity!$B$9),"{entity}",LOWER(Entity!$B$3)),"{value}",D231),"{attribute}",LOWER(C231)),"")))</f>
        <v/>
      </c>
    </row>
    <row r="232">
      <c r="A232">
        <f>ROW()-2</f>
        <v/>
      </c>
      <c r="B232">
        <f>IF(A232=1,"Pillar",IF(A232&lt;=1+Entity!$B$14,"Cluster",IF(A232&lt;=1+Entity!$B$14+Entity!$B$15,"Supporting","")))</f>
        <v/>
      </c>
      <c r="C232">
        <f>IF(B232="Cluster",INDEX(Attributes!$A$3:$A$52,MATCH(A232-1,Attributes!$P$3:$P$52,0)),IF(B232="Supporting",INDEX(Values!$A$3:$A$502,P232),""))</f>
        <v/>
      </c>
      <c r="D232">
        <f>IF(B232="Supporting",INDEX(Values!$B$3:$B$502,P232),"")</f>
        <v/>
      </c>
      <c r="E232">
        <f>IF(R232="","",UPPER(LEFT(R232,1))&amp;MID(R232,2,500))</f>
        <v/>
      </c>
      <c r="F232">
        <f>IF(E232="","",LOWER(SUBSTITUTE(SUBSTITUTE(SUBSTITUTE(SUBSTITUTE(SUBSTITUTE(SUBSTITUTE(SUBSTITUTE(TRIM(E232),":",""),",",""),"'",""),"&amp;","and"),"£",""),"  "," ")," ","-")))</f>
        <v/>
      </c>
      <c r="G232">
        <f>IF(B232="Cluster",$E$3,IF(B232="Supporting",INDEX($E$3:$E$553,MATCH(C232,$C$3:$C$553,0)),""))</f>
        <v/>
      </c>
      <c r="H232">
        <f>IF(B232="Supporting",IFERROR(INDEX($E$3:$E$553,1+Entity!$B$14+INDEX(Values!$O$3:$O$502,P232)),""),IF(B232="Cluster",IF(Entity!$B$14&lt;2,"",INDEX($E$3:$E$553,IF(A232-1=Entity!$B$14,2,A232+1))),""))</f>
        <v/>
      </c>
      <c r="I232">
        <f>IF(B232="Pillar",Entity!$B$14&amp;" cluster pages",IF(B232="Cluster",(COUNTIF($C$3:$C$553,SUBSTITUTE(SUBSTITUTE(C232,"?","~?"),"*","~*"))-1)&amp;" supporting pages",""))</f>
        <v/>
      </c>
      <c r="J232">
        <f>IF(B232="Pillar","Informational",IF(OR(B232="Cluster",B232="Supporting"),INDEX(Attributes!$D$3:$D$52,Q232)&amp;"",""))</f>
        <v/>
      </c>
      <c r="K232">
        <f>IF(B232="","",IF(B232="Pillar","Pillar guide (entity hub)",IF(B232="Cluster","Hub page for this attribute",IF(INDEX(Values!$C$3:$C$502,P232)="Yes","Entity page (profile of the sub-entity)",IFERROR(INDEX(Lists!$B$3:$B$6,MATCH(J232,Lists!$A$3:$A$6,0)),"Article")))))</f>
        <v/>
      </c>
      <c r="L232">
        <f>IF(B232="Pillar",Entity!$B$6&amp;"",IF(B232="Cluster",INDEX(Attributes!$I$3:$I$52,Q232)&amp;"",IF(B232="Supporting",INDEX(Values!$F$3:$F$502,P232)&amp;"","")))</f>
        <v/>
      </c>
      <c r="M232">
        <f>IF(B232="","",IF(L232&lt;&gt;"","Covered","Gap"))</f>
        <v/>
      </c>
      <c r="N232">
        <f>IF(B232="Pillar",SUMIFS(Values!$E$3:$E$502,Values!$I$3:$I$502,"Yes"),IF(B232="Cluster",SUMIFS(Values!$E$3:$E$502,Values!$A$3:$A$502,SUBSTITUTE(SUBSTITUTE(C232,"?","~?"),"*","~*"),Values!$I$3:$I$502,"Yes"),IF(B232="Supporting",N(INDEX(Values!$E$3:$E$502,P232)),"")))</f>
        <v/>
      </c>
      <c r="O232">
        <f>IF(B232="","",IF(B232="Pillar",100,IF(B232="Cluster",N(INDEX(Attributes!$E$3:$E$52,Q232))*25+IF(M232="Gap",10,0),N(INDEX(Attributes!$E$3:$E$52,Q232))*20+MIN(20,ROUND(LOG10(N(N232)+1)*5,0))+IF(M232="Gap",10,0)+IF(INDEX(Values!$D$3:$D$502,P232)="Yes",5,0))))</f>
        <v/>
      </c>
      <c r="P232">
        <f>IF(B232="Supporting",MATCH(A232-1-Entity!$B$14,Values!$J$3:$J$502,0),"")</f>
        <v/>
      </c>
      <c r="Q232">
        <f>IF(C232="","",MATCH(C232,Attributes!$A$3:$A$52,0))</f>
        <v/>
      </c>
      <c r="R232">
        <f>IF(B232="Pillar",SUBSTITUTE(Entity!$B$7,"{entity}",LOWER(Entity!$B$3)),IF(B232="Cluster",IF(INDEX(Attributes!$G$3:$G$52,Q232)&lt;&gt;"",INDEX(Attributes!$G$3:$G$52,Q232),SUBSTITUTE(SUBSTITUTE(Entity!$B$8,"{entity}",LOWER(Entity!$B$3)),"{attribute}",LOWER(C232))),IF(B232="Supporting",SUBSTITUTE(SUBSTITUTE(SUBSTITUTE(IF(INDEX(Attributes!$H$3:$H$52,Q232)&lt;&gt;"",INDEX(Attributes!$H$3:$H$52,Q232),Entity!$B$9),"{entity}",LOWER(Entity!$B$3)),"{value}",D232),"{attribute}",LOWER(C232)),"")))</f>
        <v/>
      </c>
    </row>
    <row r="233">
      <c r="A233">
        <f>ROW()-2</f>
        <v/>
      </c>
      <c r="B233">
        <f>IF(A233=1,"Pillar",IF(A233&lt;=1+Entity!$B$14,"Cluster",IF(A233&lt;=1+Entity!$B$14+Entity!$B$15,"Supporting","")))</f>
        <v/>
      </c>
      <c r="C233">
        <f>IF(B233="Cluster",INDEX(Attributes!$A$3:$A$52,MATCH(A233-1,Attributes!$P$3:$P$52,0)),IF(B233="Supporting",INDEX(Values!$A$3:$A$502,P233),""))</f>
        <v/>
      </c>
      <c r="D233">
        <f>IF(B233="Supporting",INDEX(Values!$B$3:$B$502,P233),"")</f>
        <v/>
      </c>
      <c r="E233">
        <f>IF(R233="","",UPPER(LEFT(R233,1))&amp;MID(R233,2,500))</f>
        <v/>
      </c>
      <c r="F233">
        <f>IF(E233="","",LOWER(SUBSTITUTE(SUBSTITUTE(SUBSTITUTE(SUBSTITUTE(SUBSTITUTE(SUBSTITUTE(SUBSTITUTE(TRIM(E233),":",""),",",""),"'",""),"&amp;","and"),"£",""),"  "," ")," ","-")))</f>
        <v/>
      </c>
      <c r="G233">
        <f>IF(B233="Cluster",$E$3,IF(B233="Supporting",INDEX($E$3:$E$553,MATCH(C233,$C$3:$C$553,0)),""))</f>
        <v/>
      </c>
      <c r="H233">
        <f>IF(B233="Supporting",IFERROR(INDEX($E$3:$E$553,1+Entity!$B$14+INDEX(Values!$O$3:$O$502,P233)),""),IF(B233="Cluster",IF(Entity!$B$14&lt;2,"",INDEX($E$3:$E$553,IF(A233-1=Entity!$B$14,2,A233+1))),""))</f>
        <v/>
      </c>
      <c r="I233">
        <f>IF(B233="Pillar",Entity!$B$14&amp;" cluster pages",IF(B233="Cluster",(COUNTIF($C$3:$C$553,SUBSTITUTE(SUBSTITUTE(C233,"?","~?"),"*","~*"))-1)&amp;" supporting pages",""))</f>
        <v/>
      </c>
      <c r="J233">
        <f>IF(B233="Pillar","Informational",IF(OR(B233="Cluster",B233="Supporting"),INDEX(Attributes!$D$3:$D$52,Q233)&amp;"",""))</f>
        <v/>
      </c>
      <c r="K233">
        <f>IF(B233="","",IF(B233="Pillar","Pillar guide (entity hub)",IF(B233="Cluster","Hub page for this attribute",IF(INDEX(Values!$C$3:$C$502,P233)="Yes","Entity page (profile of the sub-entity)",IFERROR(INDEX(Lists!$B$3:$B$6,MATCH(J233,Lists!$A$3:$A$6,0)),"Article")))))</f>
        <v/>
      </c>
      <c r="L233">
        <f>IF(B233="Pillar",Entity!$B$6&amp;"",IF(B233="Cluster",INDEX(Attributes!$I$3:$I$52,Q233)&amp;"",IF(B233="Supporting",INDEX(Values!$F$3:$F$502,P233)&amp;"","")))</f>
        <v/>
      </c>
      <c r="M233">
        <f>IF(B233="","",IF(L233&lt;&gt;"","Covered","Gap"))</f>
        <v/>
      </c>
      <c r="N233">
        <f>IF(B233="Pillar",SUMIFS(Values!$E$3:$E$502,Values!$I$3:$I$502,"Yes"),IF(B233="Cluster",SUMIFS(Values!$E$3:$E$502,Values!$A$3:$A$502,SUBSTITUTE(SUBSTITUTE(C233,"?","~?"),"*","~*"),Values!$I$3:$I$502,"Yes"),IF(B233="Supporting",N(INDEX(Values!$E$3:$E$502,P233)),"")))</f>
        <v/>
      </c>
      <c r="O233">
        <f>IF(B233="","",IF(B233="Pillar",100,IF(B233="Cluster",N(INDEX(Attributes!$E$3:$E$52,Q233))*25+IF(M233="Gap",10,0),N(INDEX(Attributes!$E$3:$E$52,Q233))*20+MIN(20,ROUND(LOG10(N(N233)+1)*5,0))+IF(M233="Gap",10,0)+IF(INDEX(Values!$D$3:$D$502,P233)="Yes",5,0))))</f>
        <v/>
      </c>
      <c r="P233">
        <f>IF(B233="Supporting",MATCH(A233-1-Entity!$B$14,Values!$J$3:$J$502,0),"")</f>
        <v/>
      </c>
      <c r="Q233">
        <f>IF(C233="","",MATCH(C233,Attributes!$A$3:$A$52,0))</f>
        <v/>
      </c>
      <c r="R233">
        <f>IF(B233="Pillar",SUBSTITUTE(Entity!$B$7,"{entity}",LOWER(Entity!$B$3)),IF(B233="Cluster",IF(INDEX(Attributes!$G$3:$G$52,Q233)&lt;&gt;"",INDEX(Attributes!$G$3:$G$52,Q233),SUBSTITUTE(SUBSTITUTE(Entity!$B$8,"{entity}",LOWER(Entity!$B$3)),"{attribute}",LOWER(C233))),IF(B233="Supporting",SUBSTITUTE(SUBSTITUTE(SUBSTITUTE(IF(INDEX(Attributes!$H$3:$H$52,Q233)&lt;&gt;"",INDEX(Attributes!$H$3:$H$52,Q233),Entity!$B$9),"{entity}",LOWER(Entity!$B$3)),"{value}",D233),"{attribute}",LOWER(C233)),"")))</f>
        <v/>
      </c>
    </row>
    <row r="234">
      <c r="A234">
        <f>ROW()-2</f>
        <v/>
      </c>
      <c r="B234">
        <f>IF(A234=1,"Pillar",IF(A234&lt;=1+Entity!$B$14,"Cluster",IF(A234&lt;=1+Entity!$B$14+Entity!$B$15,"Supporting","")))</f>
        <v/>
      </c>
      <c r="C234">
        <f>IF(B234="Cluster",INDEX(Attributes!$A$3:$A$52,MATCH(A234-1,Attributes!$P$3:$P$52,0)),IF(B234="Supporting",INDEX(Values!$A$3:$A$502,P234),""))</f>
        <v/>
      </c>
      <c r="D234">
        <f>IF(B234="Supporting",INDEX(Values!$B$3:$B$502,P234),"")</f>
        <v/>
      </c>
      <c r="E234">
        <f>IF(R234="","",UPPER(LEFT(R234,1))&amp;MID(R234,2,500))</f>
        <v/>
      </c>
      <c r="F234">
        <f>IF(E234="","",LOWER(SUBSTITUTE(SUBSTITUTE(SUBSTITUTE(SUBSTITUTE(SUBSTITUTE(SUBSTITUTE(SUBSTITUTE(TRIM(E234),":",""),",",""),"'",""),"&amp;","and"),"£",""),"  "," ")," ","-")))</f>
        <v/>
      </c>
      <c r="G234">
        <f>IF(B234="Cluster",$E$3,IF(B234="Supporting",INDEX($E$3:$E$553,MATCH(C234,$C$3:$C$553,0)),""))</f>
        <v/>
      </c>
      <c r="H234">
        <f>IF(B234="Supporting",IFERROR(INDEX($E$3:$E$553,1+Entity!$B$14+INDEX(Values!$O$3:$O$502,P234)),""),IF(B234="Cluster",IF(Entity!$B$14&lt;2,"",INDEX($E$3:$E$553,IF(A234-1=Entity!$B$14,2,A234+1))),""))</f>
        <v/>
      </c>
      <c r="I234">
        <f>IF(B234="Pillar",Entity!$B$14&amp;" cluster pages",IF(B234="Cluster",(COUNTIF($C$3:$C$553,SUBSTITUTE(SUBSTITUTE(C234,"?","~?"),"*","~*"))-1)&amp;" supporting pages",""))</f>
        <v/>
      </c>
      <c r="J234">
        <f>IF(B234="Pillar","Informational",IF(OR(B234="Cluster",B234="Supporting"),INDEX(Attributes!$D$3:$D$52,Q234)&amp;"",""))</f>
        <v/>
      </c>
      <c r="K234">
        <f>IF(B234="","",IF(B234="Pillar","Pillar guide (entity hub)",IF(B234="Cluster","Hub page for this attribute",IF(INDEX(Values!$C$3:$C$502,P234)="Yes","Entity page (profile of the sub-entity)",IFERROR(INDEX(Lists!$B$3:$B$6,MATCH(J234,Lists!$A$3:$A$6,0)),"Article")))))</f>
        <v/>
      </c>
      <c r="L234">
        <f>IF(B234="Pillar",Entity!$B$6&amp;"",IF(B234="Cluster",INDEX(Attributes!$I$3:$I$52,Q234)&amp;"",IF(B234="Supporting",INDEX(Values!$F$3:$F$502,P234)&amp;"","")))</f>
        <v/>
      </c>
      <c r="M234">
        <f>IF(B234="","",IF(L234&lt;&gt;"","Covered","Gap"))</f>
        <v/>
      </c>
      <c r="N234">
        <f>IF(B234="Pillar",SUMIFS(Values!$E$3:$E$502,Values!$I$3:$I$502,"Yes"),IF(B234="Cluster",SUMIFS(Values!$E$3:$E$502,Values!$A$3:$A$502,SUBSTITUTE(SUBSTITUTE(C234,"?","~?"),"*","~*"),Values!$I$3:$I$502,"Yes"),IF(B234="Supporting",N(INDEX(Values!$E$3:$E$502,P234)),"")))</f>
        <v/>
      </c>
      <c r="O234">
        <f>IF(B234="","",IF(B234="Pillar",100,IF(B234="Cluster",N(INDEX(Attributes!$E$3:$E$52,Q234))*25+IF(M234="Gap",10,0),N(INDEX(Attributes!$E$3:$E$52,Q234))*20+MIN(20,ROUND(LOG10(N(N234)+1)*5,0))+IF(M234="Gap",10,0)+IF(INDEX(Values!$D$3:$D$502,P234)="Yes",5,0))))</f>
        <v/>
      </c>
      <c r="P234">
        <f>IF(B234="Supporting",MATCH(A234-1-Entity!$B$14,Values!$J$3:$J$502,0),"")</f>
        <v/>
      </c>
      <c r="Q234">
        <f>IF(C234="","",MATCH(C234,Attributes!$A$3:$A$52,0))</f>
        <v/>
      </c>
      <c r="R234">
        <f>IF(B234="Pillar",SUBSTITUTE(Entity!$B$7,"{entity}",LOWER(Entity!$B$3)),IF(B234="Cluster",IF(INDEX(Attributes!$G$3:$G$52,Q234)&lt;&gt;"",INDEX(Attributes!$G$3:$G$52,Q234),SUBSTITUTE(SUBSTITUTE(Entity!$B$8,"{entity}",LOWER(Entity!$B$3)),"{attribute}",LOWER(C234))),IF(B234="Supporting",SUBSTITUTE(SUBSTITUTE(SUBSTITUTE(IF(INDEX(Attributes!$H$3:$H$52,Q234)&lt;&gt;"",INDEX(Attributes!$H$3:$H$52,Q234),Entity!$B$9),"{entity}",LOWER(Entity!$B$3)),"{value}",D234),"{attribute}",LOWER(C234)),"")))</f>
        <v/>
      </c>
    </row>
    <row r="235">
      <c r="A235">
        <f>ROW()-2</f>
        <v/>
      </c>
      <c r="B235">
        <f>IF(A235=1,"Pillar",IF(A235&lt;=1+Entity!$B$14,"Cluster",IF(A235&lt;=1+Entity!$B$14+Entity!$B$15,"Supporting","")))</f>
        <v/>
      </c>
      <c r="C235">
        <f>IF(B235="Cluster",INDEX(Attributes!$A$3:$A$52,MATCH(A235-1,Attributes!$P$3:$P$52,0)),IF(B235="Supporting",INDEX(Values!$A$3:$A$502,P235),""))</f>
        <v/>
      </c>
      <c r="D235">
        <f>IF(B235="Supporting",INDEX(Values!$B$3:$B$502,P235),"")</f>
        <v/>
      </c>
      <c r="E235">
        <f>IF(R235="","",UPPER(LEFT(R235,1))&amp;MID(R235,2,500))</f>
        <v/>
      </c>
      <c r="F235">
        <f>IF(E235="","",LOWER(SUBSTITUTE(SUBSTITUTE(SUBSTITUTE(SUBSTITUTE(SUBSTITUTE(SUBSTITUTE(SUBSTITUTE(TRIM(E235),":",""),",",""),"'",""),"&amp;","and"),"£",""),"  "," ")," ","-")))</f>
        <v/>
      </c>
      <c r="G235">
        <f>IF(B235="Cluster",$E$3,IF(B235="Supporting",INDEX($E$3:$E$553,MATCH(C235,$C$3:$C$553,0)),""))</f>
        <v/>
      </c>
      <c r="H235">
        <f>IF(B235="Supporting",IFERROR(INDEX($E$3:$E$553,1+Entity!$B$14+INDEX(Values!$O$3:$O$502,P235)),""),IF(B235="Cluster",IF(Entity!$B$14&lt;2,"",INDEX($E$3:$E$553,IF(A235-1=Entity!$B$14,2,A235+1))),""))</f>
        <v/>
      </c>
      <c r="I235">
        <f>IF(B235="Pillar",Entity!$B$14&amp;" cluster pages",IF(B235="Cluster",(COUNTIF($C$3:$C$553,SUBSTITUTE(SUBSTITUTE(C235,"?","~?"),"*","~*"))-1)&amp;" supporting pages",""))</f>
        <v/>
      </c>
      <c r="J235">
        <f>IF(B235="Pillar","Informational",IF(OR(B235="Cluster",B235="Supporting"),INDEX(Attributes!$D$3:$D$52,Q235)&amp;"",""))</f>
        <v/>
      </c>
      <c r="K235">
        <f>IF(B235="","",IF(B235="Pillar","Pillar guide (entity hub)",IF(B235="Cluster","Hub page for this attribute",IF(INDEX(Values!$C$3:$C$502,P235)="Yes","Entity page (profile of the sub-entity)",IFERROR(INDEX(Lists!$B$3:$B$6,MATCH(J235,Lists!$A$3:$A$6,0)),"Article")))))</f>
        <v/>
      </c>
      <c r="L235">
        <f>IF(B235="Pillar",Entity!$B$6&amp;"",IF(B235="Cluster",INDEX(Attributes!$I$3:$I$52,Q235)&amp;"",IF(B235="Supporting",INDEX(Values!$F$3:$F$502,P235)&amp;"","")))</f>
        <v/>
      </c>
      <c r="M235">
        <f>IF(B235="","",IF(L235&lt;&gt;"","Covered","Gap"))</f>
        <v/>
      </c>
      <c r="N235">
        <f>IF(B235="Pillar",SUMIFS(Values!$E$3:$E$502,Values!$I$3:$I$502,"Yes"),IF(B235="Cluster",SUMIFS(Values!$E$3:$E$502,Values!$A$3:$A$502,SUBSTITUTE(SUBSTITUTE(C235,"?","~?"),"*","~*"),Values!$I$3:$I$502,"Yes"),IF(B235="Supporting",N(INDEX(Values!$E$3:$E$502,P235)),"")))</f>
        <v/>
      </c>
      <c r="O235">
        <f>IF(B235="","",IF(B235="Pillar",100,IF(B235="Cluster",N(INDEX(Attributes!$E$3:$E$52,Q235))*25+IF(M235="Gap",10,0),N(INDEX(Attributes!$E$3:$E$52,Q235))*20+MIN(20,ROUND(LOG10(N(N235)+1)*5,0))+IF(M235="Gap",10,0)+IF(INDEX(Values!$D$3:$D$502,P235)="Yes",5,0))))</f>
        <v/>
      </c>
      <c r="P235">
        <f>IF(B235="Supporting",MATCH(A235-1-Entity!$B$14,Values!$J$3:$J$502,0),"")</f>
        <v/>
      </c>
      <c r="Q235">
        <f>IF(C235="","",MATCH(C235,Attributes!$A$3:$A$52,0))</f>
        <v/>
      </c>
      <c r="R235">
        <f>IF(B235="Pillar",SUBSTITUTE(Entity!$B$7,"{entity}",LOWER(Entity!$B$3)),IF(B235="Cluster",IF(INDEX(Attributes!$G$3:$G$52,Q235)&lt;&gt;"",INDEX(Attributes!$G$3:$G$52,Q235),SUBSTITUTE(SUBSTITUTE(Entity!$B$8,"{entity}",LOWER(Entity!$B$3)),"{attribute}",LOWER(C235))),IF(B235="Supporting",SUBSTITUTE(SUBSTITUTE(SUBSTITUTE(IF(INDEX(Attributes!$H$3:$H$52,Q235)&lt;&gt;"",INDEX(Attributes!$H$3:$H$52,Q235),Entity!$B$9),"{entity}",LOWER(Entity!$B$3)),"{value}",D235),"{attribute}",LOWER(C235)),"")))</f>
        <v/>
      </c>
    </row>
    <row r="236">
      <c r="A236">
        <f>ROW()-2</f>
        <v/>
      </c>
      <c r="B236">
        <f>IF(A236=1,"Pillar",IF(A236&lt;=1+Entity!$B$14,"Cluster",IF(A236&lt;=1+Entity!$B$14+Entity!$B$15,"Supporting","")))</f>
        <v/>
      </c>
      <c r="C236">
        <f>IF(B236="Cluster",INDEX(Attributes!$A$3:$A$52,MATCH(A236-1,Attributes!$P$3:$P$52,0)),IF(B236="Supporting",INDEX(Values!$A$3:$A$502,P236),""))</f>
        <v/>
      </c>
      <c r="D236">
        <f>IF(B236="Supporting",INDEX(Values!$B$3:$B$502,P236),"")</f>
        <v/>
      </c>
      <c r="E236">
        <f>IF(R236="","",UPPER(LEFT(R236,1))&amp;MID(R236,2,500))</f>
        <v/>
      </c>
      <c r="F236">
        <f>IF(E236="","",LOWER(SUBSTITUTE(SUBSTITUTE(SUBSTITUTE(SUBSTITUTE(SUBSTITUTE(SUBSTITUTE(SUBSTITUTE(TRIM(E236),":",""),",",""),"'",""),"&amp;","and"),"£",""),"  "," ")," ","-")))</f>
        <v/>
      </c>
      <c r="G236">
        <f>IF(B236="Cluster",$E$3,IF(B236="Supporting",INDEX($E$3:$E$553,MATCH(C236,$C$3:$C$553,0)),""))</f>
        <v/>
      </c>
      <c r="H236">
        <f>IF(B236="Supporting",IFERROR(INDEX($E$3:$E$553,1+Entity!$B$14+INDEX(Values!$O$3:$O$502,P236)),""),IF(B236="Cluster",IF(Entity!$B$14&lt;2,"",INDEX($E$3:$E$553,IF(A236-1=Entity!$B$14,2,A236+1))),""))</f>
        <v/>
      </c>
      <c r="I236">
        <f>IF(B236="Pillar",Entity!$B$14&amp;" cluster pages",IF(B236="Cluster",(COUNTIF($C$3:$C$553,SUBSTITUTE(SUBSTITUTE(C236,"?","~?"),"*","~*"))-1)&amp;" supporting pages",""))</f>
        <v/>
      </c>
      <c r="J236">
        <f>IF(B236="Pillar","Informational",IF(OR(B236="Cluster",B236="Supporting"),INDEX(Attributes!$D$3:$D$52,Q236)&amp;"",""))</f>
        <v/>
      </c>
      <c r="K236">
        <f>IF(B236="","",IF(B236="Pillar","Pillar guide (entity hub)",IF(B236="Cluster","Hub page for this attribute",IF(INDEX(Values!$C$3:$C$502,P236)="Yes","Entity page (profile of the sub-entity)",IFERROR(INDEX(Lists!$B$3:$B$6,MATCH(J236,Lists!$A$3:$A$6,0)),"Article")))))</f>
        <v/>
      </c>
      <c r="L236">
        <f>IF(B236="Pillar",Entity!$B$6&amp;"",IF(B236="Cluster",INDEX(Attributes!$I$3:$I$52,Q236)&amp;"",IF(B236="Supporting",INDEX(Values!$F$3:$F$502,P236)&amp;"","")))</f>
        <v/>
      </c>
      <c r="M236">
        <f>IF(B236="","",IF(L236&lt;&gt;"","Covered","Gap"))</f>
        <v/>
      </c>
      <c r="N236">
        <f>IF(B236="Pillar",SUMIFS(Values!$E$3:$E$502,Values!$I$3:$I$502,"Yes"),IF(B236="Cluster",SUMIFS(Values!$E$3:$E$502,Values!$A$3:$A$502,SUBSTITUTE(SUBSTITUTE(C236,"?","~?"),"*","~*"),Values!$I$3:$I$502,"Yes"),IF(B236="Supporting",N(INDEX(Values!$E$3:$E$502,P236)),"")))</f>
        <v/>
      </c>
      <c r="O236">
        <f>IF(B236="","",IF(B236="Pillar",100,IF(B236="Cluster",N(INDEX(Attributes!$E$3:$E$52,Q236))*25+IF(M236="Gap",10,0),N(INDEX(Attributes!$E$3:$E$52,Q236))*20+MIN(20,ROUND(LOG10(N(N236)+1)*5,0))+IF(M236="Gap",10,0)+IF(INDEX(Values!$D$3:$D$502,P236)="Yes",5,0))))</f>
        <v/>
      </c>
      <c r="P236">
        <f>IF(B236="Supporting",MATCH(A236-1-Entity!$B$14,Values!$J$3:$J$502,0),"")</f>
        <v/>
      </c>
      <c r="Q236">
        <f>IF(C236="","",MATCH(C236,Attributes!$A$3:$A$52,0))</f>
        <v/>
      </c>
      <c r="R236">
        <f>IF(B236="Pillar",SUBSTITUTE(Entity!$B$7,"{entity}",LOWER(Entity!$B$3)),IF(B236="Cluster",IF(INDEX(Attributes!$G$3:$G$52,Q236)&lt;&gt;"",INDEX(Attributes!$G$3:$G$52,Q236),SUBSTITUTE(SUBSTITUTE(Entity!$B$8,"{entity}",LOWER(Entity!$B$3)),"{attribute}",LOWER(C236))),IF(B236="Supporting",SUBSTITUTE(SUBSTITUTE(SUBSTITUTE(IF(INDEX(Attributes!$H$3:$H$52,Q236)&lt;&gt;"",INDEX(Attributes!$H$3:$H$52,Q236),Entity!$B$9),"{entity}",LOWER(Entity!$B$3)),"{value}",D236),"{attribute}",LOWER(C236)),"")))</f>
        <v/>
      </c>
    </row>
    <row r="237">
      <c r="A237">
        <f>ROW()-2</f>
        <v/>
      </c>
      <c r="B237">
        <f>IF(A237=1,"Pillar",IF(A237&lt;=1+Entity!$B$14,"Cluster",IF(A237&lt;=1+Entity!$B$14+Entity!$B$15,"Supporting","")))</f>
        <v/>
      </c>
      <c r="C237">
        <f>IF(B237="Cluster",INDEX(Attributes!$A$3:$A$52,MATCH(A237-1,Attributes!$P$3:$P$52,0)),IF(B237="Supporting",INDEX(Values!$A$3:$A$502,P237),""))</f>
        <v/>
      </c>
      <c r="D237">
        <f>IF(B237="Supporting",INDEX(Values!$B$3:$B$502,P237),"")</f>
        <v/>
      </c>
      <c r="E237">
        <f>IF(R237="","",UPPER(LEFT(R237,1))&amp;MID(R237,2,500))</f>
        <v/>
      </c>
      <c r="F237">
        <f>IF(E237="","",LOWER(SUBSTITUTE(SUBSTITUTE(SUBSTITUTE(SUBSTITUTE(SUBSTITUTE(SUBSTITUTE(SUBSTITUTE(TRIM(E237),":",""),",",""),"'",""),"&amp;","and"),"£",""),"  "," ")," ","-")))</f>
        <v/>
      </c>
      <c r="G237">
        <f>IF(B237="Cluster",$E$3,IF(B237="Supporting",INDEX($E$3:$E$553,MATCH(C237,$C$3:$C$553,0)),""))</f>
        <v/>
      </c>
      <c r="H237">
        <f>IF(B237="Supporting",IFERROR(INDEX($E$3:$E$553,1+Entity!$B$14+INDEX(Values!$O$3:$O$502,P237)),""),IF(B237="Cluster",IF(Entity!$B$14&lt;2,"",INDEX($E$3:$E$553,IF(A237-1=Entity!$B$14,2,A237+1))),""))</f>
        <v/>
      </c>
      <c r="I237">
        <f>IF(B237="Pillar",Entity!$B$14&amp;" cluster pages",IF(B237="Cluster",(COUNTIF($C$3:$C$553,SUBSTITUTE(SUBSTITUTE(C237,"?","~?"),"*","~*"))-1)&amp;" supporting pages",""))</f>
        <v/>
      </c>
      <c r="J237">
        <f>IF(B237="Pillar","Informational",IF(OR(B237="Cluster",B237="Supporting"),INDEX(Attributes!$D$3:$D$52,Q237)&amp;"",""))</f>
        <v/>
      </c>
      <c r="K237">
        <f>IF(B237="","",IF(B237="Pillar","Pillar guide (entity hub)",IF(B237="Cluster","Hub page for this attribute",IF(INDEX(Values!$C$3:$C$502,P237)="Yes","Entity page (profile of the sub-entity)",IFERROR(INDEX(Lists!$B$3:$B$6,MATCH(J237,Lists!$A$3:$A$6,0)),"Article")))))</f>
        <v/>
      </c>
      <c r="L237">
        <f>IF(B237="Pillar",Entity!$B$6&amp;"",IF(B237="Cluster",INDEX(Attributes!$I$3:$I$52,Q237)&amp;"",IF(B237="Supporting",INDEX(Values!$F$3:$F$502,P237)&amp;"","")))</f>
        <v/>
      </c>
      <c r="M237">
        <f>IF(B237="","",IF(L237&lt;&gt;"","Covered","Gap"))</f>
        <v/>
      </c>
      <c r="N237">
        <f>IF(B237="Pillar",SUMIFS(Values!$E$3:$E$502,Values!$I$3:$I$502,"Yes"),IF(B237="Cluster",SUMIFS(Values!$E$3:$E$502,Values!$A$3:$A$502,SUBSTITUTE(SUBSTITUTE(C237,"?","~?"),"*","~*"),Values!$I$3:$I$502,"Yes"),IF(B237="Supporting",N(INDEX(Values!$E$3:$E$502,P237)),"")))</f>
        <v/>
      </c>
      <c r="O237">
        <f>IF(B237="","",IF(B237="Pillar",100,IF(B237="Cluster",N(INDEX(Attributes!$E$3:$E$52,Q237))*25+IF(M237="Gap",10,0),N(INDEX(Attributes!$E$3:$E$52,Q237))*20+MIN(20,ROUND(LOG10(N(N237)+1)*5,0))+IF(M237="Gap",10,0)+IF(INDEX(Values!$D$3:$D$502,P237)="Yes",5,0))))</f>
        <v/>
      </c>
      <c r="P237">
        <f>IF(B237="Supporting",MATCH(A237-1-Entity!$B$14,Values!$J$3:$J$502,0),"")</f>
        <v/>
      </c>
      <c r="Q237">
        <f>IF(C237="","",MATCH(C237,Attributes!$A$3:$A$52,0))</f>
        <v/>
      </c>
      <c r="R237">
        <f>IF(B237="Pillar",SUBSTITUTE(Entity!$B$7,"{entity}",LOWER(Entity!$B$3)),IF(B237="Cluster",IF(INDEX(Attributes!$G$3:$G$52,Q237)&lt;&gt;"",INDEX(Attributes!$G$3:$G$52,Q237),SUBSTITUTE(SUBSTITUTE(Entity!$B$8,"{entity}",LOWER(Entity!$B$3)),"{attribute}",LOWER(C237))),IF(B237="Supporting",SUBSTITUTE(SUBSTITUTE(SUBSTITUTE(IF(INDEX(Attributes!$H$3:$H$52,Q237)&lt;&gt;"",INDEX(Attributes!$H$3:$H$52,Q237),Entity!$B$9),"{entity}",LOWER(Entity!$B$3)),"{value}",D237),"{attribute}",LOWER(C237)),"")))</f>
        <v/>
      </c>
    </row>
    <row r="238">
      <c r="A238">
        <f>ROW()-2</f>
        <v/>
      </c>
      <c r="B238">
        <f>IF(A238=1,"Pillar",IF(A238&lt;=1+Entity!$B$14,"Cluster",IF(A238&lt;=1+Entity!$B$14+Entity!$B$15,"Supporting","")))</f>
        <v/>
      </c>
      <c r="C238">
        <f>IF(B238="Cluster",INDEX(Attributes!$A$3:$A$52,MATCH(A238-1,Attributes!$P$3:$P$52,0)),IF(B238="Supporting",INDEX(Values!$A$3:$A$502,P238),""))</f>
        <v/>
      </c>
      <c r="D238">
        <f>IF(B238="Supporting",INDEX(Values!$B$3:$B$502,P238),"")</f>
        <v/>
      </c>
      <c r="E238">
        <f>IF(R238="","",UPPER(LEFT(R238,1))&amp;MID(R238,2,500))</f>
        <v/>
      </c>
      <c r="F238">
        <f>IF(E238="","",LOWER(SUBSTITUTE(SUBSTITUTE(SUBSTITUTE(SUBSTITUTE(SUBSTITUTE(SUBSTITUTE(SUBSTITUTE(TRIM(E238),":",""),",",""),"'",""),"&amp;","and"),"£",""),"  "," ")," ","-")))</f>
        <v/>
      </c>
      <c r="G238">
        <f>IF(B238="Cluster",$E$3,IF(B238="Supporting",INDEX($E$3:$E$553,MATCH(C238,$C$3:$C$553,0)),""))</f>
        <v/>
      </c>
      <c r="H238">
        <f>IF(B238="Supporting",IFERROR(INDEX($E$3:$E$553,1+Entity!$B$14+INDEX(Values!$O$3:$O$502,P238)),""),IF(B238="Cluster",IF(Entity!$B$14&lt;2,"",INDEX($E$3:$E$553,IF(A238-1=Entity!$B$14,2,A238+1))),""))</f>
        <v/>
      </c>
      <c r="I238">
        <f>IF(B238="Pillar",Entity!$B$14&amp;" cluster pages",IF(B238="Cluster",(COUNTIF($C$3:$C$553,SUBSTITUTE(SUBSTITUTE(C238,"?","~?"),"*","~*"))-1)&amp;" supporting pages",""))</f>
        <v/>
      </c>
      <c r="J238">
        <f>IF(B238="Pillar","Informational",IF(OR(B238="Cluster",B238="Supporting"),INDEX(Attributes!$D$3:$D$52,Q238)&amp;"",""))</f>
        <v/>
      </c>
      <c r="K238">
        <f>IF(B238="","",IF(B238="Pillar","Pillar guide (entity hub)",IF(B238="Cluster","Hub page for this attribute",IF(INDEX(Values!$C$3:$C$502,P238)="Yes","Entity page (profile of the sub-entity)",IFERROR(INDEX(Lists!$B$3:$B$6,MATCH(J238,Lists!$A$3:$A$6,0)),"Article")))))</f>
        <v/>
      </c>
      <c r="L238">
        <f>IF(B238="Pillar",Entity!$B$6&amp;"",IF(B238="Cluster",INDEX(Attributes!$I$3:$I$52,Q238)&amp;"",IF(B238="Supporting",INDEX(Values!$F$3:$F$502,P238)&amp;"","")))</f>
        <v/>
      </c>
      <c r="M238">
        <f>IF(B238="","",IF(L238&lt;&gt;"","Covered","Gap"))</f>
        <v/>
      </c>
      <c r="N238">
        <f>IF(B238="Pillar",SUMIFS(Values!$E$3:$E$502,Values!$I$3:$I$502,"Yes"),IF(B238="Cluster",SUMIFS(Values!$E$3:$E$502,Values!$A$3:$A$502,SUBSTITUTE(SUBSTITUTE(C238,"?","~?"),"*","~*"),Values!$I$3:$I$502,"Yes"),IF(B238="Supporting",N(INDEX(Values!$E$3:$E$502,P238)),"")))</f>
        <v/>
      </c>
      <c r="O238">
        <f>IF(B238="","",IF(B238="Pillar",100,IF(B238="Cluster",N(INDEX(Attributes!$E$3:$E$52,Q238))*25+IF(M238="Gap",10,0),N(INDEX(Attributes!$E$3:$E$52,Q238))*20+MIN(20,ROUND(LOG10(N(N238)+1)*5,0))+IF(M238="Gap",10,0)+IF(INDEX(Values!$D$3:$D$502,P238)="Yes",5,0))))</f>
        <v/>
      </c>
      <c r="P238">
        <f>IF(B238="Supporting",MATCH(A238-1-Entity!$B$14,Values!$J$3:$J$502,0),"")</f>
        <v/>
      </c>
      <c r="Q238">
        <f>IF(C238="","",MATCH(C238,Attributes!$A$3:$A$52,0))</f>
        <v/>
      </c>
      <c r="R238">
        <f>IF(B238="Pillar",SUBSTITUTE(Entity!$B$7,"{entity}",LOWER(Entity!$B$3)),IF(B238="Cluster",IF(INDEX(Attributes!$G$3:$G$52,Q238)&lt;&gt;"",INDEX(Attributes!$G$3:$G$52,Q238),SUBSTITUTE(SUBSTITUTE(Entity!$B$8,"{entity}",LOWER(Entity!$B$3)),"{attribute}",LOWER(C238))),IF(B238="Supporting",SUBSTITUTE(SUBSTITUTE(SUBSTITUTE(IF(INDEX(Attributes!$H$3:$H$52,Q238)&lt;&gt;"",INDEX(Attributes!$H$3:$H$52,Q238),Entity!$B$9),"{entity}",LOWER(Entity!$B$3)),"{value}",D238),"{attribute}",LOWER(C238)),"")))</f>
        <v/>
      </c>
    </row>
    <row r="239">
      <c r="A239">
        <f>ROW()-2</f>
        <v/>
      </c>
      <c r="B239">
        <f>IF(A239=1,"Pillar",IF(A239&lt;=1+Entity!$B$14,"Cluster",IF(A239&lt;=1+Entity!$B$14+Entity!$B$15,"Supporting","")))</f>
        <v/>
      </c>
      <c r="C239">
        <f>IF(B239="Cluster",INDEX(Attributes!$A$3:$A$52,MATCH(A239-1,Attributes!$P$3:$P$52,0)),IF(B239="Supporting",INDEX(Values!$A$3:$A$502,P239),""))</f>
        <v/>
      </c>
      <c r="D239">
        <f>IF(B239="Supporting",INDEX(Values!$B$3:$B$502,P239),"")</f>
        <v/>
      </c>
      <c r="E239">
        <f>IF(R239="","",UPPER(LEFT(R239,1))&amp;MID(R239,2,500))</f>
        <v/>
      </c>
      <c r="F239">
        <f>IF(E239="","",LOWER(SUBSTITUTE(SUBSTITUTE(SUBSTITUTE(SUBSTITUTE(SUBSTITUTE(SUBSTITUTE(SUBSTITUTE(TRIM(E239),":",""),",",""),"'",""),"&amp;","and"),"£",""),"  "," ")," ","-")))</f>
        <v/>
      </c>
      <c r="G239">
        <f>IF(B239="Cluster",$E$3,IF(B239="Supporting",INDEX($E$3:$E$553,MATCH(C239,$C$3:$C$553,0)),""))</f>
        <v/>
      </c>
      <c r="H239">
        <f>IF(B239="Supporting",IFERROR(INDEX($E$3:$E$553,1+Entity!$B$14+INDEX(Values!$O$3:$O$502,P239)),""),IF(B239="Cluster",IF(Entity!$B$14&lt;2,"",INDEX($E$3:$E$553,IF(A239-1=Entity!$B$14,2,A239+1))),""))</f>
        <v/>
      </c>
      <c r="I239">
        <f>IF(B239="Pillar",Entity!$B$14&amp;" cluster pages",IF(B239="Cluster",(COUNTIF($C$3:$C$553,SUBSTITUTE(SUBSTITUTE(C239,"?","~?"),"*","~*"))-1)&amp;" supporting pages",""))</f>
        <v/>
      </c>
      <c r="J239">
        <f>IF(B239="Pillar","Informational",IF(OR(B239="Cluster",B239="Supporting"),INDEX(Attributes!$D$3:$D$52,Q239)&amp;"",""))</f>
        <v/>
      </c>
      <c r="K239">
        <f>IF(B239="","",IF(B239="Pillar","Pillar guide (entity hub)",IF(B239="Cluster","Hub page for this attribute",IF(INDEX(Values!$C$3:$C$502,P239)="Yes","Entity page (profile of the sub-entity)",IFERROR(INDEX(Lists!$B$3:$B$6,MATCH(J239,Lists!$A$3:$A$6,0)),"Article")))))</f>
        <v/>
      </c>
      <c r="L239">
        <f>IF(B239="Pillar",Entity!$B$6&amp;"",IF(B239="Cluster",INDEX(Attributes!$I$3:$I$52,Q239)&amp;"",IF(B239="Supporting",INDEX(Values!$F$3:$F$502,P239)&amp;"","")))</f>
        <v/>
      </c>
      <c r="M239">
        <f>IF(B239="","",IF(L239&lt;&gt;"","Covered","Gap"))</f>
        <v/>
      </c>
      <c r="N239">
        <f>IF(B239="Pillar",SUMIFS(Values!$E$3:$E$502,Values!$I$3:$I$502,"Yes"),IF(B239="Cluster",SUMIFS(Values!$E$3:$E$502,Values!$A$3:$A$502,SUBSTITUTE(SUBSTITUTE(C239,"?","~?"),"*","~*"),Values!$I$3:$I$502,"Yes"),IF(B239="Supporting",N(INDEX(Values!$E$3:$E$502,P239)),"")))</f>
        <v/>
      </c>
      <c r="O239">
        <f>IF(B239="","",IF(B239="Pillar",100,IF(B239="Cluster",N(INDEX(Attributes!$E$3:$E$52,Q239))*25+IF(M239="Gap",10,0),N(INDEX(Attributes!$E$3:$E$52,Q239))*20+MIN(20,ROUND(LOG10(N(N239)+1)*5,0))+IF(M239="Gap",10,0)+IF(INDEX(Values!$D$3:$D$502,P239)="Yes",5,0))))</f>
        <v/>
      </c>
      <c r="P239">
        <f>IF(B239="Supporting",MATCH(A239-1-Entity!$B$14,Values!$J$3:$J$502,0),"")</f>
        <v/>
      </c>
      <c r="Q239">
        <f>IF(C239="","",MATCH(C239,Attributes!$A$3:$A$52,0))</f>
        <v/>
      </c>
      <c r="R239">
        <f>IF(B239="Pillar",SUBSTITUTE(Entity!$B$7,"{entity}",LOWER(Entity!$B$3)),IF(B239="Cluster",IF(INDEX(Attributes!$G$3:$G$52,Q239)&lt;&gt;"",INDEX(Attributes!$G$3:$G$52,Q239),SUBSTITUTE(SUBSTITUTE(Entity!$B$8,"{entity}",LOWER(Entity!$B$3)),"{attribute}",LOWER(C239))),IF(B239="Supporting",SUBSTITUTE(SUBSTITUTE(SUBSTITUTE(IF(INDEX(Attributes!$H$3:$H$52,Q239)&lt;&gt;"",INDEX(Attributes!$H$3:$H$52,Q239),Entity!$B$9),"{entity}",LOWER(Entity!$B$3)),"{value}",D239),"{attribute}",LOWER(C239)),"")))</f>
        <v/>
      </c>
    </row>
    <row r="240">
      <c r="A240">
        <f>ROW()-2</f>
        <v/>
      </c>
      <c r="B240">
        <f>IF(A240=1,"Pillar",IF(A240&lt;=1+Entity!$B$14,"Cluster",IF(A240&lt;=1+Entity!$B$14+Entity!$B$15,"Supporting","")))</f>
        <v/>
      </c>
      <c r="C240">
        <f>IF(B240="Cluster",INDEX(Attributes!$A$3:$A$52,MATCH(A240-1,Attributes!$P$3:$P$52,0)),IF(B240="Supporting",INDEX(Values!$A$3:$A$502,P240),""))</f>
        <v/>
      </c>
      <c r="D240">
        <f>IF(B240="Supporting",INDEX(Values!$B$3:$B$502,P240),"")</f>
        <v/>
      </c>
      <c r="E240">
        <f>IF(R240="","",UPPER(LEFT(R240,1))&amp;MID(R240,2,500))</f>
        <v/>
      </c>
      <c r="F240">
        <f>IF(E240="","",LOWER(SUBSTITUTE(SUBSTITUTE(SUBSTITUTE(SUBSTITUTE(SUBSTITUTE(SUBSTITUTE(SUBSTITUTE(TRIM(E240),":",""),",",""),"'",""),"&amp;","and"),"£",""),"  "," ")," ","-")))</f>
        <v/>
      </c>
      <c r="G240">
        <f>IF(B240="Cluster",$E$3,IF(B240="Supporting",INDEX($E$3:$E$553,MATCH(C240,$C$3:$C$553,0)),""))</f>
        <v/>
      </c>
      <c r="H240">
        <f>IF(B240="Supporting",IFERROR(INDEX($E$3:$E$553,1+Entity!$B$14+INDEX(Values!$O$3:$O$502,P240)),""),IF(B240="Cluster",IF(Entity!$B$14&lt;2,"",INDEX($E$3:$E$553,IF(A240-1=Entity!$B$14,2,A240+1))),""))</f>
        <v/>
      </c>
      <c r="I240">
        <f>IF(B240="Pillar",Entity!$B$14&amp;" cluster pages",IF(B240="Cluster",(COUNTIF($C$3:$C$553,SUBSTITUTE(SUBSTITUTE(C240,"?","~?"),"*","~*"))-1)&amp;" supporting pages",""))</f>
        <v/>
      </c>
      <c r="J240">
        <f>IF(B240="Pillar","Informational",IF(OR(B240="Cluster",B240="Supporting"),INDEX(Attributes!$D$3:$D$52,Q240)&amp;"",""))</f>
        <v/>
      </c>
      <c r="K240">
        <f>IF(B240="","",IF(B240="Pillar","Pillar guide (entity hub)",IF(B240="Cluster","Hub page for this attribute",IF(INDEX(Values!$C$3:$C$502,P240)="Yes","Entity page (profile of the sub-entity)",IFERROR(INDEX(Lists!$B$3:$B$6,MATCH(J240,Lists!$A$3:$A$6,0)),"Article")))))</f>
        <v/>
      </c>
      <c r="L240">
        <f>IF(B240="Pillar",Entity!$B$6&amp;"",IF(B240="Cluster",INDEX(Attributes!$I$3:$I$52,Q240)&amp;"",IF(B240="Supporting",INDEX(Values!$F$3:$F$502,P240)&amp;"","")))</f>
        <v/>
      </c>
      <c r="M240">
        <f>IF(B240="","",IF(L240&lt;&gt;"","Covered","Gap"))</f>
        <v/>
      </c>
      <c r="N240">
        <f>IF(B240="Pillar",SUMIFS(Values!$E$3:$E$502,Values!$I$3:$I$502,"Yes"),IF(B240="Cluster",SUMIFS(Values!$E$3:$E$502,Values!$A$3:$A$502,SUBSTITUTE(SUBSTITUTE(C240,"?","~?"),"*","~*"),Values!$I$3:$I$502,"Yes"),IF(B240="Supporting",N(INDEX(Values!$E$3:$E$502,P240)),"")))</f>
        <v/>
      </c>
      <c r="O240">
        <f>IF(B240="","",IF(B240="Pillar",100,IF(B240="Cluster",N(INDEX(Attributes!$E$3:$E$52,Q240))*25+IF(M240="Gap",10,0),N(INDEX(Attributes!$E$3:$E$52,Q240))*20+MIN(20,ROUND(LOG10(N(N240)+1)*5,0))+IF(M240="Gap",10,0)+IF(INDEX(Values!$D$3:$D$502,P240)="Yes",5,0))))</f>
        <v/>
      </c>
      <c r="P240">
        <f>IF(B240="Supporting",MATCH(A240-1-Entity!$B$14,Values!$J$3:$J$502,0),"")</f>
        <v/>
      </c>
      <c r="Q240">
        <f>IF(C240="","",MATCH(C240,Attributes!$A$3:$A$52,0))</f>
        <v/>
      </c>
      <c r="R240">
        <f>IF(B240="Pillar",SUBSTITUTE(Entity!$B$7,"{entity}",LOWER(Entity!$B$3)),IF(B240="Cluster",IF(INDEX(Attributes!$G$3:$G$52,Q240)&lt;&gt;"",INDEX(Attributes!$G$3:$G$52,Q240),SUBSTITUTE(SUBSTITUTE(Entity!$B$8,"{entity}",LOWER(Entity!$B$3)),"{attribute}",LOWER(C240))),IF(B240="Supporting",SUBSTITUTE(SUBSTITUTE(SUBSTITUTE(IF(INDEX(Attributes!$H$3:$H$52,Q240)&lt;&gt;"",INDEX(Attributes!$H$3:$H$52,Q240),Entity!$B$9),"{entity}",LOWER(Entity!$B$3)),"{value}",D240),"{attribute}",LOWER(C240)),"")))</f>
        <v/>
      </c>
    </row>
    <row r="241">
      <c r="A241">
        <f>ROW()-2</f>
        <v/>
      </c>
      <c r="B241">
        <f>IF(A241=1,"Pillar",IF(A241&lt;=1+Entity!$B$14,"Cluster",IF(A241&lt;=1+Entity!$B$14+Entity!$B$15,"Supporting","")))</f>
        <v/>
      </c>
      <c r="C241">
        <f>IF(B241="Cluster",INDEX(Attributes!$A$3:$A$52,MATCH(A241-1,Attributes!$P$3:$P$52,0)),IF(B241="Supporting",INDEX(Values!$A$3:$A$502,P241),""))</f>
        <v/>
      </c>
      <c r="D241">
        <f>IF(B241="Supporting",INDEX(Values!$B$3:$B$502,P241),"")</f>
        <v/>
      </c>
      <c r="E241">
        <f>IF(R241="","",UPPER(LEFT(R241,1))&amp;MID(R241,2,500))</f>
        <v/>
      </c>
      <c r="F241">
        <f>IF(E241="","",LOWER(SUBSTITUTE(SUBSTITUTE(SUBSTITUTE(SUBSTITUTE(SUBSTITUTE(SUBSTITUTE(SUBSTITUTE(TRIM(E241),":",""),",",""),"'",""),"&amp;","and"),"£",""),"  "," ")," ","-")))</f>
        <v/>
      </c>
      <c r="G241">
        <f>IF(B241="Cluster",$E$3,IF(B241="Supporting",INDEX($E$3:$E$553,MATCH(C241,$C$3:$C$553,0)),""))</f>
        <v/>
      </c>
      <c r="H241">
        <f>IF(B241="Supporting",IFERROR(INDEX($E$3:$E$553,1+Entity!$B$14+INDEX(Values!$O$3:$O$502,P241)),""),IF(B241="Cluster",IF(Entity!$B$14&lt;2,"",INDEX($E$3:$E$553,IF(A241-1=Entity!$B$14,2,A241+1))),""))</f>
        <v/>
      </c>
      <c r="I241">
        <f>IF(B241="Pillar",Entity!$B$14&amp;" cluster pages",IF(B241="Cluster",(COUNTIF($C$3:$C$553,SUBSTITUTE(SUBSTITUTE(C241,"?","~?"),"*","~*"))-1)&amp;" supporting pages",""))</f>
        <v/>
      </c>
      <c r="J241">
        <f>IF(B241="Pillar","Informational",IF(OR(B241="Cluster",B241="Supporting"),INDEX(Attributes!$D$3:$D$52,Q241)&amp;"",""))</f>
        <v/>
      </c>
      <c r="K241">
        <f>IF(B241="","",IF(B241="Pillar","Pillar guide (entity hub)",IF(B241="Cluster","Hub page for this attribute",IF(INDEX(Values!$C$3:$C$502,P241)="Yes","Entity page (profile of the sub-entity)",IFERROR(INDEX(Lists!$B$3:$B$6,MATCH(J241,Lists!$A$3:$A$6,0)),"Article")))))</f>
        <v/>
      </c>
      <c r="L241">
        <f>IF(B241="Pillar",Entity!$B$6&amp;"",IF(B241="Cluster",INDEX(Attributes!$I$3:$I$52,Q241)&amp;"",IF(B241="Supporting",INDEX(Values!$F$3:$F$502,P241)&amp;"","")))</f>
        <v/>
      </c>
      <c r="M241">
        <f>IF(B241="","",IF(L241&lt;&gt;"","Covered","Gap"))</f>
        <v/>
      </c>
      <c r="N241">
        <f>IF(B241="Pillar",SUMIFS(Values!$E$3:$E$502,Values!$I$3:$I$502,"Yes"),IF(B241="Cluster",SUMIFS(Values!$E$3:$E$502,Values!$A$3:$A$502,SUBSTITUTE(SUBSTITUTE(C241,"?","~?"),"*","~*"),Values!$I$3:$I$502,"Yes"),IF(B241="Supporting",N(INDEX(Values!$E$3:$E$502,P241)),"")))</f>
        <v/>
      </c>
      <c r="O241">
        <f>IF(B241="","",IF(B241="Pillar",100,IF(B241="Cluster",N(INDEX(Attributes!$E$3:$E$52,Q241))*25+IF(M241="Gap",10,0),N(INDEX(Attributes!$E$3:$E$52,Q241))*20+MIN(20,ROUND(LOG10(N(N241)+1)*5,0))+IF(M241="Gap",10,0)+IF(INDEX(Values!$D$3:$D$502,P241)="Yes",5,0))))</f>
        <v/>
      </c>
      <c r="P241">
        <f>IF(B241="Supporting",MATCH(A241-1-Entity!$B$14,Values!$J$3:$J$502,0),"")</f>
        <v/>
      </c>
      <c r="Q241">
        <f>IF(C241="","",MATCH(C241,Attributes!$A$3:$A$52,0))</f>
        <v/>
      </c>
      <c r="R241">
        <f>IF(B241="Pillar",SUBSTITUTE(Entity!$B$7,"{entity}",LOWER(Entity!$B$3)),IF(B241="Cluster",IF(INDEX(Attributes!$G$3:$G$52,Q241)&lt;&gt;"",INDEX(Attributes!$G$3:$G$52,Q241),SUBSTITUTE(SUBSTITUTE(Entity!$B$8,"{entity}",LOWER(Entity!$B$3)),"{attribute}",LOWER(C241))),IF(B241="Supporting",SUBSTITUTE(SUBSTITUTE(SUBSTITUTE(IF(INDEX(Attributes!$H$3:$H$52,Q241)&lt;&gt;"",INDEX(Attributes!$H$3:$H$52,Q241),Entity!$B$9),"{entity}",LOWER(Entity!$B$3)),"{value}",D241),"{attribute}",LOWER(C241)),"")))</f>
        <v/>
      </c>
    </row>
    <row r="242">
      <c r="A242">
        <f>ROW()-2</f>
        <v/>
      </c>
      <c r="B242">
        <f>IF(A242=1,"Pillar",IF(A242&lt;=1+Entity!$B$14,"Cluster",IF(A242&lt;=1+Entity!$B$14+Entity!$B$15,"Supporting","")))</f>
        <v/>
      </c>
      <c r="C242">
        <f>IF(B242="Cluster",INDEX(Attributes!$A$3:$A$52,MATCH(A242-1,Attributes!$P$3:$P$52,0)),IF(B242="Supporting",INDEX(Values!$A$3:$A$502,P242),""))</f>
        <v/>
      </c>
      <c r="D242">
        <f>IF(B242="Supporting",INDEX(Values!$B$3:$B$502,P242),"")</f>
        <v/>
      </c>
      <c r="E242">
        <f>IF(R242="","",UPPER(LEFT(R242,1))&amp;MID(R242,2,500))</f>
        <v/>
      </c>
      <c r="F242">
        <f>IF(E242="","",LOWER(SUBSTITUTE(SUBSTITUTE(SUBSTITUTE(SUBSTITUTE(SUBSTITUTE(SUBSTITUTE(SUBSTITUTE(TRIM(E242),":",""),",",""),"'",""),"&amp;","and"),"£",""),"  "," ")," ","-")))</f>
        <v/>
      </c>
      <c r="G242">
        <f>IF(B242="Cluster",$E$3,IF(B242="Supporting",INDEX($E$3:$E$553,MATCH(C242,$C$3:$C$553,0)),""))</f>
        <v/>
      </c>
      <c r="H242">
        <f>IF(B242="Supporting",IFERROR(INDEX($E$3:$E$553,1+Entity!$B$14+INDEX(Values!$O$3:$O$502,P242)),""),IF(B242="Cluster",IF(Entity!$B$14&lt;2,"",INDEX($E$3:$E$553,IF(A242-1=Entity!$B$14,2,A242+1))),""))</f>
        <v/>
      </c>
      <c r="I242">
        <f>IF(B242="Pillar",Entity!$B$14&amp;" cluster pages",IF(B242="Cluster",(COUNTIF($C$3:$C$553,SUBSTITUTE(SUBSTITUTE(C242,"?","~?"),"*","~*"))-1)&amp;" supporting pages",""))</f>
        <v/>
      </c>
      <c r="J242">
        <f>IF(B242="Pillar","Informational",IF(OR(B242="Cluster",B242="Supporting"),INDEX(Attributes!$D$3:$D$52,Q242)&amp;"",""))</f>
        <v/>
      </c>
      <c r="K242">
        <f>IF(B242="","",IF(B242="Pillar","Pillar guide (entity hub)",IF(B242="Cluster","Hub page for this attribute",IF(INDEX(Values!$C$3:$C$502,P242)="Yes","Entity page (profile of the sub-entity)",IFERROR(INDEX(Lists!$B$3:$B$6,MATCH(J242,Lists!$A$3:$A$6,0)),"Article")))))</f>
        <v/>
      </c>
      <c r="L242">
        <f>IF(B242="Pillar",Entity!$B$6&amp;"",IF(B242="Cluster",INDEX(Attributes!$I$3:$I$52,Q242)&amp;"",IF(B242="Supporting",INDEX(Values!$F$3:$F$502,P242)&amp;"","")))</f>
        <v/>
      </c>
      <c r="M242">
        <f>IF(B242="","",IF(L242&lt;&gt;"","Covered","Gap"))</f>
        <v/>
      </c>
      <c r="N242">
        <f>IF(B242="Pillar",SUMIFS(Values!$E$3:$E$502,Values!$I$3:$I$502,"Yes"),IF(B242="Cluster",SUMIFS(Values!$E$3:$E$502,Values!$A$3:$A$502,SUBSTITUTE(SUBSTITUTE(C242,"?","~?"),"*","~*"),Values!$I$3:$I$502,"Yes"),IF(B242="Supporting",N(INDEX(Values!$E$3:$E$502,P242)),"")))</f>
        <v/>
      </c>
      <c r="O242">
        <f>IF(B242="","",IF(B242="Pillar",100,IF(B242="Cluster",N(INDEX(Attributes!$E$3:$E$52,Q242))*25+IF(M242="Gap",10,0),N(INDEX(Attributes!$E$3:$E$52,Q242))*20+MIN(20,ROUND(LOG10(N(N242)+1)*5,0))+IF(M242="Gap",10,0)+IF(INDEX(Values!$D$3:$D$502,P242)="Yes",5,0))))</f>
        <v/>
      </c>
      <c r="P242">
        <f>IF(B242="Supporting",MATCH(A242-1-Entity!$B$14,Values!$J$3:$J$502,0),"")</f>
        <v/>
      </c>
      <c r="Q242">
        <f>IF(C242="","",MATCH(C242,Attributes!$A$3:$A$52,0))</f>
        <v/>
      </c>
      <c r="R242">
        <f>IF(B242="Pillar",SUBSTITUTE(Entity!$B$7,"{entity}",LOWER(Entity!$B$3)),IF(B242="Cluster",IF(INDEX(Attributes!$G$3:$G$52,Q242)&lt;&gt;"",INDEX(Attributes!$G$3:$G$52,Q242),SUBSTITUTE(SUBSTITUTE(Entity!$B$8,"{entity}",LOWER(Entity!$B$3)),"{attribute}",LOWER(C242))),IF(B242="Supporting",SUBSTITUTE(SUBSTITUTE(SUBSTITUTE(IF(INDEX(Attributes!$H$3:$H$52,Q242)&lt;&gt;"",INDEX(Attributes!$H$3:$H$52,Q242),Entity!$B$9),"{entity}",LOWER(Entity!$B$3)),"{value}",D242),"{attribute}",LOWER(C242)),"")))</f>
        <v/>
      </c>
    </row>
    <row r="243">
      <c r="A243">
        <f>ROW()-2</f>
        <v/>
      </c>
      <c r="B243">
        <f>IF(A243=1,"Pillar",IF(A243&lt;=1+Entity!$B$14,"Cluster",IF(A243&lt;=1+Entity!$B$14+Entity!$B$15,"Supporting","")))</f>
        <v/>
      </c>
      <c r="C243">
        <f>IF(B243="Cluster",INDEX(Attributes!$A$3:$A$52,MATCH(A243-1,Attributes!$P$3:$P$52,0)),IF(B243="Supporting",INDEX(Values!$A$3:$A$502,P243),""))</f>
        <v/>
      </c>
      <c r="D243">
        <f>IF(B243="Supporting",INDEX(Values!$B$3:$B$502,P243),"")</f>
        <v/>
      </c>
      <c r="E243">
        <f>IF(R243="","",UPPER(LEFT(R243,1))&amp;MID(R243,2,500))</f>
        <v/>
      </c>
      <c r="F243">
        <f>IF(E243="","",LOWER(SUBSTITUTE(SUBSTITUTE(SUBSTITUTE(SUBSTITUTE(SUBSTITUTE(SUBSTITUTE(SUBSTITUTE(TRIM(E243),":",""),",",""),"'",""),"&amp;","and"),"£",""),"  "," ")," ","-")))</f>
        <v/>
      </c>
      <c r="G243">
        <f>IF(B243="Cluster",$E$3,IF(B243="Supporting",INDEX($E$3:$E$553,MATCH(C243,$C$3:$C$553,0)),""))</f>
        <v/>
      </c>
      <c r="H243">
        <f>IF(B243="Supporting",IFERROR(INDEX($E$3:$E$553,1+Entity!$B$14+INDEX(Values!$O$3:$O$502,P243)),""),IF(B243="Cluster",IF(Entity!$B$14&lt;2,"",INDEX($E$3:$E$553,IF(A243-1=Entity!$B$14,2,A243+1))),""))</f>
        <v/>
      </c>
      <c r="I243">
        <f>IF(B243="Pillar",Entity!$B$14&amp;" cluster pages",IF(B243="Cluster",(COUNTIF($C$3:$C$553,SUBSTITUTE(SUBSTITUTE(C243,"?","~?"),"*","~*"))-1)&amp;" supporting pages",""))</f>
        <v/>
      </c>
      <c r="J243">
        <f>IF(B243="Pillar","Informational",IF(OR(B243="Cluster",B243="Supporting"),INDEX(Attributes!$D$3:$D$52,Q243)&amp;"",""))</f>
        <v/>
      </c>
      <c r="K243">
        <f>IF(B243="","",IF(B243="Pillar","Pillar guide (entity hub)",IF(B243="Cluster","Hub page for this attribute",IF(INDEX(Values!$C$3:$C$502,P243)="Yes","Entity page (profile of the sub-entity)",IFERROR(INDEX(Lists!$B$3:$B$6,MATCH(J243,Lists!$A$3:$A$6,0)),"Article")))))</f>
        <v/>
      </c>
      <c r="L243">
        <f>IF(B243="Pillar",Entity!$B$6&amp;"",IF(B243="Cluster",INDEX(Attributes!$I$3:$I$52,Q243)&amp;"",IF(B243="Supporting",INDEX(Values!$F$3:$F$502,P243)&amp;"","")))</f>
        <v/>
      </c>
      <c r="M243">
        <f>IF(B243="","",IF(L243&lt;&gt;"","Covered","Gap"))</f>
        <v/>
      </c>
      <c r="N243">
        <f>IF(B243="Pillar",SUMIFS(Values!$E$3:$E$502,Values!$I$3:$I$502,"Yes"),IF(B243="Cluster",SUMIFS(Values!$E$3:$E$502,Values!$A$3:$A$502,SUBSTITUTE(SUBSTITUTE(C243,"?","~?"),"*","~*"),Values!$I$3:$I$502,"Yes"),IF(B243="Supporting",N(INDEX(Values!$E$3:$E$502,P243)),"")))</f>
        <v/>
      </c>
      <c r="O243">
        <f>IF(B243="","",IF(B243="Pillar",100,IF(B243="Cluster",N(INDEX(Attributes!$E$3:$E$52,Q243))*25+IF(M243="Gap",10,0),N(INDEX(Attributes!$E$3:$E$52,Q243))*20+MIN(20,ROUND(LOG10(N(N243)+1)*5,0))+IF(M243="Gap",10,0)+IF(INDEX(Values!$D$3:$D$502,P243)="Yes",5,0))))</f>
        <v/>
      </c>
      <c r="P243">
        <f>IF(B243="Supporting",MATCH(A243-1-Entity!$B$14,Values!$J$3:$J$502,0),"")</f>
        <v/>
      </c>
      <c r="Q243">
        <f>IF(C243="","",MATCH(C243,Attributes!$A$3:$A$52,0))</f>
        <v/>
      </c>
      <c r="R243">
        <f>IF(B243="Pillar",SUBSTITUTE(Entity!$B$7,"{entity}",LOWER(Entity!$B$3)),IF(B243="Cluster",IF(INDEX(Attributes!$G$3:$G$52,Q243)&lt;&gt;"",INDEX(Attributes!$G$3:$G$52,Q243),SUBSTITUTE(SUBSTITUTE(Entity!$B$8,"{entity}",LOWER(Entity!$B$3)),"{attribute}",LOWER(C243))),IF(B243="Supporting",SUBSTITUTE(SUBSTITUTE(SUBSTITUTE(IF(INDEX(Attributes!$H$3:$H$52,Q243)&lt;&gt;"",INDEX(Attributes!$H$3:$H$52,Q243),Entity!$B$9),"{entity}",LOWER(Entity!$B$3)),"{value}",D243),"{attribute}",LOWER(C243)),"")))</f>
        <v/>
      </c>
    </row>
    <row r="244">
      <c r="A244">
        <f>ROW()-2</f>
        <v/>
      </c>
      <c r="B244">
        <f>IF(A244=1,"Pillar",IF(A244&lt;=1+Entity!$B$14,"Cluster",IF(A244&lt;=1+Entity!$B$14+Entity!$B$15,"Supporting","")))</f>
        <v/>
      </c>
      <c r="C244">
        <f>IF(B244="Cluster",INDEX(Attributes!$A$3:$A$52,MATCH(A244-1,Attributes!$P$3:$P$52,0)),IF(B244="Supporting",INDEX(Values!$A$3:$A$502,P244),""))</f>
        <v/>
      </c>
      <c r="D244">
        <f>IF(B244="Supporting",INDEX(Values!$B$3:$B$502,P244),"")</f>
        <v/>
      </c>
      <c r="E244">
        <f>IF(R244="","",UPPER(LEFT(R244,1))&amp;MID(R244,2,500))</f>
        <v/>
      </c>
      <c r="F244">
        <f>IF(E244="","",LOWER(SUBSTITUTE(SUBSTITUTE(SUBSTITUTE(SUBSTITUTE(SUBSTITUTE(SUBSTITUTE(SUBSTITUTE(TRIM(E244),":",""),",",""),"'",""),"&amp;","and"),"£",""),"  "," ")," ","-")))</f>
        <v/>
      </c>
      <c r="G244">
        <f>IF(B244="Cluster",$E$3,IF(B244="Supporting",INDEX($E$3:$E$553,MATCH(C244,$C$3:$C$553,0)),""))</f>
        <v/>
      </c>
      <c r="H244">
        <f>IF(B244="Supporting",IFERROR(INDEX($E$3:$E$553,1+Entity!$B$14+INDEX(Values!$O$3:$O$502,P244)),""),IF(B244="Cluster",IF(Entity!$B$14&lt;2,"",INDEX($E$3:$E$553,IF(A244-1=Entity!$B$14,2,A244+1))),""))</f>
        <v/>
      </c>
      <c r="I244">
        <f>IF(B244="Pillar",Entity!$B$14&amp;" cluster pages",IF(B244="Cluster",(COUNTIF($C$3:$C$553,SUBSTITUTE(SUBSTITUTE(C244,"?","~?"),"*","~*"))-1)&amp;" supporting pages",""))</f>
        <v/>
      </c>
      <c r="J244">
        <f>IF(B244="Pillar","Informational",IF(OR(B244="Cluster",B244="Supporting"),INDEX(Attributes!$D$3:$D$52,Q244)&amp;"",""))</f>
        <v/>
      </c>
      <c r="K244">
        <f>IF(B244="","",IF(B244="Pillar","Pillar guide (entity hub)",IF(B244="Cluster","Hub page for this attribute",IF(INDEX(Values!$C$3:$C$502,P244)="Yes","Entity page (profile of the sub-entity)",IFERROR(INDEX(Lists!$B$3:$B$6,MATCH(J244,Lists!$A$3:$A$6,0)),"Article")))))</f>
        <v/>
      </c>
      <c r="L244">
        <f>IF(B244="Pillar",Entity!$B$6&amp;"",IF(B244="Cluster",INDEX(Attributes!$I$3:$I$52,Q244)&amp;"",IF(B244="Supporting",INDEX(Values!$F$3:$F$502,P244)&amp;"","")))</f>
        <v/>
      </c>
      <c r="M244">
        <f>IF(B244="","",IF(L244&lt;&gt;"","Covered","Gap"))</f>
        <v/>
      </c>
      <c r="N244">
        <f>IF(B244="Pillar",SUMIFS(Values!$E$3:$E$502,Values!$I$3:$I$502,"Yes"),IF(B244="Cluster",SUMIFS(Values!$E$3:$E$502,Values!$A$3:$A$502,SUBSTITUTE(SUBSTITUTE(C244,"?","~?"),"*","~*"),Values!$I$3:$I$502,"Yes"),IF(B244="Supporting",N(INDEX(Values!$E$3:$E$502,P244)),"")))</f>
        <v/>
      </c>
      <c r="O244">
        <f>IF(B244="","",IF(B244="Pillar",100,IF(B244="Cluster",N(INDEX(Attributes!$E$3:$E$52,Q244))*25+IF(M244="Gap",10,0),N(INDEX(Attributes!$E$3:$E$52,Q244))*20+MIN(20,ROUND(LOG10(N(N244)+1)*5,0))+IF(M244="Gap",10,0)+IF(INDEX(Values!$D$3:$D$502,P244)="Yes",5,0))))</f>
        <v/>
      </c>
      <c r="P244">
        <f>IF(B244="Supporting",MATCH(A244-1-Entity!$B$14,Values!$J$3:$J$502,0),"")</f>
        <v/>
      </c>
      <c r="Q244">
        <f>IF(C244="","",MATCH(C244,Attributes!$A$3:$A$52,0))</f>
        <v/>
      </c>
      <c r="R244">
        <f>IF(B244="Pillar",SUBSTITUTE(Entity!$B$7,"{entity}",LOWER(Entity!$B$3)),IF(B244="Cluster",IF(INDEX(Attributes!$G$3:$G$52,Q244)&lt;&gt;"",INDEX(Attributes!$G$3:$G$52,Q244),SUBSTITUTE(SUBSTITUTE(Entity!$B$8,"{entity}",LOWER(Entity!$B$3)),"{attribute}",LOWER(C244))),IF(B244="Supporting",SUBSTITUTE(SUBSTITUTE(SUBSTITUTE(IF(INDEX(Attributes!$H$3:$H$52,Q244)&lt;&gt;"",INDEX(Attributes!$H$3:$H$52,Q244),Entity!$B$9),"{entity}",LOWER(Entity!$B$3)),"{value}",D244),"{attribute}",LOWER(C244)),"")))</f>
        <v/>
      </c>
    </row>
    <row r="245">
      <c r="A245">
        <f>ROW()-2</f>
        <v/>
      </c>
      <c r="B245">
        <f>IF(A245=1,"Pillar",IF(A245&lt;=1+Entity!$B$14,"Cluster",IF(A245&lt;=1+Entity!$B$14+Entity!$B$15,"Supporting","")))</f>
        <v/>
      </c>
      <c r="C245">
        <f>IF(B245="Cluster",INDEX(Attributes!$A$3:$A$52,MATCH(A245-1,Attributes!$P$3:$P$52,0)),IF(B245="Supporting",INDEX(Values!$A$3:$A$502,P245),""))</f>
        <v/>
      </c>
      <c r="D245">
        <f>IF(B245="Supporting",INDEX(Values!$B$3:$B$502,P245),"")</f>
        <v/>
      </c>
      <c r="E245">
        <f>IF(R245="","",UPPER(LEFT(R245,1))&amp;MID(R245,2,500))</f>
        <v/>
      </c>
      <c r="F245">
        <f>IF(E245="","",LOWER(SUBSTITUTE(SUBSTITUTE(SUBSTITUTE(SUBSTITUTE(SUBSTITUTE(SUBSTITUTE(SUBSTITUTE(TRIM(E245),":",""),",",""),"'",""),"&amp;","and"),"£",""),"  "," ")," ","-")))</f>
        <v/>
      </c>
      <c r="G245">
        <f>IF(B245="Cluster",$E$3,IF(B245="Supporting",INDEX($E$3:$E$553,MATCH(C245,$C$3:$C$553,0)),""))</f>
        <v/>
      </c>
      <c r="H245">
        <f>IF(B245="Supporting",IFERROR(INDEX($E$3:$E$553,1+Entity!$B$14+INDEX(Values!$O$3:$O$502,P245)),""),IF(B245="Cluster",IF(Entity!$B$14&lt;2,"",INDEX($E$3:$E$553,IF(A245-1=Entity!$B$14,2,A245+1))),""))</f>
        <v/>
      </c>
      <c r="I245">
        <f>IF(B245="Pillar",Entity!$B$14&amp;" cluster pages",IF(B245="Cluster",(COUNTIF($C$3:$C$553,SUBSTITUTE(SUBSTITUTE(C245,"?","~?"),"*","~*"))-1)&amp;" supporting pages",""))</f>
        <v/>
      </c>
      <c r="J245">
        <f>IF(B245="Pillar","Informational",IF(OR(B245="Cluster",B245="Supporting"),INDEX(Attributes!$D$3:$D$52,Q245)&amp;"",""))</f>
        <v/>
      </c>
      <c r="K245">
        <f>IF(B245="","",IF(B245="Pillar","Pillar guide (entity hub)",IF(B245="Cluster","Hub page for this attribute",IF(INDEX(Values!$C$3:$C$502,P245)="Yes","Entity page (profile of the sub-entity)",IFERROR(INDEX(Lists!$B$3:$B$6,MATCH(J245,Lists!$A$3:$A$6,0)),"Article")))))</f>
        <v/>
      </c>
      <c r="L245">
        <f>IF(B245="Pillar",Entity!$B$6&amp;"",IF(B245="Cluster",INDEX(Attributes!$I$3:$I$52,Q245)&amp;"",IF(B245="Supporting",INDEX(Values!$F$3:$F$502,P245)&amp;"","")))</f>
        <v/>
      </c>
      <c r="M245">
        <f>IF(B245="","",IF(L245&lt;&gt;"","Covered","Gap"))</f>
        <v/>
      </c>
      <c r="N245">
        <f>IF(B245="Pillar",SUMIFS(Values!$E$3:$E$502,Values!$I$3:$I$502,"Yes"),IF(B245="Cluster",SUMIFS(Values!$E$3:$E$502,Values!$A$3:$A$502,SUBSTITUTE(SUBSTITUTE(C245,"?","~?"),"*","~*"),Values!$I$3:$I$502,"Yes"),IF(B245="Supporting",N(INDEX(Values!$E$3:$E$502,P245)),"")))</f>
        <v/>
      </c>
      <c r="O245">
        <f>IF(B245="","",IF(B245="Pillar",100,IF(B245="Cluster",N(INDEX(Attributes!$E$3:$E$52,Q245))*25+IF(M245="Gap",10,0),N(INDEX(Attributes!$E$3:$E$52,Q245))*20+MIN(20,ROUND(LOG10(N(N245)+1)*5,0))+IF(M245="Gap",10,0)+IF(INDEX(Values!$D$3:$D$502,P245)="Yes",5,0))))</f>
        <v/>
      </c>
      <c r="P245">
        <f>IF(B245="Supporting",MATCH(A245-1-Entity!$B$14,Values!$J$3:$J$502,0),"")</f>
        <v/>
      </c>
      <c r="Q245">
        <f>IF(C245="","",MATCH(C245,Attributes!$A$3:$A$52,0))</f>
        <v/>
      </c>
      <c r="R245">
        <f>IF(B245="Pillar",SUBSTITUTE(Entity!$B$7,"{entity}",LOWER(Entity!$B$3)),IF(B245="Cluster",IF(INDEX(Attributes!$G$3:$G$52,Q245)&lt;&gt;"",INDEX(Attributes!$G$3:$G$52,Q245),SUBSTITUTE(SUBSTITUTE(Entity!$B$8,"{entity}",LOWER(Entity!$B$3)),"{attribute}",LOWER(C245))),IF(B245="Supporting",SUBSTITUTE(SUBSTITUTE(SUBSTITUTE(IF(INDEX(Attributes!$H$3:$H$52,Q245)&lt;&gt;"",INDEX(Attributes!$H$3:$H$52,Q245),Entity!$B$9),"{entity}",LOWER(Entity!$B$3)),"{value}",D245),"{attribute}",LOWER(C245)),"")))</f>
        <v/>
      </c>
    </row>
    <row r="246">
      <c r="A246">
        <f>ROW()-2</f>
        <v/>
      </c>
      <c r="B246">
        <f>IF(A246=1,"Pillar",IF(A246&lt;=1+Entity!$B$14,"Cluster",IF(A246&lt;=1+Entity!$B$14+Entity!$B$15,"Supporting","")))</f>
        <v/>
      </c>
      <c r="C246">
        <f>IF(B246="Cluster",INDEX(Attributes!$A$3:$A$52,MATCH(A246-1,Attributes!$P$3:$P$52,0)),IF(B246="Supporting",INDEX(Values!$A$3:$A$502,P246),""))</f>
        <v/>
      </c>
      <c r="D246">
        <f>IF(B246="Supporting",INDEX(Values!$B$3:$B$502,P246),"")</f>
        <v/>
      </c>
      <c r="E246">
        <f>IF(R246="","",UPPER(LEFT(R246,1))&amp;MID(R246,2,500))</f>
        <v/>
      </c>
      <c r="F246">
        <f>IF(E246="","",LOWER(SUBSTITUTE(SUBSTITUTE(SUBSTITUTE(SUBSTITUTE(SUBSTITUTE(SUBSTITUTE(SUBSTITUTE(TRIM(E246),":",""),",",""),"'",""),"&amp;","and"),"£",""),"  "," ")," ","-")))</f>
        <v/>
      </c>
      <c r="G246">
        <f>IF(B246="Cluster",$E$3,IF(B246="Supporting",INDEX($E$3:$E$553,MATCH(C246,$C$3:$C$553,0)),""))</f>
        <v/>
      </c>
      <c r="H246">
        <f>IF(B246="Supporting",IFERROR(INDEX($E$3:$E$553,1+Entity!$B$14+INDEX(Values!$O$3:$O$502,P246)),""),IF(B246="Cluster",IF(Entity!$B$14&lt;2,"",INDEX($E$3:$E$553,IF(A246-1=Entity!$B$14,2,A246+1))),""))</f>
        <v/>
      </c>
      <c r="I246">
        <f>IF(B246="Pillar",Entity!$B$14&amp;" cluster pages",IF(B246="Cluster",(COUNTIF($C$3:$C$553,SUBSTITUTE(SUBSTITUTE(C246,"?","~?"),"*","~*"))-1)&amp;" supporting pages",""))</f>
        <v/>
      </c>
      <c r="J246">
        <f>IF(B246="Pillar","Informational",IF(OR(B246="Cluster",B246="Supporting"),INDEX(Attributes!$D$3:$D$52,Q246)&amp;"",""))</f>
        <v/>
      </c>
      <c r="K246">
        <f>IF(B246="","",IF(B246="Pillar","Pillar guide (entity hub)",IF(B246="Cluster","Hub page for this attribute",IF(INDEX(Values!$C$3:$C$502,P246)="Yes","Entity page (profile of the sub-entity)",IFERROR(INDEX(Lists!$B$3:$B$6,MATCH(J246,Lists!$A$3:$A$6,0)),"Article")))))</f>
        <v/>
      </c>
      <c r="L246">
        <f>IF(B246="Pillar",Entity!$B$6&amp;"",IF(B246="Cluster",INDEX(Attributes!$I$3:$I$52,Q246)&amp;"",IF(B246="Supporting",INDEX(Values!$F$3:$F$502,P246)&amp;"","")))</f>
        <v/>
      </c>
      <c r="M246">
        <f>IF(B246="","",IF(L246&lt;&gt;"","Covered","Gap"))</f>
        <v/>
      </c>
      <c r="N246">
        <f>IF(B246="Pillar",SUMIFS(Values!$E$3:$E$502,Values!$I$3:$I$502,"Yes"),IF(B246="Cluster",SUMIFS(Values!$E$3:$E$502,Values!$A$3:$A$502,SUBSTITUTE(SUBSTITUTE(C246,"?","~?"),"*","~*"),Values!$I$3:$I$502,"Yes"),IF(B246="Supporting",N(INDEX(Values!$E$3:$E$502,P246)),"")))</f>
        <v/>
      </c>
      <c r="O246">
        <f>IF(B246="","",IF(B246="Pillar",100,IF(B246="Cluster",N(INDEX(Attributes!$E$3:$E$52,Q246))*25+IF(M246="Gap",10,0),N(INDEX(Attributes!$E$3:$E$52,Q246))*20+MIN(20,ROUND(LOG10(N(N246)+1)*5,0))+IF(M246="Gap",10,0)+IF(INDEX(Values!$D$3:$D$502,P246)="Yes",5,0))))</f>
        <v/>
      </c>
      <c r="P246">
        <f>IF(B246="Supporting",MATCH(A246-1-Entity!$B$14,Values!$J$3:$J$502,0),"")</f>
        <v/>
      </c>
      <c r="Q246">
        <f>IF(C246="","",MATCH(C246,Attributes!$A$3:$A$52,0))</f>
        <v/>
      </c>
      <c r="R246">
        <f>IF(B246="Pillar",SUBSTITUTE(Entity!$B$7,"{entity}",LOWER(Entity!$B$3)),IF(B246="Cluster",IF(INDEX(Attributes!$G$3:$G$52,Q246)&lt;&gt;"",INDEX(Attributes!$G$3:$G$52,Q246),SUBSTITUTE(SUBSTITUTE(Entity!$B$8,"{entity}",LOWER(Entity!$B$3)),"{attribute}",LOWER(C246))),IF(B246="Supporting",SUBSTITUTE(SUBSTITUTE(SUBSTITUTE(IF(INDEX(Attributes!$H$3:$H$52,Q246)&lt;&gt;"",INDEX(Attributes!$H$3:$H$52,Q246),Entity!$B$9),"{entity}",LOWER(Entity!$B$3)),"{value}",D246),"{attribute}",LOWER(C246)),"")))</f>
        <v/>
      </c>
    </row>
    <row r="247">
      <c r="A247">
        <f>ROW()-2</f>
        <v/>
      </c>
      <c r="B247">
        <f>IF(A247=1,"Pillar",IF(A247&lt;=1+Entity!$B$14,"Cluster",IF(A247&lt;=1+Entity!$B$14+Entity!$B$15,"Supporting","")))</f>
        <v/>
      </c>
      <c r="C247">
        <f>IF(B247="Cluster",INDEX(Attributes!$A$3:$A$52,MATCH(A247-1,Attributes!$P$3:$P$52,0)),IF(B247="Supporting",INDEX(Values!$A$3:$A$502,P247),""))</f>
        <v/>
      </c>
      <c r="D247">
        <f>IF(B247="Supporting",INDEX(Values!$B$3:$B$502,P247),"")</f>
        <v/>
      </c>
      <c r="E247">
        <f>IF(R247="","",UPPER(LEFT(R247,1))&amp;MID(R247,2,500))</f>
        <v/>
      </c>
      <c r="F247">
        <f>IF(E247="","",LOWER(SUBSTITUTE(SUBSTITUTE(SUBSTITUTE(SUBSTITUTE(SUBSTITUTE(SUBSTITUTE(SUBSTITUTE(TRIM(E247),":",""),",",""),"'",""),"&amp;","and"),"£",""),"  "," ")," ","-")))</f>
        <v/>
      </c>
      <c r="G247">
        <f>IF(B247="Cluster",$E$3,IF(B247="Supporting",INDEX($E$3:$E$553,MATCH(C247,$C$3:$C$553,0)),""))</f>
        <v/>
      </c>
      <c r="H247">
        <f>IF(B247="Supporting",IFERROR(INDEX($E$3:$E$553,1+Entity!$B$14+INDEX(Values!$O$3:$O$502,P247)),""),IF(B247="Cluster",IF(Entity!$B$14&lt;2,"",INDEX($E$3:$E$553,IF(A247-1=Entity!$B$14,2,A247+1))),""))</f>
        <v/>
      </c>
      <c r="I247">
        <f>IF(B247="Pillar",Entity!$B$14&amp;" cluster pages",IF(B247="Cluster",(COUNTIF($C$3:$C$553,SUBSTITUTE(SUBSTITUTE(C247,"?","~?"),"*","~*"))-1)&amp;" supporting pages",""))</f>
        <v/>
      </c>
      <c r="J247">
        <f>IF(B247="Pillar","Informational",IF(OR(B247="Cluster",B247="Supporting"),INDEX(Attributes!$D$3:$D$52,Q247)&amp;"",""))</f>
        <v/>
      </c>
      <c r="K247">
        <f>IF(B247="","",IF(B247="Pillar","Pillar guide (entity hub)",IF(B247="Cluster","Hub page for this attribute",IF(INDEX(Values!$C$3:$C$502,P247)="Yes","Entity page (profile of the sub-entity)",IFERROR(INDEX(Lists!$B$3:$B$6,MATCH(J247,Lists!$A$3:$A$6,0)),"Article")))))</f>
        <v/>
      </c>
      <c r="L247">
        <f>IF(B247="Pillar",Entity!$B$6&amp;"",IF(B247="Cluster",INDEX(Attributes!$I$3:$I$52,Q247)&amp;"",IF(B247="Supporting",INDEX(Values!$F$3:$F$502,P247)&amp;"","")))</f>
        <v/>
      </c>
      <c r="M247">
        <f>IF(B247="","",IF(L247&lt;&gt;"","Covered","Gap"))</f>
        <v/>
      </c>
      <c r="N247">
        <f>IF(B247="Pillar",SUMIFS(Values!$E$3:$E$502,Values!$I$3:$I$502,"Yes"),IF(B247="Cluster",SUMIFS(Values!$E$3:$E$502,Values!$A$3:$A$502,SUBSTITUTE(SUBSTITUTE(C247,"?","~?"),"*","~*"),Values!$I$3:$I$502,"Yes"),IF(B247="Supporting",N(INDEX(Values!$E$3:$E$502,P247)),"")))</f>
        <v/>
      </c>
      <c r="O247">
        <f>IF(B247="","",IF(B247="Pillar",100,IF(B247="Cluster",N(INDEX(Attributes!$E$3:$E$52,Q247))*25+IF(M247="Gap",10,0),N(INDEX(Attributes!$E$3:$E$52,Q247))*20+MIN(20,ROUND(LOG10(N(N247)+1)*5,0))+IF(M247="Gap",10,0)+IF(INDEX(Values!$D$3:$D$502,P247)="Yes",5,0))))</f>
        <v/>
      </c>
      <c r="P247">
        <f>IF(B247="Supporting",MATCH(A247-1-Entity!$B$14,Values!$J$3:$J$502,0),"")</f>
        <v/>
      </c>
      <c r="Q247">
        <f>IF(C247="","",MATCH(C247,Attributes!$A$3:$A$52,0))</f>
        <v/>
      </c>
      <c r="R247">
        <f>IF(B247="Pillar",SUBSTITUTE(Entity!$B$7,"{entity}",LOWER(Entity!$B$3)),IF(B247="Cluster",IF(INDEX(Attributes!$G$3:$G$52,Q247)&lt;&gt;"",INDEX(Attributes!$G$3:$G$52,Q247),SUBSTITUTE(SUBSTITUTE(Entity!$B$8,"{entity}",LOWER(Entity!$B$3)),"{attribute}",LOWER(C247))),IF(B247="Supporting",SUBSTITUTE(SUBSTITUTE(SUBSTITUTE(IF(INDEX(Attributes!$H$3:$H$52,Q247)&lt;&gt;"",INDEX(Attributes!$H$3:$H$52,Q247),Entity!$B$9),"{entity}",LOWER(Entity!$B$3)),"{value}",D247),"{attribute}",LOWER(C247)),"")))</f>
        <v/>
      </c>
    </row>
    <row r="248">
      <c r="A248">
        <f>ROW()-2</f>
        <v/>
      </c>
      <c r="B248">
        <f>IF(A248=1,"Pillar",IF(A248&lt;=1+Entity!$B$14,"Cluster",IF(A248&lt;=1+Entity!$B$14+Entity!$B$15,"Supporting","")))</f>
        <v/>
      </c>
      <c r="C248">
        <f>IF(B248="Cluster",INDEX(Attributes!$A$3:$A$52,MATCH(A248-1,Attributes!$P$3:$P$52,0)),IF(B248="Supporting",INDEX(Values!$A$3:$A$502,P248),""))</f>
        <v/>
      </c>
      <c r="D248">
        <f>IF(B248="Supporting",INDEX(Values!$B$3:$B$502,P248),"")</f>
        <v/>
      </c>
      <c r="E248">
        <f>IF(R248="","",UPPER(LEFT(R248,1))&amp;MID(R248,2,500))</f>
        <v/>
      </c>
      <c r="F248">
        <f>IF(E248="","",LOWER(SUBSTITUTE(SUBSTITUTE(SUBSTITUTE(SUBSTITUTE(SUBSTITUTE(SUBSTITUTE(SUBSTITUTE(TRIM(E248),":",""),",",""),"'",""),"&amp;","and"),"£",""),"  "," ")," ","-")))</f>
        <v/>
      </c>
      <c r="G248">
        <f>IF(B248="Cluster",$E$3,IF(B248="Supporting",INDEX($E$3:$E$553,MATCH(C248,$C$3:$C$553,0)),""))</f>
        <v/>
      </c>
      <c r="H248">
        <f>IF(B248="Supporting",IFERROR(INDEX($E$3:$E$553,1+Entity!$B$14+INDEX(Values!$O$3:$O$502,P248)),""),IF(B248="Cluster",IF(Entity!$B$14&lt;2,"",INDEX($E$3:$E$553,IF(A248-1=Entity!$B$14,2,A248+1))),""))</f>
        <v/>
      </c>
      <c r="I248">
        <f>IF(B248="Pillar",Entity!$B$14&amp;" cluster pages",IF(B248="Cluster",(COUNTIF($C$3:$C$553,SUBSTITUTE(SUBSTITUTE(C248,"?","~?"),"*","~*"))-1)&amp;" supporting pages",""))</f>
        <v/>
      </c>
      <c r="J248">
        <f>IF(B248="Pillar","Informational",IF(OR(B248="Cluster",B248="Supporting"),INDEX(Attributes!$D$3:$D$52,Q248)&amp;"",""))</f>
        <v/>
      </c>
      <c r="K248">
        <f>IF(B248="","",IF(B248="Pillar","Pillar guide (entity hub)",IF(B248="Cluster","Hub page for this attribute",IF(INDEX(Values!$C$3:$C$502,P248)="Yes","Entity page (profile of the sub-entity)",IFERROR(INDEX(Lists!$B$3:$B$6,MATCH(J248,Lists!$A$3:$A$6,0)),"Article")))))</f>
        <v/>
      </c>
      <c r="L248">
        <f>IF(B248="Pillar",Entity!$B$6&amp;"",IF(B248="Cluster",INDEX(Attributes!$I$3:$I$52,Q248)&amp;"",IF(B248="Supporting",INDEX(Values!$F$3:$F$502,P248)&amp;"","")))</f>
        <v/>
      </c>
      <c r="M248">
        <f>IF(B248="","",IF(L248&lt;&gt;"","Covered","Gap"))</f>
        <v/>
      </c>
      <c r="N248">
        <f>IF(B248="Pillar",SUMIFS(Values!$E$3:$E$502,Values!$I$3:$I$502,"Yes"),IF(B248="Cluster",SUMIFS(Values!$E$3:$E$502,Values!$A$3:$A$502,SUBSTITUTE(SUBSTITUTE(C248,"?","~?"),"*","~*"),Values!$I$3:$I$502,"Yes"),IF(B248="Supporting",N(INDEX(Values!$E$3:$E$502,P248)),"")))</f>
        <v/>
      </c>
      <c r="O248">
        <f>IF(B248="","",IF(B248="Pillar",100,IF(B248="Cluster",N(INDEX(Attributes!$E$3:$E$52,Q248))*25+IF(M248="Gap",10,0),N(INDEX(Attributes!$E$3:$E$52,Q248))*20+MIN(20,ROUND(LOG10(N(N248)+1)*5,0))+IF(M248="Gap",10,0)+IF(INDEX(Values!$D$3:$D$502,P248)="Yes",5,0))))</f>
        <v/>
      </c>
      <c r="P248">
        <f>IF(B248="Supporting",MATCH(A248-1-Entity!$B$14,Values!$J$3:$J$502,0),"")</f>
        <v/>
      </c>
      <c r="Q248">
        <f>IF(C248="","",MATCH(C248,Attributes!$A$3:$A$52,0))</f>
        <v/>
      </c>
      <c r="R248">
        <f>IF(B248="Pillar",SUBSTITUTE(Entity!$B$7,"{entity}",LOWER(Entity!$B$3)),IF(B248="Cluster",IF(INDEX(Attributes!$G$3:$G$52,Q248)&lt;&gt;"",INDEX(Attributes!$G$3:$G$52,Q248),SUBSTITUTE(SUBSTITUTE(Entity!$B$8,"{entity}",LOWER(Entity!$B$3)),"{attribute}",LOWER(C248))),IF(B248="Supporting",SUBSTITUTE(SUBSTITUTE(SUBSTITUTE(IF(INDEX(Attributes!$H$3:$H$52,Q248)&lt;&gt;"",INDEX(Attributes!$H$3:$H$52,Q248),Entity!$B$9),"{entity}",LOWER(Entity!$B$3)),"{value}",D248),"{attribute}",LOWER(C248)),"")))</f>
        <v/>
      </c>
    </row>
    <row r="249">
      <c r="A249">
        <f>ROW()-2</f>
        <v/>
      </c>
      <c r="B249">
        <f>IF(A249=1,"Pillar",IF(A249&lt;=1+Entity!$B$14,"Cluster",IF(A249&lt;=1+Entity!$B$14+Entity!$B$15,"Supporting","")))</f>
        <v/>
      </c>
      <c r="C249">
        <f>IF(B249="Cluster",INDEX(Attributes!$A$3:$A$52,MATCH(A249-1,Attributes!$P$3:$P$52,0)),IF(B249="Supporting",INDEX(Values!$A$3:$A$502,P249),""))</f>
        <v/>
      </c>
      <c r="D249">
        <f>IF(B249="Supporting",INDEX(Values!$B$3:$B$502,P249),"")</f>
        <v/>
      </c>
      <c r="E249">
        <f>IF(R249="","",UPPER(LEFT(R249,1))&amp;MID(R249,2,500))</f>
        <v/>
      </c>
      <c r="F249">
        <f>IF(E249="","",LOWER(SUBSTITUTE(SUBSTITUTE(SUBSTITUTE(SUBSTITUTE(SUBSTITUTE(SUBSTITUTE(SUBSTITUTE(TRIM(E249),":",""),",",""),"'",""),"&amp;","and"),"£",""),"  "," ")," ","-")))</f>
        <v/>
      </c>
      <c r="G249">
        <f>IF(B249="Cluster",$E$3,IF(B249="Supporting",INDEX($E$3:$E$553,MATCH(C249,$C$3:$C$553,0)),""))</f>
        <v/>
      </c>
      <c r="H249">
        <f>IF(B249="Supporting",IFERROR(INDEX($E$3:$E$553,1+Entity!$B$14+INDEX(Values!$O$3:$O$502,P249)),""),IF(B249="Cluster",IF(Entity!$B$14&lt;2,"",INDEX($E$3:$E$553,IF(A249-1=Entity!$B$14,2,A249+1))),""))</f>
        <v/>
      </c>
      <c r="I249">
        <f>IF(B249="Pillar",Entity!$B$14&amp;" cluster pages",IF(B249="Cluster",(COUNTIF($C$3:$C$553,SUBSTITUTE(SUBSTITUTE(C249,"?","~?"),"*","~*"))-1)&amp;" supporting pages",""))</f>
        <v/>
      </c>
      <c r="J249">
        <f>IF(B249="Pillar","Informational",IF(OR(B249="Cluster",B249="Supporting"),INDEX(Attributes!$D$3:$D$52,Q249)&amp;"",""))</f>
        <v/>
      </c>
      <c r="K249">
        <f>IF(B249="","",IF(B249="Pillar","Pillar guide (entity hub)",IF(B249="Cluster","Hub page for this attribute",IF(INDEX(Values!$C$3:$C$502,P249)="Yes","Entity page (profile of the sub-entity)",IFERROR(INDEX(Lists!$B$3:$B$6,MATCH(J249,Lists!$A$3:$A$6,0)),"Article")))))</f>
        <v/>
      </c>
      <c r="L249">
        <f>IF(B249="Pillar",Entity!$B$6&amp;"",IF(B249="Cluster",INDEX(Attributes!$I$3:$I$52,Q249)&amp;"",IF(B249="Supporting",INDEX(Values!$F$3:$F$502,P249)&amp;"","")))</f>
        <v/>
      </c>
      <c r="M249">
        <f>IF(B249="","",IF(L249&lt;&gt;"","Covered","Gap"))</f>
        <v/>
      </c>
      <c r="N249">
        <f>IF(B249="Pillar",SUMIFS(Values!$E$3:$E$502,Values!$I$3:$I$502,"Yes"),IF(B249="Cluster",SUMIFS(Values!$E$3:$E$502,Values!$A$3:$A$502,SUBSTITUTE(SUBSTITUTE(C249,"?","~?"),"*","~*"),Values!$I$3:$I$502,"Yes"),IF(B249="Supporting",N(INDEX(Values!$E$3:$E$502,P249)),"")))</f>
        <v/>
      </c>
      <c r="O249">
        <f>IF(B249="","",IF(B249="Pillar",100,IF(B249="Cluster",N(INDEX(Attributes!$E$3:$E$52,Q249))*25+IF(M249="Gap",10,0),N(INDEX(Attributes!$E$3:$E$52,Q249))*20+MIN(20,ROUND(LOG10(N(N249)+1)*5,0))+IF(M249="Gap",10,0)+IF(INDEX(Values!$D$3:$D$502,P249)="Yes",5,0))))</f>
        <v/>
      </c>
      <c r="P249">
        <f>IF(B249="Supporting",MATCH(A249-1-Entity!$B$14,Values!$J$3:$J$502,0),"")</f>
        <v/>
      </c>
      <c r="Q249">
        <f>IF(C249="","",MATCH(C249,Attributes!$A$3:$A$52,0))</f>
        <v/>
      </c>
      <c r="R249">
        <f>IF(B249="Pillar",SUBSTITUTE(Entity!$B$7,"{entity}",LOWER(Entity!$B$3)),IF(B249="Cluster",IF(INDEX(Attributes!$G$3:$G$52,Q249)&lt;&gt;"",INDEX(Attributes!$G$3:$G$52,Q249),SUBSTITUTE(SUBSTITUTE(Entity!$B$8,"{entity}",LOWER(Entity!$B$3)),"{attribute}",LOWER(C249))),IF(B249="Supporting",SUBSTITUTE(SUBSTITUTE(SUBSTITUTE(IF(INDEX(Attributes!$H$3:$H$52,Q249)&lt;&gt;"",INDEX(Attributes!$H$3:$H$52,Q249),Entity!$B$9),"{entity}",LOWER(Entity!$B$3)),"{value}",D249),"{attribute}",LOWER(C249)),"")))</f>
        <v/>
      </c>
    </row>
    <row r="250">
      <c r="A250">
        <f>ROW()-2</f>
        <v/>
      </c>
      <c r="B250">
        <f>IF(A250=1,"Pillar",IF(A250&lt;=1+Entity!$B$14,"Cluster",IF(A250&lt;=1+Entity!$B$14+Entity!$B$15,"Supporting","")))</f>
        <v/>
      </c>
      <c r="C250">
        <f>IF(B250="Cluster",INDEX(Attributes!$A$3:$A$52,MATCH(A250-1,Attributes!$P$3:$P$52,0)),IF(B250="Supporting",INDEX(Values!$A$3:$A$502,P250),""))</f>
        <v/>
      </c>
      <c r="D250">
        <f>IF(B250="Supporting",INDEX(Values!$B$3:$B$502,P250),"")</f>
        <v/>
      </c>
      <c r="E250">
        <f>IF(R250="","",UPPER(LEFT(R250,1))&amp;MID(R250,2,500))</f>
        <v/>
      </c>
      <c r="F250">
        <f>IF(E250="","",LOWER(SUBSTITUTE(SUBSTITUTE(SUBSTITUTE(SUBSTITUTE(SUBSTITUTE(SUBSTITUTE(SUBSTITUTE(TRIM(E250),":",""),",",""),"'",""),"&amp;","and"),"£",""),"  "," ")," ","-")))</f>
        <v/>
      </c>
      <c r="G250">
        <f>IF(B250="Cluster",$E$3,IF(B250="Supporting",INDEX($E$3:$E$553,MATCH(C250,$C$3:$C$553,0)),""))</f>
        <v/>
      </c>
      <c r="H250">
        <f>IF(B250="Supporting",IFERROR(INDEX($E$3:$E$553,1+Entity!$B$14+INDEX(Values!$O$3:$O$502,P250)),""),IF(B250="Cluster",IF(Entity!$B$14&lt;2,"",INDEX($E$3:$E$553,IF(A250-1=Entity!$B$14,2,A250+1))),""))</f>
        <v/>
      </c>
      <c r="I250">
        <f>IF(B250="Pillar",Entity!$B$14&amp;" cluster pages",IF(B250="Cluster",(COUNTIF($C$3:$C$553,SUBSTITUTE(SUBSTITUTE(C250,"?","~?"),"*","~*"))-1)&amp;" supporting pages",""))</f>
        <v/>
      </c>
      <c r="J250">
        <f>IF(B250="Pillar","Informational",IF(OR(B250="Cluster",B250="Supporting"),INDEX(Attributes!$D$3:$D$52,Q250)&amp;"",""))</f>
        <v/>
      </c>
      <c r="K250">
        <f>IF(B250="","",IF(B250="Pillar","Pillar guide (entity hub)",IF(B250="Cluster","Hub page for this attribute",IF(INDEX(Values!$C$3:$C$502,P250)="Yes","Entity page (profile of the sub-entity)",IFERROR(INDEX(Lists!$B$3:$B$6,MATCH(J250,Lists!$A$3:$A$6,0)),"Article")))))</f>
        <v/>
      </c>
      <c r="L250">
        <f>IF(B250="Pillar",Entity!$B$6&amp;"",IF(B250="Cluster",INDEX(Attributes!$I$3:$I$52,Q250)&amp;"",IF(B250="Supporting",INDEX(Values!$F$3:$F$502,P250)&amp;"","")))</f>
        <v/>
      </c>
      <c r="M250">
        <f>IF(B250="","",IF(L250&lt;&gt;"","Covered","Gap"))</f>
        <v/>
      </c>
      <c r="N250">
        <f>IF(B250="Pillar",SUMIFS(Values!$E$3:$E$502,Values!$I$3:$I$502,"Yes"),IF(B250="Cluster",SUMIFS(Values!$E$3:$E$502,Values!$A$3:$A$502,SUBSTITUTE(SUBSTITUTE(C250,"?","~?"),"*","~*"),Values!$I$3:$I$502,"Yes"),IF(B250="Supporting",N(INDEX(Values!$E$3:$E$502,P250)),"")))</f>
        <v/>
      </c>
      <c r="O250">
        <f>IF(B250="","",IF(B250="Pillar",100,IF(B250="Cluster",N(INDEX(Attributes!$E$3:$E$52,Q250))*25+IF(M250="Gap",10,0),N(INDEX(Attributes!$E$3:$E$52,Q250))*20+MIN(20,ROUND(LOG10(N(N250)+1)*5,0))+IF(M250="Gap",10,0)+IF(INDEX(Values!$D$3:$D$502,P250)="Yes",5,0))))</f>
        <v/>
      </c>
      <c r="P250">
        <f>IF(B250="Supporting",MATCH(A250-1-Entity!$B$14,Values!$J$3:$J$502,0),"")</f>
        <v/>
      </c>
      <c r="Q250">
        <f>IF(C250="","",MATCH(C250,Attributes!$A$3:$A$52,0))</f>
        <v/>
      </c>
      <c r="R250">
        <f>IF(B250="Pillar",SUBSTITUTE(Entity!$B$7,"{entity}",LOWER(Entity!$B$3)),IF(B250="Cluster",IF(INDEX(Attributes!$G$3:$G$52,Q250)&lt;&gt;"",INDEX(Attributes!$G$3:$G$52,Q250),SUBSTITUTE(SUBSTITUTE(Entity!$B$8,"{entity}",LOWER(Entity!$B$3)),"{attribute}",LOWER(C250))),IF(B250="Supporting",SUBSTITUTE(SUBSTITUTE(SUBSTITUTE(IF(INDEX(Attributes!$H$3:$H$52,Q250)&lt;&gt;"",INDEX(Attributes!$H$3:$H$52,Q250),Entity!$B$9),"{entity}",LOWER(Entity!$B$3)),"{value}",D250),"{attribute}",LOWER(C250)),"")))</f>
        <v/>
      </c>
    </row>
    <row r="251">
      <c r="A251">
        <f>ROW()-2</f>
        <v/>
      </c>
      <c r="B251">
        <f>IF(A251=1,"Pillar",IF(A251&lt;=1+Entity!$B$14,"Cluster",IF(A251&lt;=1+Entity!$B$14+Entity!$B$15,"Supporting","")))</f>
        <v/>
      </c>
      <c r="C251">
        <f>IF(B251="Cluster",INDEX(Attributes!$A$3:$A$52,MATCH(A251-1,Attributes!$P$3:$P$52,0)),IF(B251="Supporting",INDEX(Values!$A$3:$A$502,P251),""))</f>
        <v/>
      </c>
      <c r="D251">
        <f>IF(B251="Supporting",INDEX(Values!$B$3:$B$502,P251),"")</f>
        <v/>
      </c>
      <c r="E251">
        <f>IF(R251="","",UPPER(LEFT(R251,1))&amp;MID(R251,2,500))</f>
        <v/>
      </c>
      <c r="F251">
        <f>IF(E251="","",LOWER(SUBSTITUTE(SUBSTITUTE(SUBSTITUTE(SUBSTITUTE(SUBSTITUTE(SUBSTITUTE(SUBSTITUTE(TRIM(E251),":",""),",",""),"'",""),"&amp;","and"),"£",""),"  "," ")," ","-")))</f>
        <v/>
      </c>
      <c r="G251">
        <f>IF(B251="Cluster",$E$3,IF(B251="Supporting",INDEX($E$3:$E$553,MATCH(C251,$C$3:$C$553,0)),""))</f>
        <v/>
      </c>
      <c r="H251">
        <f>IF(B251="Supporting",IFERROR(INDEX($E$3:$E$553,1+Entity!$B$14+INDEX(Values!$O$3:$O$502,P251)),""),IF(B251="Cluster",IF(Entity!$B$14&lt;2,"",INDEX($E$3:$E$553,IF(A251-1=Entity!$B$14,2,A251+1))),""))</f>
        <v/>
      </c>
      <c r="I251">
        <f>IF(B251="Pillar",Entity!$B$14&amp;" cluster pages",IF(B251="Cluster",(COUNTIF($C$3:$C$553,SUBSTITUTE(SUBSTITUTE(C251,"?","~?"),"*","~*"))-1)&amp;" supporting pages",""))</f>
        <v/>
      </c>
      <c r="J251">
        <f>IF(B251="Pillar","Informational",IF(OR(B251="Cluster",B251="Supporting"),INDEX(Attributes!$D$3:$D$52,Q251)&amp;"",""))</f>
        <v/>
      </c>
      <c r="K251">
        <f>IF(B251="","",IF(B251="Pillar","Pillar guide (entity hub)",IF(B251="Cluster","Hub page for this attribute",IF(INDEX(Values!$C$3:$C$502,P251)="Yes","Entity page (profile of the sub-entity)",IFERROR(INDEX(Lists!$B$3:$B$6,MATCH(J251,Lists!$A$3:$A$6,0)),"Article")))))</f>
        <v/>
      </c>
      <c r="L251">
        <f>IF(B251="Pillar",Entity!$B$6&amp;"",IF(B251="Cluster",INDEX(Attributes!$I$3:$I$52,Q251)&amp;"",IF(B251="Supporting",INDEX(Values!$F$3:$F$502,P251)&amp;"","")))</f>
        <v/>
      </c>
      <c r="M251">
        <f>IF(B251="","",IF(L251&lt;&gt;"","Covered","Gap"))</f>
        <v/>
      </c>
      <c r="N251">
        <f>IF(B251="Pillar",SUMIFS(Values!$E$3:$E$502,Values!$I$3:$I$502,"Yes"),IF(B251="Cluster",SUMIFS(Values!$E$3:$E$502,Values!$A$3:$A$502,SUBSTITUTE(SUBSTITUTE(C251,"?","~?"),"*","~*"),Values!$I$3:$I$502,"Yes"),IF(B251="Supporting",N(INDEX(Values!$E$3:$E$502,P251)),"")))</f>
        <v/>
      </c>
      <c r="O251">
        <f>IF(B251="","",IF(B251="Pillar",100,IF(B251="Cluster",N(INDEX(Attributes!$E$3:$E$52,Q251))*25+IF(M251="Gap",10,0),N(INDEX(Attributes!$E$3:$E$52,Q251))*20+MIN(20,ROUND(LOG10(N(N251)+1)*5,0))+IF(M251="Gap",10,0)+IF(INDEX(Values!$D$3:$D$502,P251)="Yes",5,0))))</f>
        <v/>
      </c>
      <c r="P251">
        <f>IF(B251="Supporting",MATCH(A251-1-Entity!$B$14,Values!$J$3:$J$502,0),"")</f>
        <v/>
      </c>
      <c r="Q251">
        <f>IF(C251="","",MATCH(C251,Attributes!$A$3:$A$52,0))</f>
        <v/>
      </c>
      <c r="R251">
        <f>IF(B251="Pillar",SUBSTITUTE(Entity!$B$7,"{entity}",LOWER(Entity!$B$3)),IF(B251="Cluster",IF(INDEX(Attributes!$G$3:$G$52,Q251)&lt;&gt;"",INDEX(Attributes!$G$3:$G$52,Q251),SUBSTITUTE(SUBSTITUTE(Entity!$B$8,"{entity}",LOWER(Entity!$B$3)),"{attribute}",LOWER(C251))),IF(B251="Supporting",SUBSTITUTE(SUBSTITUTE(SUBSTITUTE(IF(INDEX(Attributes!$H$3:$H$52,Q251)&lt;&gt;"",INDEX(Attributes!$H$3:$H$52,Q251),Entity!$B$9),"{entity}",LOWER(Entity!$B$3)),"{value}",D251),"{attribute}",LOWER(C251)),"")))</f>
        <v/>
      </c>
    </row>
    <row r="252">
      <c r="A252">
        <f>ROW()-2</f>
        <v/>
      </c>
      <c r="B252">
        <f>IF(A252=1,"Pillar",IF(A252&lt;=1+Entity!$B$14,"Cluster",IF(A252&lt;=1+Entity!$B$14+Entity!$B$15,"Supporting","")))</f>
        <v/>
      </c>
      <c r="C252">
        <f>IF(B252="Cluster",INDEX(Attributes!$A$3:$A$52,MATCH(A252-1,Attributes!$P$3:$P$52,0)),IF(B252="Supporting",INDEX(Values!$A$3:$A$502,P252),""))</f>
        <v/>
      </c>
      <c r="D252">
        <f>IF(B252="Supporting",INDEX(Values!$B$3:$B$502,P252),"")</f>
        <v/>
      </c>
      <c r="E252">
        <f>IF(R252="","",UPPER(LEFT(R252,1))&amp;MID(R252,2,500))</f>
        <v/>
      </c>
      <c r="F252">
        <f>IF(E252="","",LOWER(SUBSTITUTE(SUBSTITUTE(SUBSTITUTE(SUBSTITUTE(SUBSTITUTE(SUBSTITUTE(SUBSTITUTE(TRIM(E252),":",""),",",""),"'",""),"&amp;","and"),"£",""),"  "," ")," ","-")))</f>
        <v/>
      </c>
      <c r="G252">
        <f>IF(B252="Cluster",$E$3,IF(B252="Supporting",INDEX($E$3:$E$553,MATCH(C252,$C$3:$C$553,0)),""))</f>
        <v/>
      </c>
      <c r="H252">
        <f>IF(B252="Supporting",IFERROR(INDEX($E$3:$E$553,1+Entity!$B$14+INDEX(Values!$O$3:$O$502,P252)),""),IF(B252="Cluster",IF(Entity!$B$14&lt;2,"",INDEX($E$3:$E$553,IF(A252-1=Entity!$B$14,2,A252+1))),""))</f>
        <v/>
      </c>
      <c r="I252">
        <f>IF(B252="Pillar",Entity!$B$14&amp;" cluster pages",IF(B252="Cluster",(COUNTIF($C$3:$C$553,SUBSTITUTE(SUBSTITUTE(C252,"?","~?"),"*","~*"))-1)&amp;" supporting pages",""))</f>
        <v/>
      </c>
      <c r="J252">
        <f>IF(B252="Pillar","Informational",IF(OR(B252="Cluster",B252="Supporting"),INDEX(Attributes!$D$3:$D$52,Q252)&amp;"",""))</f>
        <v/>
      </c>
      <c r="K252">
        <f>IF(B252="","",IF(B252="Pillar","Pillar guide (entity hub)",IF(B252="Cluster","Hub page for this attribute",IF(INDEX(Values!$C$3:$C$502,P252)="Yes","Entity page (profile of the sub-entity)",IFERROR(INDEX(Lists!$B$3:$B$6,MATCH(J252,Lists!$A$3:$A$6,0)),"Article")))))</f>
        <v/>
      </c>
      <c r="L252">
        <f>IF(B252="Pillar",Entity!$B$6&amp;"",IF(B252="Cluster",INDEX(Attributes!$I$3:$I$52,Q252)&amp;"",IF(B252="Supporting",INDEX(Values!$F$3:$F$502,P252)&amp;"","")))</f>
        <v/>
      </c>
      <c r="M252">
        <f>IF(B252="","",IF(L252&lt;&gt;"","Covered","Gap"))</f>
        <v/>
      </c>
      <c r="N252">
        <f>IF(B252="Pillar",SUMIFS(Values!$E$3:$E$502,Values!$I$3:$I$502,"Yes"),IF(B252="Cluster",SUMIFS(Values!$E$3:$E$502,Values!$A$3:$A$502,SUBSTITUTE(SUBSTITUTE(C252,"?","~?"),"*","~*"),Values!$I$3:$I$502,"Yes"),IF(B252="Supporting",N(INDEX(Values!$E$3:$E$502,P252)),"")))</f>
        <v/>
      </c>
      <c r="O252">
        <f>IF(B252="","",IF(B252="Pillar",100,IF(B252="Cluster",N(INDEX(Attributes!$E$3:$E$52,Q252))*25+IF(M252="Gap",10,0),N(INDEX(Attributes!$E$3:$E$52,Q252))*20+MIN(20,ROUND(LOG10(N(N252)+1)*5,0))+IF(M252="Gap",10,0)+IF(INDEX(Values!$D$3:$D$502,P252)="Yes",5,0))))</f>
        <v/>
      </c>
      <c r="P252">
        <f>IF(B252="Supporting",MATCH(A252-1-Entity!$B$14,Values!$J$3:$J$502,0),"")</f>
        <v/>
      </c>
      <c r="Q252">
        <f>IF(C252="","",MATCH(C252,Attributes!$A$3:$A$52,0))</f>
        <v/>
      </c>
      <c r="R252">
        <f>IF(B252="Pillar",SUBSTITUTE(Entity!$B$7,"{entity}",LOWER(Entity!$B$3)),IF(B252="Cluster",IF(INDEX(Attributes!$G$3:$G$52,Q252)&lt;&gt;"",INDEX(Attributes!$G$3:$G$52,Q252),SUBSTITUTE(SUBSTITUTE(Entity!$B$8,"{entity}",LOWER(Entity!$B$3)),"{attribute}",LOWER(C252))),IF(B252="Supporting",SUBSTITUTE(SUBSTITUTE(SUBSTITUTE(IF(INDEX(Attributes!$H$3:$H$52,Q252)&lt;&gt;"",INDEX(Attributes!$H$3:$H$52,Q252),Entity!$B$9),"{entity}",LOWER(Entity!$B$3)),"{value}",D252),"{attribute}",LOWER(C252)),"")))</f>
        <v/>
      </c>
    </row>
    <row r="253">
      <c r="A253">
        <f>ROW()-2</f>
        <v/>
      </c>
      <c r="B253">
        <f>IF(A253=1,"Pillar",IF(A253&lt;=1+Entity!$B$14,"Cluster",IF(A253&lt;=1+Entity!$B$14+Entity!$B$15,"Supporting","")))</f>
        <v/>
      </c>
      <c r="C253">
        <f>IF(B253="Cluster",INDEX(Attributes!$A$3:$A$52,MATCH(A253-1,Attributes!$P$3:$P$52,0)),IF(B253="Supporting",INDEX(Values!$A$3:$A$502,P253),""))</f>
        <v/>
      </c>
      <c r="D253">
        <f>IF(B253="Supporting",INDEX(Values!$B$3:$B$502,P253),"")</f>
        <v/>
      </c>
      <c r="E253">
        <f>IF(R253="","",UPPER(LEFT(R253,1))&amp;MID(R253,2,500))</f>
        <v/>
      </c>
      <c r="F253">
        <f>IF(E253="","",LOWER(SUBSTITUTE(SUBSTITUTE(SUBSTITUTE(SUBSTITUTE(SUBSTITUTE(SUBSTITUTE(SUBSTITUTE(TRIM(E253),":",""),",",""),"'",""),"&amp;","and"),"£",""),"  "," ")," ","-")))</f>
        <v/>
      </c>
      <c r="G253">
        <f>IF(B253="Cluster",$E$3,IF(B253="Supporting",INDEX($E$3:$E$553,MATCH(C253,$C$3:$C$553,0)),""))</f>
        <v/>
      </c>
      <c r="H253">
        <f>IF(B253="Supporting",IFERROR(INDEX($E$3:$E$553,1+Entity!$B$14+INDEX(Values!$O$3:$O$502,P253)),""),IF(B253="Cluster",IF(Entity!$B$14&lt;2,"",INDEX($E$3:$E$553,IF(A253-1=Entity!$B$14,2,A253+1))),""))</f>
        <v/>
      </c>
      <c r="I253">
        <f>IF(B253="Pillar",Entity!$B$14&amp;" cluster pages",IF(B253="Cluster",(COUNTIF($C$3:$C$553,SUBSTITUTE(SUBSTITUTE(C253,"?","~?"),"*","~*"))-1)&amp;" supporting pages",""))</f>
        <v/>
      </c>
      <c r="J253">
        <f>IF(B253="Pillar","Informational",IF(OR(B253="Cluster",B253="Supporting"),INDEX(Attributes!$D$3:$D$52,Q253)&amp;"",""))</f>
        <v/>
      </c>
      <c r="K253">
        <f>IF(B253="","",IF(B253="Pillar","Pillar guide (entity hub)",IF(B253="Cluster","Hub page for this attribute",IF(INDEX(Values!$C$3:$C$502,P253)="Yes","Entity page (profile of the sub-entity)",IFERROR(INDEX(Lists!$B$3:$B$6,MATCH(J253,Lists!$A$3:$A$6,0)),"Article")))))</f>
        <v/>
      </c>
      <c r="L253">
        <f>IF(B253="Pillar",Entity!$B$6&amp;"",IF(B253="Cluster",INDEX(Attributes!$I$3:$I$52,Q253)&amp;"",IF(B253="Supporting",INDEX(Values!$F$3:$F$502,P253)&amp;"","")))</f>
        <v/>
      </c>
      <c r="M253">
        <f>IF(B253="","",IF(L253&lt;&gt;"","Covered","Gap"))</f>
        <v/>
      </c>
      <c r="N253">
        <f>IF(B253="Pillar",SUMIFS(Values!$E$3:$E$502,Values!$I$3:$I$502,"Yes"),IF(B253="Cluster",SUMIFS(Values!$E$3:$E$502,Values!$A$3:$A$502,SUBSTITUTE(SUBSTITUTE(C253,"?","~?"),"*","~*"),Values!$I$3:$I$502,"Yes"),IF(B253="Supporting",N(INDEX(Values!$E$3:$E$502,P253)),"")))</f>
        <v/>
      </c>
      <c r="O253">
        <f>IF(B253="","",IF(B253="Pillar",100,IF(B253="Cluster",N(INDEX(Attributes!$E$3:$E$52,Q253))*25+IF(M253="Gap",10,0),N(INDEX(Attributes!$E$3:$E$52,Q253))*20+MIN(20,ROUND(LOG10(N(N253)+1)*5,0))+IF(M253="Gap",10,0)+IF(INDEX(Values!$D$3:$D$502,P253)="Yes",5,0))))</f>
        <v/>
      </c>
      <c r="P253">
        <f>IF(B253="Supporting",MATCH(A253-1-Entity!$B$14,Values!$J$3:$J$502,0),"")</f>
        <v/>
      </c>
      <c r="Q253">
        <f>IF(C253="","",MATCH(C253,Attributes!$A$3:$A$52,0))</f>
        <v/>
      </c>
      <c r="R253">
        <f>IF(B253="Pillar",SUBSTITUTE(Entity!$B$7,"{entity}",LOWER(Entity!$B$3)),IF(B253="Cluster",IF(INDEX(Attributes!$G$3:$G$52,Q253)&lt;&gt;"",INDEX(Attributes!$G$3:$G$52,Q253),SUBSTITUTE(SUBSTITUTE(Entity!$B$8,"{entity}",LOWER(Entity!$B$3)),"{attribute}",LOWER(C253))),IF(B253="Supporting",SUBSTITUTE(SUBSTITUTE(SUBSTITUTE(IF(INDEX(Attributes!$H$3:$H$52,Q253)&lt;&gt;"",INDEX(Attributes!$H$3:$H$52,Q253),Entity!$B$9),"{entity}",LOWER(Entity!$B$3)),"{value}",D253),"{attribute}",LOWER(C253)),"")))</f>
        <v/>
      </c>
    </row>
    <row r="254">
      <c r="A254">
        <f>ROW()-2</f>
        <v/>
      </c>
      <c r="B254">
        <f>IF(A254=1,"Pillar",IF(A254&lt;=1+Entity!$B$14,"Cluster",IF(A254&lt;=1+Entity!$B$14+Entity!$B$15,"Supporting","")))</f>
        <v/>
      </c>
      <c r="C254">
        <f>IF(B254="Cluster",INDEX(Attributes!$A$3:$A$52,MATCH(A254-1,Attributes!$P$3:$P$52,0)),IF(B254="Supporting",INDEX(Values!$A$3:$A$502,P254),""))</f>
        <v/>
      </c>
      <c r="D254">
        <f>IF(B254="Supporting",INDEX(Values!$B$3:$B$502,P254),"")</f>
        <v/>
      </c>
      <c r="E254">
        <f>IF(R254="","",UPPER(LEFT(R254,1))&amp;MID(R254,2,500))</f>
        <v/>
      </c>
      <c r="F254">
        <f>IF(E254="","",LOWER(SUBSTITUTE(SUBSTITUTE(SUBSTITUTE(SUBSTITUTE(SUBSTITUTE(SUBSTITUTE(SUBSTITUTE(TRIM(E254),":",""),",",""),"'",""),"&amp;","and"),"£",""),"  "," ")," ","-")))</f>
        <v/>
      </c>
      <c r="G254">
        <f>IF(B254="Cluster",$E$3,IF(B254="Supporting",INDEX($E$3:$E$553,MATCH(C254,$C$3:$C$553,0)),""))</f>
        <v/>
      </c>
      <c r="H254">
        <f>IF(B254="Supporting",IFERROR(INDEX($E$3:$E$553,1+Entity!$B$14+INDEX(Values!$O$3:$O$502,P254)),""),IF(B254="Cluster",IF(Entity!$B$14&lt;2,"",INDEX($E$3:$E$553,IF(A254-1=Entity!$B$14,2,A254+1))),""))</f>
        <v/>
      </c>
      <c r="I254">
        <f>IF(B254="Pillar",Entity!$B$14&amp;" cluster pages",IF(B254="Cluster",(COUNTIF($C$3:$C$553,SUBSTITUTE(SUBSTITUTE(C254,"?","~?"),"*","~*"))-1)&amp;" supporting pages",""))</f>
        <v/>
      </c>
      <c r="J254">
        <f>IF(B254="Pillar","Informational",IF(OR(B254="Cluster",B254="Supporting"),INDEX(Attributes!$D$3:$D$52,Q254)&amp;"",""))</f>
        <v/>
      </c>
      <c r="K254">
        <f>IF(B254="","",IF(B254="Pillar","Pillar guide (entity hub)",IF(B254="Cluster","Hub page for this attribute",IF(INDEX(Values!$C$3:$C$502,P254)="Yes","Entity page (profile of the sub-entity)",IFERROR(INDEX(Lists!$B$3:$B$6,MATCH(J254,Lists!$A$3:$A$6,0)),"Article")))))</f>
        <v/>
      </c>
      <c r="L254">
        <f>IF(B254="Pillar",Entity!$B$6&amp;"",IF(B254="Cluster",INDEX(Attributes!$I$3:$I$52,Q254)&amp;"",IF(B254="Supporting",INDEX(Values!$F$3:$F$502,P254)&amp;"","")))</f>
        <v/>
      </c>
      <c r="M254">
        <f>IF(B254="","",IF(L254&lt;&gt;"","Covered","Gap"))</f>
        <v/>
      </c>
      <c r="N254">
        <f>IF(B254="Pillar",SUMIFS(Values!$E$3:$E$502,Values!$I$3:$I$502,"Yes"),IF(B254="Cluster",SUMIFS(Values!$E$3:$E$502,Values!$A$3:$A$502,SUBSTITUTE(SUBSTITUTE(C254,"?","~?"),"*","~*"),Values!$I$3:$I$502,"Yes"),IF(B254="Supporting",N(INDEX(Values!$E$3:$E$502,P254)),"")))</f>
        <v/>
      </c>
      <c r="O254">
        <f>IF(B254="","",IF(B254="Pillar",100,IF(B254="Cluster",N(INDEX(Attributes!$E$3:$E$52,Q254))*25+IF(M254="Gap",10,0),N(INDEX(Attributes!$E$3:$E$52,Q254))*20+MIN(20,ROUND(LOG10(N(N254)+1)*5,0))+IF(M254="Gap",10,0)+IF(INDEX(Values!$D$3:$D$502,P254)="Yes",5,0))))</f>
        <v/>
      </c>
      <c r="P254">
        <f>IF(B254="Supporting",MATCH(A254-1-Entity!$B$14,Values!$J$3:$J$502,0),"")</f>
        <v/>
      </c>
      <c r="Q254">
        <f>IF(C254="","",MATCH(C254,Attributes!$A$3:$A$52,0))</f>
        <v/>
      </c>
      <c r="R254">
        <f>IF(B254="Pillar",SUBSTITUTE(Entity!$B$7,"{entity}",LOWER(Entity!$B$3)),IF(B254="Cluster",IF(INDEX(Attributes!$G$3:$G$52,Q254)&lt;&gt;"",INDEX(Attributes!$G$3:$G$52,Q254),SUBSTITUTE(SUBSTITUTE(Entity!$B$8,"{entity}",LOWER(Entity!$B$3)),"{attribute}",LOWER(C254))),IF(B254="Supporting",SUBSTITUTE(SUBSTITUTE(SUBSTITUTE(IF(INDEX(Attributes!$H$3:$H$52,Q254)&lt;&gt;"",INDEX(Attributes!$H$3:$H$52,Q254),Entity!$B$9),"{entity}",LOWER(Entity!$B$3)),"{value}",D254),"{attribute}",LOWER(C254)),"")))</f>
        <v/>
      </c>
    </row>
    <row r="255">
      <c r="A255">
        <f>ROW()-2</f>
        <v/>
      </c>
      <c r="B255">
        <f>IF(A255=1,"Pillar",IF(A255&lt;=1+Entity!$B$14,"Cluster",IF(A255&lt;=1+Entity!$B$14+Entity!$B$15,"Supporting","")))</f>
        <v/>
      </c>
      <c r="C255">
        <f>IF(B255="Cluster",INDEX(Attributes!$A$3:$A$52,MATCH(A255-1,Attributes!$P$3:$P$52,0)),IF(B255="Supporting",INDEX(Values!$A$3:$A$502,P255),""))</f>
        <v/>
      </c>
      <c r="D255">
        <f>IF(B255="Supporting",INDEX(Values!$B$3:$B$502,P255),"")</f>
        <v/>
      </c>
      <c r="E255">
        <f>IF(R255="","",UPPER(LEFT(R255,1))&amp;MID(R255,2,500))</f>
        <v/>
      </c>
      <c r="F255">
        <f>IF(E255="","",LOWER(SUBSTITUTE(SUBSTITUTE(SUBSTITUTE(SUBSTITUTE(SUBSTITUTE(SUBSTITUTE(SUBSTITUTE(TRIM(E255),":",""),",",""),"'",""),"&amp;","and"),"£",""),"  "," ")," ","-")))</f>
        <v/>
      </c>
      <c r="G255">
        <f>IF(B255="Cluster",$E$3,IF(B255="Supporting",INDEX($E$3:$E$553,MATCH(C255,$C$3:$C$553,0)),""))</f>
        <v/>
      </c>
      <c r="H255">
        <f>IF(B255="Supporting",IFERROR(INDEX($E$3:$E$553,1+Entity!$B$14+INDEX(Values!$O$3:$O$502,P255)),""),IF(B255="Cluster",IF(Entity!$B$14&lt;2,"",INDEX($E$3:$E$553,IF(A255-1=Entity!$B$14,2,A255+1))),""))</f>
        <v/>
      </c>
      <c r="I255">
        <f>IF(B255="Pillar",Entity!$B$14&amp;" cluster pages",IF(B255="Cluster",(COUNTIF($C$3:$C$553,SUBSTITUTE(SUBSTITUTE(C255,"?","~?"),"*","~*"))-1)&amp;" supporting pages",""))</f>
        <v/>
      </c>
      <c r="J255">
        <f>IF(B255="Pillar","Informational",IF(OR(B255="Cluster",B255="Supporting"),INDEX(Attributes!$D$3:$D$52,Q255)&amp;"",""))</f>
        <v/>
      </c>
      <c r="K255">
        <f>IF(B255="","",IF(B255="Pillar","Pillar guide (entity hub)",IF(B255="Cluster","Hub page for this attribute",IF(INDEX(Values!$C$3:$C$502,P255)="Yes","Entity page (profile of the sub-entity)",IFERROR(INDEX(Lists!$B$3:$B$6,MATCH(J255,Lists!$A$3:$A$6,0)),"Article")))))</f>
        <v/>
      </c>
      <c r="L255">
        <f>IF(B255="Pillar",Entity!$B$6&amp;"",IF(B255="Cluster",INDEX(Attributes!$I$3:$I$52,Q255)&amp;"",IF(B255="Supporting",INDEX(Values!$F$3:$F$502,P255)&amp;"","")))</f>
        <v/>
      </c>
      <c r="M255">
        <f>IF(B255="","",IF(L255&lt;&gt;"","Covered","Gap"))</f>
        <v/>
      </c>
      <c r="N255">
        <f>IF(B255="Pillar",SUMIFS(Values!$E$3:$E$502,Values!$I$3:$I$502,"Yes"),IF(B255="Cluster",SUMIFS(Values!$E$3:$E$502,Values!$A$3:$A$502,SUBSTITUTE(SUBSTITUTE(C255,"?","~?"),"*","~*"),Values!$I$3:$I$502,"Yes"),IF(B255="Supporting",N(INDEX(Values!$E$3:$E$502,P255)),"")))</f>
        <v/>
      </c>
      <c r="O255">
        <f>IF(B255="","",IF(B255="Pillar",100,IF(B255="Cluster",N(INDEX(Attributes!$E$3:$E$52,Q255))*25+IF(M255="Gap",10,0),N(INDEX(Attributes!$E$3:$E$52,Q255))*20+MIN(20,ROUND(LOG10(N(N255)+1)*5,0))+IF(M255="Gap",10,0)+IF(INDEX(Values!$D$3:$D$502,P255)="Yes",5,0))))</f>
        <v/>
      </c>
      <c r="P255">
        <f>IF(B255="Supporting",MATCH(A255-1-Entity!$B$14,Values!$J$3:$J$502,0),"")</f>
        <v/>
      </c>
      <c r="Q255">
        <f>IF(C255="","",MATCH(C255,Attributes!$A$3:$A$52,0))</f>
        <v/>
      </c>
      <c r="R255">
        <f>IF(B255="Pillar",SUBSTITUTE(Entity!$B$7,"{entity}",LOWER(Entity!$B$3)),IF(B255="Cluster",IF(INDEX(Attributes!$G$3:$G$52,Q255)&lt;&gt;"",INDEX(Attributes!$G$3:$G$52,Q255),SUBSTITUTE(SUBSTITUTE(Entity!$B$8,"{entity}",LOWER(Entity!$B$3)),"{attribute}",LOWER(C255))),IF(B255="Supporting",SUBSTITUTE(SUBSTITUTE(SUBSTITUTE(IF(INDEX(Attributes!$H$3:$H$52,Q255)&lt;&gt;"",INDEX(Attributes!$H$3:$H$52,Q255),Entity!$B$9),"{entity}",LOWER(Entity!$B$3)),"{value}",D255),"{attribute}",LOWER(C255)),"")))</f>
        <v/>
      </c>
    </row>
    <row r="256">
      <c r="A256">
        <f>ROW()-2</f>
        <v/>
      </c>
      <c r="B256">
        <f>IF(A256=1,"Pillar",IF(A256&lt;=1+Entity!$B$14,"Cluster",IF(A256&lt;=1+Entity!$B$14+Entity!$B$15,"Supporting","")))</f>
        <v/>
      </c>
      <c r="C256">
        <f>IF(B256="Cluster",INDEX(Attributes!$A$3:$A$52,MATCH(A256-1,Attributes!$P$3:$P$52,0)),IF(B256="Supporting",INDEX(Values!$A$3:$A$502,P256),""))</f>
        <v/>
      </c>
      <c r="D256">
        <f>IF(B256="Supporting",INDEX(Values!$B$3:$B$502,P256),"")</f>
        <v/>
      </c>
      <c r="E256">
        <f>IF(R256="","",UPPER(LEFT(R256,1))&amp;MID(R256,2,500))</f>
        <v/>
      </c>
      <c r="F256">
        <f>IF(E256="","",LOWER(SUBSTITUTE(SUBSTITUTE(SUBSTITUTE(SUBSTITUTE(SUBSTITUTE(SUBSTITUTE(SUBSTITUTE(TRIM(E256),":",""),",",""),"'",""),"&amp;","and"),"£",""),"  "," ")," ","-")))</f>
        <v/>
      </c>
      <c r="G256">
        <f>IF(B256="Cluster",$E$3,IF(B256="Supporting",INDEX($E$3:$E$553,MATCH(C256,$C$3:$C$553,0)),""))</f>
        <v/>
      </c>
      <c r="H256">
        <f>IF(B256="Supporting",IFERROR(INDEX($E$3:$E$553,1+Entity!$B$14+INDEX(Values!$O$3:$O$502,P256)),""),IF(B256="Cluster",IF(Entity!$B$14&lt;2,"",INDEX($E$3:$E$553,IF(A256-1=Entity!$B$14,2,A256+1))),""))</f>
        <v/>
      </c>
      <c r="I256">
        <f>IF(B256="Pillar",Entity!$B$14&amp;" cluster pages",IF(B256="Cluster",(COUNTIF($C$3:$C$553,SUBSTITUTE(SUBSTITUTE(C256,"?","~?"),"*","~*"))-1)&amp;" supporting pages",""))</f>
        <v/>
      </c>
      <c r="J256">
        <f>IF(B256="Pillar","Informational",IF(OR(B256="Cluster",B256="Supporting"),INDEX(Attributes!$D$3:$D$52,Q256)&amp;"",""))</f>
        <v/>
      </c>
      <c r="K256">
        <f>IF(B256="","",IF(B256="Pillar","Pillar guide (entity hub)",IF(B256="Cluster","Hub page for this attribute",IF(INDEX(Values!$C$3:$C$502,P256)="Yes","Entity page (profile of the sub-entity)",IFERROR(INDEX(Lists!$B$3:$B$6,MATCH(J256,Lists!$A$3:$A$6,0)),"Article")))))</f>
        <v/>
      </c>
      <c r="L256">
        <f>IF(B256="Pillar",Entity!$B$6&amp;"",IF(B256="Cluster",INDEX(Attributes!$I$3:$I$52,Q256)&amp;"",IF(B256="Supporting",INDEX(Values!$F$3:$F$502,P256)&amp;"","")))</f>
        <v/>
      </c>
      <c r="M256">
        <f>IF(B256="","",IF(L256&lt;&gt;"","Covered","Gap"))</f>
        <v/>
      </c>
      <c r="N256">
        <f>IF(B256="Pillar",SUMIFS(Values!$E$3:$E$502,Values!$I$3:$I$502,"Yes"),IF(B256="Cluster",SUMIFS(Values!$E$3:$E$502,Values!$A$3:$A$502,SUBSTITUTE(SUBSTITUTE(C256,"?","~?"),"*","~*"),Values!$I$3:$I$502,"Yes"),IF(B256="Supporting",N(INDEX(Values!$E$3:$E$502,P256)),"")))</f>
        <v/>
      </c>
      <c r="O256">
        <f>IF(B256="","",IF(B256="Pillar",100,IF(B256="Cluster",N(INDEX(Attributes!$E$3:$E$52,Q256))*25+IF(M256="Gap",10,0),N(INDEX(Attributes!$E$3:$E$52,Q256))*20+MIN(20,ROUND(LOG10(N(N256)+1)*5,0))+IF(M256="Gap",10,0)+IF(INDEX(Values!$D$3:$D$502,P256)="Yes",5,0))))</f>
        <v/>
      </c>
      <c r="P256">
        <f>IF(B256="Supporting",MATCH(A256-1-Entity!$B$14,Values!$J$3:$J$502,0),"")</f>
        <v/>
      </c>
      <c r="Q256">
        <f>IF(C256="","",MATCH(C256,Attributes!$A$3:$A$52,0))</f>
        <v/>
      </c>
      <c r="R256">
        <f>IF(B256="Pillar",SUBSTITUTE(Entity!$B$7,"{entity}",LOWER(Entity!$B$3)),IF(B256="Cluster",IF(INDEX(Attributes!$G$3:$G$52,Q256)&lt;&gt;"",INDEX(Attributes!$G$3:$G$52,Q256),SUBSTITUTE(SUBSTITUTE(Entity!$B$8,"{entity}",LOWER(Entity!$B$3)),"{attribute}",LOWER(C256))),IF(B256="Supporting",SUBSTITUTE(SUBSTITUTE(SUBSTITUTE(IF(INDEX(Attributes!$H$3:$H$52,Q256)&lt;&gt;"",INDEX(Attributes!$H$3:$H$52,Q256),Entity!$B$9),"{entity}",LOWER(Entity!$B$3)),"{value}",D256),"{attribute}",LOWER(C256)),"")))</f>
        <v/>
      </c>
    </row>
    <row r="257">
      <c r="A257">
        <f>ROW()-2</f>
        <v/>
      </c>
      <c r="B257">
        <f>IF(A257=1,"Pillar",IF(A257&lt;=1+Entity!$B$14,"Cluster",IF(A257&lt;=1+Entity!$B$14+Entity!$B$15,"Supporting","")))</f>
        <v/>
      </c>
      <c r="C257">
        <f>IF(B257="Cluster",INDEX(Attributes!$A$3:$A$52,MATCH(A257-1,Attributes!$P$3:$P$52,0)),IF(B257="Supporting",INDEX(Values!$A$3:$A$502,P257),""))</f>
        <v/>
      </c>
      <c r="D257">
        <f>IF(B257="Supporting",INDEX(Values!$B$3:$B$502,P257),"")</f>
        <v/>
      </c>
      <c r="E257">
        <f>IF(R257="","",UPPER(LEFT(R257,1))&amp;MID(R257,2,500))</f>
        <v/>
      </c>
      <c r="F257">
        <f>IF(E257="","",LOWER(SUBSTITUTE(SUBSTITUTE(SUBSTITUTE(SUBSTITUTE(SUBSTITUTE(SUBSTITUTE(SUBSTITUTE(TRIM(E257),":",""),",",""),"'",""),"&amp;","and"),"£",""),"  "," ")," ","-")))</f>
        <v/>
      </c>
      <c r="G257">
        <f>IF(B257="Cluster",$E$3,IF(B257="Supporting",INDEX($E$3:$E$553,MATCH(C257,$C$3:$C$553,0)),""))</f>
        <v/>
      </c>
      <c r="H257">
        <f>IF(B257="Supporting",IFERROR(INDEX($E$3:$E$553,1+Entity!$B$14+INDEX(Values!$O$3:$O$502,P257)),""),IF(B257="Cluster",IF(Entity!$B$14&lt;2,"",INDEX($E$3:$E$553,IF(A257-1=Entity!$B$14,2,A257+1))),""))</f>
        <v/>
      </c>
      <c r="I257">
        <f>IF(B257="Pillar",Entity!$B$14&amp;" cluster pages",IF(B257="Cluster",(COUNTIF($C$3:$C$553,SUBSTITUTE(SUBSTITUTE(C257,"?","~?"),"*","~*"))-1)&amp;" supporting pages",""))</f>
        <v/>
      </c>
      <c r="J257">
        <f>IF(B257="Pillar","Informational",IF(OR(B257="Cluster",B257="Supporting"),INDEX(Attributes!$D$3:$D$52,Q257)&amp;"",""))</f>
        <v/>
      </c>
      <c r="K257">
        <f>IF(B257="","",IF(B257="Pillar","Pillar guide (entity hub)",IF(B257="Cluster","Hub page for this attribute",IF(INDEX(Values!$C$3:$C$502,P257)="Yes","Entity page (profile of the sub-entity)",IFERROR(INDEX(Lists!$B$3:$B$6,MATCH(J257,Lists!$A$3:$A$6,0)),"Article")))))</f>
        <v/>
      </c>
      <c r="L257">
        <f>IF(B257="Pillar",Entity!$B$6&amp;"",IF(B257="Cluster",INDEX(Attributes!$I$3:$I$52,Q257)&amp;"",IF(B257="Supporting",INDEX(Values!$F$3:$F$502,P257)&amp;"","")))</f>
        <v/>
      </c>
      <c r="M257">
        <f>IF(B257="","",IF(L257&lt;&gt;"","Covered","Gap"))</f>
        <v/>
      </c>
      <c r="N257">
        <f>IF(B257="Pillar",SUMIFS(Values!$E$3:$E$502,Values!$I$3:$I$502,"Yes"),IF(B257="Cluster",SUMIFS(Values!$E$3:$E$502,Values!$A$3:$A$502,SUBSTITUTE(SUBSTITUTE(C257,"?","~?"),"*","~*"),Values!$I$3:$I$502,"Yes"),IF(B257="Supporting",N(INDEX(Values!$E$3:$E$502,P257)),"")))</f>
        <v/>
      </c>
      <c r="O257">
        <f>IF(B257="","",IF(B257="Pillar",100,IF(B257="Cluster",N(INDEX(Attributes!$E$3:$E$52,Q257))*25+IF(M257="Gap",10,0),N(INDEX(Attributes!$E$3:$E$52,Q257))*20+MIN(20,ROUND(LOG10(N(N257)+1)*5,0))+IF(M257="Gap",10,0)+IF(INDEX(Values!$D$3:$D$502,P257)="Yes",5,0))))</f>
        <v/>
      </c>
      <c r="P257">
        <f>IF(B257="Supporting",MATCH(A257-1-Entity!$B$14,Values!$J$3:$J$502,0),"")</f>
        <v/>
      </c>
      <c r="Q257">
        <f>IF(C257="","",MATCH(C257,Attributes!$A$3:$A$52,0))</f>
        <v/>
      </c>
      <c r="R257">
        <f>IF(B257="Pillar",SUBSTITUTE(Entity!$B$7,"{entity}",LOWER(Entity!$B$3)),IF(B257="Cluster",IF(INDEX(Attributes!$G$3:$G$52,Q257)&lt;&gt;"",INDEX(Attributes!$G$3:$G$52,Q257),SUBSTITUTE(SUBSTITUTE(Entity!$B$8,"{entity}",LOWER(Entity!$B$3)),"{attribute}",LOWER(C257))),IF(B257="Supporting",SUBSTITUTE(SUBSTITUTE(SUBSTITUTE(IF(INDEX(Attributes!$H$3:$H$52,Q257)&lt;&gt;"",INDEX(Attributes!$H$3:$H$52,Q257),Entity!$B$9),"{entity}",LOWER(Entity!$B$3)),"{value}",D257),"{attribute}",LOWER(C257)),"")))</f>
        <v/>
      </c>
    </row>
    <row r="258">
      <c r="A258">
        <f>ROW()-2</f>
        <v/>
      </c>
      <c r="B258">
        <f>IF(A258=1,"Pillar",IF(A258&lt;=1+Entity!$B$14,"Cluster",IF(A258&lt;=1+Entity!$B$14+Entity!$B$15,"Supporting","")))</f>
        <v/>
      </c>
      <c r="C258">
        <f>IF(B258="Cluster",INDEX(Attributes!$A$3:$A$52,MATCH(A258-1,Attributes!$P$3:$P$52,0)),IF(B258="Supporting",INDEX(Values!$A$3:$A$502,P258),""))</f>
        <v/>
      </c>
      <c r="D258">
        <f>IF(B258="Supporting",INDEX(Values!$B$3:$B$502,P258),"")</f>
        <v/>
      </c>
      <c r="E258">
        <f>IF(R258="","",UPPER(LEFT(R258,1))&amp;MID(R258,2,500))</f>
        <v/>
      </c>
      <c r="F258">
        <f>IF(E258="","",LOWER(SUBSTITUTE(SUBSTITUTE(SUBSTITUTE(SUBSTITUTE(SUBSTITUTE(SUBSTITUTE(SUBSTITUTE(TRIM(E258),":",""),",",""),"'",""),"&amp;","and"),"£",""),"  "," ")," ","-")))</f>
        <v/>
      </c>
      <c r="G258">
        <f>IF(B258="Cluster",$E$3,IF(B258="Supporting",INDEX($E$3:$E$553,MATCH(C258,$C$3:$C$553,0)),""))</f>
        <v/>
      </c>
      <c r="H258">
        <f>IF(B258="Supporting",IFERROR(INDEX($E$3:$E$553,1+Entity!$B$14+INDEX(Values!$O$3:$O$502,P258)),""),IF(B258="Cluster",IF(Entity!$B$14&lt;2,"",INDEX($E$3:$E$553,IF(A258-1=Entity!$B$14,2,A258+1))),""))</f>
        <v/>
      </c>
      <c r="I258">
        <f>IF(B258="Pillar",Entity!$B$14&amp;" cluster pages",IF(B258="Cluster",(COUNTIF($C$3:$C$553,SUBSTITUTE(SUBSTITUTE(C258,"?","~?"),"*","~*"))-1)&amp;" supporting pages",""))</f>
        <v/>
      </c>
      <c r="J258">
        <f>IF(B258="Pillar","Informational",IF(OR(B258="Cluster",B258="Supporting"),INDEX(Attributes!$D$3:$D$52,Q258)&amp;"",""))</f>
        <v/>
      </c>
      <c r="K258">
        <f>IF(B258="","",IF(B258="Pillar","Pillar guide (entity hub)",IF(B258="Cluster","Hub page for this attribute",IF(INDEX(Values!$C$3:$C$502,P258)="Yes","Entity page (profile of the sub-entity)",IFERROR(INDEX(Lists!$B$3:$B$6,MATCH(J258,Lists!$A$3:$A$6,0)),"Article")))))</f>
        <v/>
      </c>
      <c r="L258">
        <f>IF(B258="Pillar",Entity!$B$6&amp;"",IF(B258="Cluster",INDEX(Attributes!$I$3:$I$52,Q258)&amp;"",IF(B258="Supporting",INDEX(Values!$F$3:$F$502,P258)&amp;"","")))</f>
        <v/>
      </c>
      <c r="M258">
        <f>IF(B258="","",IF(L258&lt;&gt;"","Covered","Gap"))</f>
        <v/>
      </c>
      <c r="N258">
        <f>IF(B258="Pillar",SUMIFS(Values!$E$3:$E$502,Values!$I$3:$I$502,"Yes"),IF(B258="Cluster",SUMIFS(Values!$E$3:$E$502,Values!$A$3:$A$502,SUBSTITUTE(SUBSTITUTE(C258,"?","~?"),"*","~*"),Values!$I$3:$I$502,"Yes"),IF(B258="Supporting",N(INDEX(Values!$E$3:$E$502,P258)),"")))</f>
        <v/>
      </c>
      <c r="O258">
        <f>IF(B258="","",IF(B258="Pillar",100,IF(B258="Cluster",N(INDEX(Attributes!$E$3:$E$52,Q258))*25+IF(M258="Gap",10,0),N(INDEX(Attributes!$E$3:$E$52,Q258))*20+MIN(20,ROUND(LOG10(N(N258)+1)*5,0))+IF(M258="Gap",10,0)+IF(INDEX(Values!$D$3:$D$502,P258)="Yes",5,0))))</f>
        <v/>
      </c>
      <c r="P258">
        <f>IF(B258="Supporting",MATCH(A258-1-Entity!$B$14,Values!$J$3:$J$502,0),"")</f>
        <v/>
      </c>
      <c r="Q258">
        <f>IF(C258="","",MATCH(C258,Attributes!$A$3:$A$52,0))</f>
        <v/>
      </c>
      <c r="R258">
        <f>IF(B258="Pillar",SUBSTITUTE(Entity!$B$7,"{entity}",LOWER(Entity!$B$3)),IF(B258="Cluster",IF(INDEX(Attributes!$G$3:$G$52,Q258)&lt;&gt;"",INDEX(Attributes!$G$3:$G$52,Q258),SUBSTITUTE(SUBSTITUTE(Entity!$B$8,"{entity}",LOWER(Entity!$B$3)),"{attribute}",LOWER(C258))),IF(B258="Supporting",SUBSTITUTE(SUBSTITUTE(SUBSTITUTE(IF(INDEX(Attributes!$H$3:$H$52,Q258)&lt;&gt;"",INDEX(Attributes!$H$3:$H$52,Q258),Entity!$B$9),"{entity}",LOWER(Entity!$B$3)),"{value}",D258),"{attribute}",LOWER(C258)),"")))</f>
        <v/>
      </c>
    </row>
    <row r="259">
      <c r="A259">
        <f>ROW()-2</f>
        <v/>
      </c>
      <c r="B259">
        <f>IF(A259=1,"Pillar",IF(A259&lt;=1+Entity!$B$14,"Cluster",IF(A259&lt;=1+Entity!$B$14+Entity!$B$15,"Supporting","")))</f>
        <v/>
      </c>
      <c r="C259">
        <f>IF(B259="Cluster",INDEX(Attributes!$A$3:$A$52,MATCH(A259-1,Attributes!$P$3:$P$52,0)),IF(B259="Supporting",INDEX(Values!$A$3:$A$502,P259),""))</f>
        <v/>
      </c>
      <c r="D259">
        <f>IF(B259="Supporting",INDEX(Values!$B$3:$B$502,P259),"")</f>
        <v/>
      </c>
      <c r="E259">
        <f>IF(R259="","",UPPER(LEFT(R259,1))&amp;MID(R259,2,500))</f>
        <v/>
      </c>
      <c r="F259">
        <f>IF(E259="","",LOWER(SUBSTITUTE(SUBSTITUTE(SUBSTITUTE(SUBSTITUTE(SUBSTITUTE(SUBSTITUTE(SUBSTITUTE(TRIM(E259),":",""),",",""),"'",""),"&amp;","and"),"£",""),"  "," ")," ","-")))</f>
        <v/>
      </c>
      <c r="G259">
        <f>IF(B259="Cluster",$E$3,IF(B259="Supporting",INDEX($E$3:$E$553,MATCH(C259,$C$3:$C$553,0)),""))</f>
        <v/>
      </c>
      <c r="H259">
        <f>IF(B259="Supporting",IFERROR(INDEX($E$3:$E$553,1+Entity!$B$14+INDEX(Values!$O$3:$O$502,P259)),""),IF(B259="Cluster",IF(Entity!$B$14&lt;2,"",INDEX($E$3:$E$553,IF(A259-1=Entity!$B$14,2,A259+1))),""))</f>
        <v/>
      </c>
      <c r="I259">
        <f>IF(B259="Pillar",Entity!$B$14&amp;" cluster pages",IF(B259="Cluster",(COUNTIF($C$3:$C$553,SUBSTITUTE(SUBSTITUTE(C259,"?","~?"),"*","~*"))-1)&amp;" supporting pages",""))</f>
        <v/>
      </c>
      <c r="J259">
        <f>IF(B259="Pillar","Informational",IF(OR(B259="Cluster",B259="Supporting"),INDEX(Attributes!$D$3:$D$52,Q259)&amp;"",""))</f>
        <v/>
      </c>
      <c r="K259">
        <f>IF(B259="","",IF(B259="Pillar","Pillar guide (entity hub)",IF(B259="Cluster","Hub page for this attribute",IF(INDEX(Values!$C$3:$C$502,P259)="Yes","Entity page (profile of the sub-entity)",IFERROR(INDEX(Lists!$B$3:$B$6,MATCH(J259,Lists!$A$3:$A$6,0)),"Article")))))</f>
        <v/>
      </c>
      <c r="L259">
        <f>IF(B259="Pillar",Entity!$B$6&amp;"",IF(B259="Cluster",INDEX(Attributes!$I$3:$I$52,Q259)&amp;"",IF(B259="Supporting",INDEX(Values!$F$3:$F$502,P259)&amp;"","")))</f>
        <v/>
      </c>
      <c r="M259">
        <f>IF(B259="","",IF(L259&lt;&gt;"","Covered","Gap"))</f>
        <v/>
      </c>
      <c r="N259">
        <f>IF(B259="Pillar",SUMIFS(Values!$E$3:$E$502,Values!$I$3:$I$502,"Yes"),IF(B259="Cluster",SUMIFS(Values!$E$3:$E$502,Values!$A$3:$A$502,SUBSTITUTE(SUBSTITUTE(C259,"?","~?"),"*","~*"),Values!$I$3:$I$502,"Yes"),IF(B259="Supporting",N(INDEX(Values!$E$3:$E$502,P259)),"")))</f>
        <v/>
      </c>
      <c r="O259">
        <f>IF(B259="","",IF(B259="Pillar",100,IF(B259="Cluster",N(INDEX(Attributes!$E$3:$E$52,Q259))*25+IF(M259="Gap",10,0),N(INDEX(Attributes!$E$3:$E$52,Q259))*20+MIN(20,ROUND(LOG10(N(N259)+1)*5,0))+IF(M259="Gap",10,0)+IF(INDEX(Values!$D$3:$D$502,P259)="Yes",5,0))))</f>
        <v/>
      </c>
      <c r="P259">
        <f>IF(B259="Supporting",MATCH(A259-1-Entity!$B$14,Values!$J$3:$J$502,0),"")</f>
        <v/>
      </c>
      <c r="Q259">
        <f>IF(C259="","",MATCH(C259,Attributes!$A$3:$A$52,0))</f>
        <v/>
      </c>
      <c r="R259">
        <f>IF(B259="Pillar",SUBSTITUTE(Entity!$B$7,"{entity}",LOWER(Entity!$B$3)),IF(B259="Cluster",IF(INDEX(Attributes!$G$3:$G$52,Q259)&lt;&gt;"",INDEX(Attributes!$G$3:$G$52,Q259),SUBSTITUTE(SUBSTITUTE(Entity!$B$8,"{entity}",LOWER(Entity!$B$3)),"{attribute}",LOWER(C259))),IF(B259="Supporting",SUBSTITUTE(SUBSTITUTE(SUBSTITUTE(IF(INDEX(Attributes!$H$3:$H$52,Q259)&lt;&gt;"",INDEX(Attributes!$H$3:$H$52,Q259),Entity!$B$9),"{entity}",LOWER(Entity!$B$3)),"{value}",D259),"{attribute}",LOWER(C259)),"")))</f>
        <v/>
      </c>
    </row>
    <row r="260">
      <c r="A260">
        <f>ROW()-2</f>
        <v/>
      </c>
      <c r="B260">
        <f>IF(A260=1,"Pillar",IF(A260&lt;=1+Entity!$B$14,"Cluster",IF(A260&lt;=1+Entity!$B$14+Entity!$B$15,"Supporting","")))</f>
        <v/>
      </c>
      <c r="C260">
        <f>IF(B260="Cluster",INDEX(Attributes!$A$3:$A$52,MATCH(A260-1,Attributes!$P$3:$P$52,0)),IF(B260="Supporting",INDEX(Values!$A$3:$A$502,P260),""))</f>
        <v/>
      </c>
      <c r="D260">
        <f>IF(B260="Supporting",INDEX(Values!$B$3:$B$502,P260),"")</f>
        <v/>
      </c>
      <c r="E260">
        <f>IF(R260="","",UPPER(LEFT(R260,1))&amp;MID(R260,2,500))</f>
        <v/>
      </c>
      <c r="F260">
        <f>IF(E260="","",LOWER(SUBSTITUTE(SUBSTITUTE(SUBSTITUTE(SUBSTITUTE(SUBSTITUTE(SUBSTITUTE(SUBSTITUTE(TRIM(E260),":",""),",",""),"'",""),"&amp;","and"),"£",""),"  "," ")," ","-")))</f>
        <v/>
      </c>
      <c r="G260">
        <f>IF(B260="Cluster",$E$3,IF(B260="Supporting",INDEX($E$3:$E$553,MATCH(C260,$C$3:$C$553,0)),""))</f>
        <v/>
      </c>
      <c r="H260">
        <f>IF(B260="Supporting",IFERROR(INDEX($E$3:$E$553,1+Entity!$B$14+INDEX(Values!$O$3:$O$502,P260)),""),IF(B260="Cluster",IF(Entity!$B$14&lt;2,"",INDEX($E$3:$E$553,IF(A260-1=Entity!$B$14,2,A260+1))),""))</f>
        <v/>
      </c>
      <c r="I260">
        <f>IF(B260="Pillar",Entity!$B$14&amp;" cluster pages",IF(B260="Cluster",(COUNTIF($C$3:$C$553,SUBSTITUTE(SUBSTITUTE(C260,"?","~?"),"*","~*"))-1)&amp;" supporting pages",""))</f>
        <v/>
      </c>
      <c r="J260">
        <f>IF(B260="Pillar","Informational",IF(OR(B260="Cluster",B260="Supporting"),INDEX(Attributes!$D$3:$D$52,Q260)&amp;"",""))</f>
        <v/>
      </c>
      <c r="K260">
        <f>IF(B260="","",IF(B260="Pillar","Pillar guide (entity hub)",IF(B260="Cluster","Hub page for this attribute",IF(INDEX(Values!$C$3:$C$502,P260)="Yes","Entity page (profile of the sub-entity)",IFERROR(INDEX(Lists!$B$3:$B$6,MATCH(J260,Lists!$A$3:$A$6,0)),"Article")))))</f>
        <v/>
      </c>
      <c r="L260">
        <f>IF(B260="Pillar",Entity!$B$6&amp;"",IF(B260="Cluster",INDEX(Attributes!$I$3:$I$52,Q260)&amp;"",IF(B260="Supporting",INDEX(Values!$F$3:$F$502,P260)&amp;"","")))</f>
        <v/>
      </c>
      <c r="M260">
        <f>IF(B260="","",IF(L260&lt;&gt;"","Covered","Gap"))</f>
        <v/>
      </c>
      <c r="N260">
        <f>IF(B260="Pillar",SUMIFS(Values!$E$3:$E$502,Values!$I$3:$I$502,"Yes"),IF(B260="Cluster",SUMIFS(Values!$E$3:$E$502,Values!$A$3:$A$502,SUBSTITUTE(SUBSTITUTE(C260,"?","~?"),"*","~*"),Values!$I$3:$I$502,"Yes"),IF(B260="Supporting",N(INDEX(Values!$E$3:$E$502,P260)),"")))</f>
        <v/>
      </c>
      <c r="O260">
        <f>IF(B260="","",IF(B260="Pillar",100,IF(B260="Cluster",N(INDEX(Attributes!$E$3:$E$52,Q260))*25+IF(M260="Gap",10,0),N(INDEX(Attributes!$E$3:$E$52,Q260))*20+MIN(20,ROUND(LOG10(N(N260)+1)*5,0))+IF(M260="Gap",10,0)+IF(INDEX(Values!$D$3:$D$502,P260)="Yes",5,0))))</f>
        <v/>
      </c>
      <c r="P260">
        <f>IF(B260="Supporting",MATCH(A260-1-Entity!$B$14,Values!$J$3:$J$502,0),"")</f>
        <v/>
      </c>
      <c r="Q260">
        <f>IF(C260="","",MATCH(C260,Attributes!$A$3:$A$52,0))</f>
        <v/>
      </c>
      <c r="R260">
        <f>IF(B260="Pillar",SUBSTITUTE(Entity!$B$7,"{entity}",LOWER(Entity!$B$3)),IF(B260="Cluster",IF(INDEX(Attributes!$G$3:$G$52,Q260)&lt;&gt;"",INDEX(Attributes!$G$3:$G$52,Q260),SUBSTITUTE(SUBSTITUTE(Entity!$B$8,"{entity}",LOWER(Entity!$B$3)),"{attribute}",LOWER(C260))),IF(B260="Supporting",SUBSTITUTE(SUBSTITUTE(SUBSTITUTE(IF(INDEX(Attributes!$H$3:$H$52,Q260)&lt;&gt;"",INDEX(Attributes!$H$3:$H$52,Q260),Entity!$B$9),"{entity}",LOWER(Entity!$B$3)),"{value}",D260),"{attribute}",LOWER(C260)),"")))</f>
        <v/>
      </c>
    </row>
    <row r="261">
      <c r="A261">
        <f>ROW()-2</f>
        <v/>
      </c>
      <c r="B261">
        <f>IF(A261=1,"Pillar",IF(A261&lt;=1+Entity!$B$14,"Cluster",IF(A261&lt;=1+Entity!$B$14+Entity!$B$15,"Supporting","")))</f>
        <v/>
      </c>
      <c r="C261">
        <f>IF(B261="Cluster",INDEX(Attributes!$A$3:$A$52,MATCH(A261-1,Attributes!$P$3:$P$52,0)),IF(B261="Supporting",INDEX(Values!$A$3:$A$502,P261),""))</f>
        <v/>
      </c>
      <c r="D261">
        <f>IF(B261="Supporting",INDEX(Values!$B$3:$B$502,P261),"")</f>
        <v/>
      </c>
      <c r="E261">
        <f>IF(R261="","",UPPER(LEFT(R261,1))&amp;MID(R261,2,500))</f>
        <v/>
      </c>
      <c r="F261">
        <f>IF(E261="","",LOWER(SUBSTITUTE(SUBSTITUTE(SUBSTITUTE(SUBSTITUTE(SUBSTITUTE(SUBSTITUTE(SUBSTITUTE(TRIM(E261),":",""),",",""),"'",""),"&amp;","and"),"£",""),"  "," ")," ","-")))</f>
        <v/>
      </c>
      <c r="G261">
        <f>IF(B261="Cluster",$E$3,IF(B261="Supporting",INDEX($E$3:$E$553,MATCH(C261,$C$3:$C$553,0)),""))</f>
        <v/>
      </c>
      <c r="H261">
        <f>IF(B261="Supporting",IFERROR(INDEX($E$3:$E$553,1+Entity!$B$14+INDEX(Values!$O$3:$O$502,P261)),""),IF(B261="Cluster",IF(Entity!$B$14&lt;2,"",INDEX($E$3:$E$553,IF(A261-1=Entity!$B$14,2,A261+1))),""))</f>
        <v/>
      </c>
      <c r="I261">
        <f>IF(B261="Pillar",Entity!$B$14&amp;" cluster pages",IF(B261="Cluster",(COUNTIF($C$3:$C$553,SUBSTITUTE(SUBSTITUTE(C261,"?","~?"),"*","~*"))-1)&amp;" supporting pages",""))</f>
        <v/>
      </c>
      <c r="J261">
        <f>IF(B261="Pillar","Informational",IF(OR(B261="Cluster",B261="Supporting"),INDEX(Attributes!$D$3:$D$52,Q261)&amp;"",""))</f>
        <v/>
      </c>
      <c r="K261">
        <f>IF(B261="","",IF(B261="Pillar","Pillar guide (entity hub)",IF(B261="Cluster","Hub page for this attribute",IF(INDEX(Values!$C$3:$C$502,P261)="Yes","Entity page (profile of the sub-entity)",IFERROR(INDEX(Lists!$B$3:$B$6,MATCH(J261,Lists!$A$3:$A$6,0)),"Article")))))</f>
        <v/>
      </c>
      <c r="L261">
        <f>IF(B261="Pillar",Entity!$B$6&amp;"",IF(B261="Cluster",INDEX(Attributes!$I$3:$I$52,Q261)&amp;"",IF(B261="Supporting",INDEX(Values!$F$3:$F$502,P261)&amp;"","")))</f>
        <v/>
      </c>
      <c r="M261">
        <f>IF(B261="","",IF(L261&lt;&gt;"","Covered","Gap"))</f>
        <v/>
      </c>
      <c r="N261">
        <f>IF(B261="Pillar",SUMIFS(Values!$E$3:$E$502,Values!$I$3:$I$502,"Yes"),IF(B261="Cluster",SUMIFS(Values!$E$3:$E$502,Values!$A$3:$A$502,SUBSTITUTE(SUBSTITUTE(C261,"?","~?"),"*","~*"),Values!$I$3:$I$502,"Yes"),IF(B261="Supporting",N(INDEX(Values!$E$3:$E$502,P261)),"")))</f>
        <v/>
      </c>
      <c r="O261">
        <f>IF(B261="","",IF(B261="Pillar",100,IF(B261="Cluster",N(INDEX(Attributes!$E$3:$E$52,Q261))*25+IF(M261="Gap",10,0),N(INDEX(Attributes!$E$3:$E$52,Q261))*20+MIN(20,ROUND(LOG10(N(N261)+1)*5,0))+IF(M261="Gap",10,0)+IF(INDEX(Values!$D$3:$D$502,P261)="Yes",5,0))))</f>
        <v/>
      </c>
      <c r="P261">
        <f>IF(B261="Supporting",MATCH(A261-1-Entity!$B$14,Values!$J$3:$J$502,0),"")</f>
        <v/>
      </c>
      <c r="Q261">
        <f>IF(C261="","",MATCH(C261,Attributes!$A$3:$A$52,0))</f>
        <v/>
      </c>
      <c r="R261">
        <f>IF(B261="Pillar",SUBSTITUTE(Entity!$B$7,"{entity}",LOWER(Entity!$B$3)),IF(B261="Cluster",IF(INDEX(Attributes!$G$3:$G$52,Q261)&lt;&gt;"",INDEX(Attributes!$G$3:$G$52,Q261),SUBSTITUTE(SUBSTITUTE(Entity!$B$8,"{entity}",LOWER(Entity!$B$3)),"{attribute}",LOWER(C261))),IF(B261="Supporting",SUBSTITUTE(SUBSTITUTE(SUBSTITUTE(IF(INDEX(Attributes!$H$3:$H$52,Q261)&lt;&gt;"",INDEX(Attributes!$H$3:$H$52,Q261),Entity!$B$9),"{entity}",LOWER(Entity!$B$3)),"{value}",D261),"{attribute}",LOWER(C261)),"")))</f>
        <v/>
      </c>
    </row>
    <row r="262">
      <c r="A262">
        <f>ROW()-2</f>
        <v/>
      </c>
      <c r="B262">
        <f>IF(A262=1,"Pillar",IF(A262&lt;=1+Entity!$B$14,"Cluster",IF(A262&lt;=1+Entity!$B$14+Entity!$B$15,"Supporting","")))</f>
        <v/>
      </c>
      <c r="C262">
        <f>IF(B262="Cluster",INDEX(Attributes!$A$3:$A$52,MATCH(A262-1,Attributes!$P$3:$P$52,0)),IF(B262="Supporting",INDEX(Values!$A$3:$A$502,P262),""))</f>
        <v/>
      </c>
      <c r="D262">
        <f>IF(B262="Supporting",INDEX(Values!$B$3:$B$502,P262),"")</f>
        <v/>
      </c>
      <c r="E262">
        <f>IF(R262="","",UPPER(LEFT(R262,1))&amp;MID(R262,2,500))</f>
        <v/>
      </c>
      <c r="F262">
        <f>IF(E262="","",LOWER(SUBSTITUTE(SUBSTITUTE(SUBSTITUTE(SUBSTITUTE(SUBSTITUTE(SUBSTITUTE(SUBSTITUTE(TRIM(E262),":",""),",",""),"'",""),"&amp;","and"),"£",""),"  "," ")," ","-")))</f>
        <v/>
      </c>
      <c r="G262">
        <f>IF(B262="Cluster",$E$3,IF(B262="Supporting",INDEX($E$3:$E$553,MATCH(C262,$C$3:$C$553,0)),""))</f>
        <v/>
      </c>
      <c r="H262">
        <f>IF(B262="Supporting",IFERROR(INDEX($E$3:$E$553,1+Entity!$B$14+INDEX(Values!$O$3:$O$502,P262)),""),IF(B262="Cluster",IF(Entity!$B$14&lt;2,"",INDEX($E$3:$E$553,IF(A262-1=Entity!$B$14,2,A262+1))),""))</f>
        <v/>
      </c>
      <c r="I262">
        <f>IF(B262="Pillar",Entity!$B$14&amp;" cluster pages",IF(B262="Cluster",(COUNTIF($C$3:$C$553,SUBSTITUTE(SUBSTITUTE(C262,"?","~?"),"*","~*"))-1)&amp;" supporting pages",""))</f>
        <v/>
      </c>
      <c r="J262">
        <f>IF(B262="Pillar","Informational",IF(OR(B262="Cluster",B262="Supporting"),INDEX(Attributes!$D$3:$D$52,Q262)&amp;"",""))</f>
        <v/>
      </c>
      <c r="K262">
        <f>IF(B262="","",IF(B262="Pillar","Pillar guide (entity hub)",IF(B262="Cluster","Hub page for this attribute",IF(INDEX(Values!$C$3:$C$502,P262)="Yes","Entity page (profile of the sub-entity)",IFERROR(INDEX(Lists!$B$3:$B$6,MATCH(J262,Lists!$A$3:$A$6,0)),"Article")))))</f>
        <v/>
      </c>
      <c r="L262">
        <f>IF(B262="Pillar",Entity!$B$6&amp;"",IF(B262="Cluster",INDEX(Attributes!$I$3:$I$52,Q262)&amp;"",IF(B262="Supporting",INDEX(Values!$F$3:$F$502,P262)&amp;"","")))</f>
        <v/>
      </c>
      <c r="M262">
        <f>IF(B262="","",IF(L262&lt;&gt;"","Covered","Gap"))</f>
        <v/>
      </c>
      <c r="N262">
        <f>IF(B262="Pillar",SUMIFS(Values!$E$3:$E$502,Values!$I$3:$I$502,"Yes"),IF(B262="Cluster",SUMIFS(Values!$E$3:$E$502,Values!$A$3:$A$502,SUBSTITUTE(SUBSTITUTE(C262,"?","~?"),"*","~*"),Values!$I$3:$I$502,"Yes"),IF(B262="Supporting",N(INDEX(Values!$E$3:$E$502,P262)),"")))</f>
        <v/>
      </c>
      <c r="O262">
        <f>IF(B262="","",IF(B262="Pillar",100,IF(B262="Cluster",N(INDEX(Attributes!$E$3:$E$52,Q262))*25+IF(M262="Gap",10,0),N(INDEX(Attributes!$E$3:$E$52,Q262))*20+MIN(20,ROUND(LOG10(N(N262)+1)*5,0))+IF(M262="Gap",10,0)+IF(INDEX(Values!$D$3:$D$502,P262)="Yes",5,0))))</f>
        <v/>
      </c>
      <c r="P262">
        <f>IF(B262="Supporting",MATCH(A262-1-Entity!$B$14,Values!$J$3:$J$502,0),"")</f>
        <v/>
      </c>
      <c r="Q262">
        <f>IF(C262="","",MATCH(C262,Attributes!$A$3:$A$52,0))</f>
        <v/>
      </c>
      <c r="R262">
        <f>IF(B262="Pillar",SUBSTITUTE(Entity!$B$7,"{entity}",LOWER(Entity!$B$3)),IF(B262="Cluster",IF(INDEX(Attributes!$G$3:$G$52,Q262)&lt;&gt;"",INDEX(Attributes!$G$3:$G$52,Q262),SUBSTITUTE(SUBSTITUTE(Entity!$B$8,"{entity}",LOWER(Entity!$B$3)),"{attribute}",LOWER(C262))),IF(B262="Supporting",SUBSTITUTE(SUBSTITUTE(SUBSTITUTE(IF(INDEX(Attributes!$H$3:$H$52,Q262)&lt;&gt;"",INDEX(Attributes!$H$3:$H$52,Q262),Entity!$B$9),"{entity}",LOWER(Entity!$B$3)),"{value}",D262),"{attribute}",LOWER(C262)),"")))</f>
        <v/>
      </c>
    </row>
    <row r="263">
      <c r="A263">
        <f>ROW()-2</f>
        <v/>
      </c>
      <c r="B263">
        <f>IF(A263=1,"Pillar",IF(A263&lt;=1+Entity!$B$14,"Cluster",IF(A263&lt;=1+Entity!$B$14+Entity!$B$15,"Supporting","")))</f>
        <v/>
      </c>
      <c r="C263">
        <f>IF(B263="Cluster",INDEX(Attributes!$A$3:$A$52,MATCH(A263-1,Attributes!$P$3:$P$52,0)),IF(B263="Supporting",INDEX(Values!$A$3:$A$502,P263),""))</f>
        <v/>
      </c>
      <c r="D263">
        <f>IF(B263="Supporting",INDEX(Values!$B$3:$B$502,P263),"")</f>
        <v/>
      </c>
      <c r="E263">
        <f>IF(R263="","",UPPER(LEFT(R263,1))&amp;MID(R263,2,500))</f>
        <v/>
      </c>
      <c r="F263">
        <f>IF(E263="","",LOWER(SUBSTITUTE(SUBSTITUTE(SUBSTITUTE(SUBSTITUTE(SUBSTITUTE(SUBSTITUTE(SUBSTITUTE(TRIM(E263),":",""),",",""),"'",""),"&amp;","and"),"£",""),"  "," ")," ","-")))</f>
        <v/>
      </c>
      <c r="G263">
        <f>IF(B263="Cluster",$E$3,IF(B263="Supporting",INDEX($E$3:$E$553,MATCH(C263,$C$3:$C$553,0)),""))</f>
        <v/>
      </c>
      <c r="H263">
        <f>IF(B263="Supporting",IFERROR(INDEX($E$3:$E$553,1+Entity!$B$14+INDEX(Values!$O$3:$O$502,P263)),""),IF(B263="Cluster",IF(Entity!$B$14&lt;2,"",INDEX($E$3:$E$553,IF(A263-1=Entity!$B$14,2,A263+1))),""))</f>
        <v/>
      </c>
      <c r="I263">
        <f>IF(B263="Pillar",Entity!$B$14&amp;" cluster pages",IF(B263="Cluster",(COUNTIF($C$3:$C$553,SUBSTITUTE(SUBSTITUTE(C263,"?","~?"),"*","~*"))-1)&amp;" supporting pages",""))</f>
        <v/>
      </c>
      <c r="J263">
        <f>IF(B263="Pillar","Informational",IF(OR(B263="Cluster",B263="Supporting"),INDEX(Attributes!$D$3:$D$52,Q263)&amp;"",""))</f>
        <v/>
      </c>
      <c r="K263">
        <f>IF(B263="","",IF(B263="Pillar","Pillar guide (entity hub)",IF(B263="Cluster","Hub page for this attribute",IF(INDEX(Values!$C$3:$C$502,P263)="Yes","Entity page (profile of the sub-entity)",IFERROR(INDEX(Lists!$B$3:$B$6,MATCH(J263,Lists!$A$3:$A$6,0)),"Article")))))</f>
        <v/>
      </c>
      <c r="L263">
        <f>IF(B263="Pillar",Entity!$B$6&amp;"",IF(B263="Cluster",INDEX(Attributes!$I$3:$I$52,Q263)&amp;"",IF(B263="Supporting",INDEX(Values!$F$3:$F$502,P263)&amp;"","")))</f>
        <v/>
      </c>
      <c r="M263">
        <f>IF(B263="","",IF(L263&lt;&gt;"","Covered","Gap"))</f>
        <v/>
      </c>
      <c r="N263">
        <f>IF(B263="Pillar",SUMIFS(Values!$E$3:$E$502,Values!$I$3:$I$502,"Yes"),IF(B263="Cluster",SUMIFS(Values!$E$3:$E$502,Values!$A$3:$A$502,SUBSTITUTE(SUBSTITUTE(C263,"?","~?"),"*","~*"),Values!$I$3:$I$502,"Yes"),IF(B263="Supporting",N(INDEX(Values!$E$3:$E$502,P263)),"")))</f>
        <v/>
      </c>
      <c r="O263">
        <f>IF(B263="","",IF(B263="Pillar",100,IF(B263="Cluster",N(INDEX(Attributes!$E$3:$E$52,Q263))*25+IF(M263="Gap",10,0),N(INDEX(Attributes!$E$3:$E$52,Q263))*20+MIN(20,ROUND(LOG10(N(N263)+1)*5,0))+IF(M263="Gap",10,0)+IF(INDEX(Values!$D$3:$D$502,P263)="Yes",5,0))))</f>
        <v/>
      </c>
      <c r="P263">
        <f>IF(B263="Supporting",MATCH(A263-1-Entity!$B$14,Values!$J$3:$J$502,0),"")</f>
        <v/>
      </c>
      <c r="Q263">
        <f>IF(C263="","",MATCH(C263,Attributes!$A$3:$A$52,0))</f>
        <v/>
      </c>
      <c r="R263">
        <f>IF(B263="Pillar",SUBSTITUTE(Entity!$B$7,"{entity}",LOWER(Entity!$B$3)),IF(B263="Cluster",IF(INDEX(Attributes!$G$3:$G$52,Q263)&lt;&gt;"",INDEX(Attributes!$G$3:$G$52,Q263),SUBSTITUTE(SUBSTITUTE(Entity!$B$8,"{entity}",LOWER(Entity!$B$3)),"{attribute}",LOWER(C263))),IF(B263="Supporting",SUBSTITUTE(SUBSTITUTE(SUBSTITUTE(IF(INDEX(Attributes!$H$3:$H$52,Q263)&lt;&gt;"",INDEX(Attributes!$H$3:$H$52,Q263),Entity!$B$9),"{entity}",LOWER(Entity!$B$3)),"{value}",D263),"{attribute}",LOWER(C263)),"")))</f>
        <v/>
      </c>
    </row>
    <row r="264">
      <c r="A264">
        <f>ROW()-2</f>
        <v/>
      </c>
      <c r="B264">
        <f>IF(A264=1,"Pillar",IF(A264&lt;=1+Entity!$B$14,"Cluster",IF(A264&lt;=1+Entity!$B$14+Entity!$B$15,"Supporting","")))</f>
        <v/>
      </c>
      <c r="C264">
        <f>IF(B264="Cluster",INDEX(Attributes!$A$3:$A$52,MATCH(A264-1,Attributes!$P$3:$P$52,0)),IF(B264="Supporting",INDEX(Values!$A$3:$A$502,P264),""))</f>
        <v/>
      </c>
      <c r="D264">
        <f>IF(B264="Supporting",INDEX(Values!$B$3:$B$502,P264),"")</f>
        <v/>
      </c>
      <c r="E264">
        <f>IF(R264="","",UPPER(LEFT(R264,1))&amp;MID(R264,2,500))</f>
        <v/>
      </c>
      <c r="F264">
        <f>IF(E264="","",LOWER(SUBSTITUTE(SUBSTITUTE(SUBSTITUTE(SUBSTITUTE(SUBSTITUTE(SUBSTITUTE(SUBSTITUTE(TRIM(E264),":",""),",",""),"'",""),"&amp;","and"),"£",""),"  "," ")," ","-")))</f>
        <v/>
      </c>
      <c r="G264">
        <f>IF(B264="Cluster",$E$3,IF(B264="Supporting",INDEX($E$3:$E$553,MATCH(C264,$C$3:$C$553,0)),""))</f>
        <v/>
      </c>
      <c r="H264">
        <f>IF(B264="Supporting",IFERROR(INDEX($E$3:$E$553,1+Entity!$B$14+INDEX(Values!$O$3:$O$502,P264)),""),IF(B264="Cluster",IF(Entity!$B$14&lt;2,"",INDEX($E$3:$E$553,IF(A264-1=Entity!$B$14,2,A264+1))),""))</f>
        <v/>
      </c>
      <c r="I264">
        <f>IF(B264="Pillar",Entity!$B$14&amp;" cluster pages",IF(B264="Cluster",(COUNTIF($C$3:$C$553,SUBSTITUTE(SUBSTITUTE(C264,"?","~?"),"*","~*"))-1)&amp;" supporting pages",""))</f>
        <v/>
      </c>
      <c r="J264">
        <f>IF(B264="Pillar","Informational",IF(OR(B264="Cluster",B264="Supporting"),INDEX(Attributes!$D$3:$D$52,Q264)&amp;"",""))</f>
        <v/>
      </c>
      <c r="K264">
        <f>IF(B264="","",IF(B264="Pillar","Pillar guide (entity hub)",IF(B264="Cluster","Hub page for this attribute",IF(INDEX(Values!$C$3:$C$502,P264)="Yes","Entity page (profile of the sub-entity)",IFERROR(INDEX(Lists!$B$3:$B$6,MATCH(J264,Lists!$A$3:$A$6,0)),"Article")))))</f>
        <v/>
      </c>
      <c r="L264">
        <f>IF(B264="Pillar",Entity!$B$6&amp;"",IF(B264="Cluster",INDEX(Attributes!$I$3:$I$52,Q264)&amp;"",IF(B264="Supporting",INDEX(Values!$F$3:$F$502,P264)&amp;"","")))</f>
        <v/>
      </c>
      <c r="M264">
        <f>IF(B264="","",IF(L264&lt;&gt;"","Covered","Gap"))</f>
        <v/>
      </c>
      <c r="N264">
        <f>IF(B264="Pillar",SUMIFS(Values!$E$3:$E$502,Values!$I$3:$I$502,"Yes"),IF(B264="Cluster",SUMIFS(Values!$E$3:$E$502,Values!$A$3:$A$502,SUBSTITUTE(SUBSTITUTE(C264,"?","~?"),"*","~*"),Values!$I$3:$I$502,"Yes"),IF(B264="Supporting",N(INDEX(Values!$E$3:$E$502,P264)),"")))</f>
        <v/>
      </c>
      <c r="O264">
        <f>IF(B264="","",IF(B264="Pillar",100,IF(B264="Cluster",N(INDEX(Attributes!$E$3:$E$52,Q264))*25+IF(M264="Gap",10,0),N(INDEX(Attributes!$E$3:$E$52,Q264))*20+MIN(20,ROUND(LOG10(N(N264)+1)*5,0))+IF(M264="Gap",10,0)+IF(INDEX(Values!$D$3:$D$502,P264)="Yes",5,0))))</f>
        <v/>
      </c>
      <c r="P264">
        <f>IF(B264="Supporting",MATCH(A264-1-Entity!$B$14,Values!$J$3:$J$502,0),"")</f>
        <v/>
      </c>
      <c r="Q264">
        <f>IF(C264="","",MATCH(C264,Attributes!$A$3:$A$52,0))</f>
        <v/>
      </c>
      <c r="R264">
        <f>IF(B264="Pillar",SUBSTITUTE(Entity!$B$7,"{entity}",LOWER(Entity!$B$3)),IF(B264="Cluster",IF(INDEX(Attributes!$G$3:$G$52,Q264)&lt;&gt;"",INDEX(Attributes!$G$3:$G$52,Q264),SUBSTITUTE(SUBSTITUTE(Entity!$B$8,"{entity}",LOWER(Entity!$B$3)),"{attribute}",LOWER(C264))),IF(B264="Supporting",SUBSTITUTE(SUBSTITUTE(SUBSTITUTE(IF(INDEX(Attributes!$H$3:$H$52,Q264)&lt;&gt;"",INDEX(Attributes!$H$3:$H$52,Q264),Entity!$B$9),"{entity}",LOWER(Entity!$B$3)),"{value}",D264),"{attribute}",LOWER(C264)),"")))</f>
        <v/>
      </c>
    </row>
    <row r="265">
      <c r="A265">
        <f>ROW()-2</f>
        <v/>
      </c>
      <c r="B265">
        <f>IF(A265=1,"Pillar",IF(A265&lt;=1+Entity!$B$14,"Cluster",IF(A265&lt;=1+Entity!$B$14+Entity!$B$15,"Supporting","")))</f>
        <v/>
      </c>
      <c r="C265">
        <f>IF(B265="Cluster",INDEX(Attributes!$A$3:$A$52,MATCH(A265-1,Attributes!$P$3:$P$52,0)),IF(B265="Supporting",INDEX(Values!$A$3:$A$502,P265),""))</f>
        <v/>
      </c>
      <c r="D265">
        <f>IF(B265="Supporting",INDEX(Values!$B$3:$B$502,P265),"")</f>
        <v/>
      </c>
      <c r="E265">
        <f>IF(R265="","",UPPER(LEFT(R265,1))&amp;MID(R265,2,500))</f>
        <v/>
      </c>
      <c r="F265">
        <f>IF(E265="","",LOWER(SUBSTITUTE(SUBSTITUTE(SUBSTITUTE(SUBSTITUTE(SUBSTITUTE(SUBSTITUTE(SUBSTITUTE(TRIM(E265),":",""),",",""),"'",""),"&amp;","and"),"£",""),"  "," ")," ","-")))</f>
        <v/>
      </c>
      <c r="G265">
        <f>IF(B265="Cluster",$E$3,IF(B265="Supporting",INDEX($E$3:$E$553,MATCH(C265,$C$3:$C$553,0)),""))</f>
        <v/>
      </c>
      <c r="H265">
        <f>IF(B265="Supporting",IFERROR(INDEX($E$3:$E$553,1+Entity!$B$14+INDEX(Values!$O$3:$O$502,P265)),""),IF(B265="Cluster",IF(Entity!$B$14&lt;2,"",INDEX($E$3:$E$553,IF(A265-1=Entity!$B$14,2,A265+1))),""))</f>
        <v/>
      </c>
      <c r="I265">
        <f>IF(B265="Pillar",Entity!$B$14&amp;" cluster pages",IF(B265="Cluster",(COUNTIF($C$3:$C$553,SUBSTITUTE(SUBSTITUTE(C265,"?","~?"),"*","~*"))-1)&amp;" supporting pages",""))</f>
        <v/>
      </c>
      <c r="J265">
        <f>IF(B265="Pillar","Informational",IF(OR(B265="Cluster",B265="Supporting"),INDEX(Attributes!$D$3:$D$52,Q265)&amp;"",""))</f>
        <v/>
      </c>
      <c r="K265">
        <f>IF(B265="","",IF(B265="Pillar","Pillar guide (entity hub)",IF(B265="Cluster","Hub page for this attribute",IF(INDEX(Values!$C$3:$C$502,P265)="Yes","Entity page (profile of the sub-entity)",IFERROR(INDEX(Lists!$B$3:$B$6,MATCH(J265,Lists!$A$3:$A$6,0)),"Article")))))</f>
        <v/>
      </c>
      <c r="L265">
        <f>IF(B265="Pillar",Entity!$B$6&amp;"",IF(B265="Cluster",INDEX(Attributes!$I$3:$I$52,Q265)&amp;"",IF(B265="Supporting",INDEX(Values!$F$3:$F$502,P265)&amp;"","")))</f>
        <v/>
      </c>
      <c r="M265">
        <f>IF(B265="","",IF(L265&lt;&gt;"","Covered","Gap"))</f>
        <v/>
      </c>
      <c r="N265">
        <f>IF(B265="Pillar",SUMIFS(Values!$E$3:$E$502,Values!$I$3:$I$502,"Yes"),IF(B265="Cluster",SUMIFS(Values!$E$3:$E$502,Values!$A$3:$A$502,SUBSTITUTE(SUBSTITUTE(C265,"?","~?"),"*","~*"),Values!$I$3:$I$502,"Yes"),IF(B265="Supporting",N(INDEX(Values!$E$3:$E$502,P265)),"")))</f>
        <v/>
      </c>
      <c r="O265">
        <f>IF(B265="","",IF(B265="Pillar",100,IF(B265="Cluster",N(INDEX(Attributes!$E$3:$E$52,Q265))*25+IF(M265="Gap",10,0),N(INDEX(Attributes!$E$3:$E$52,Q265))*20+MIN(20,ROUND(LOG10(N(N265)+1)*5,0))+IF(M265="Gap",10,0)+IF(INDEX(Values!$D$3:$D$502,P265)="Yes",5,0))))</f>
        <v/>
      </c>
      <c r="P265">
        <f>IF(B265="Supporting",MATCH(A265-1-Entity!$B$14,Values!$J$3:$J$502,0),"")</f>
        <v/>
      </c>
      <c r="Q265">
        <f>IF(C265="","",MATCH(C265,Attributes!$A$3:$A$52,0))</f>
        <v/>
      </c>
      <c r="R265">
        <f>IF(B265="Pillar",SUBSTITUTE(Entity!$B$7,"{entity}",LOWER(Entity!$B$3)),IF(B265="Cluster",IF(INDEX(Attributes!$G$3:$G$52,Q265)&lt;&gt;"",INDEX(Attributes!$G$3:$G$52,Q265),SUBSTITUTE(SUBSTITUTE(Entity!$B$8,"{entity}",LOWER(Entity!$B$3)),"{attribute}",LOWER(C265))),IF(B265="Supporting",SUBSTITUTE(SUBSTITUTE(SUBSTITUTE(IF(INDEX(Attributes!$H$3:$H$52,Q265)&lt;&gt;"",INDEX(Attributes!$H$3:$H$52,Q265),Entity!$B$9),"{entity}",LOWER(Entity!$B$3)),"{value}",D265),"{attribute}",LOWER(C265)),"")))</f>
        <v/>
      </c>
    </row>
    <row r="266">
      <c r="A266">
        <f>ROW()-2</f>
        <v/>
      </c>
      <c r="B266">
        <f>IF(A266=1,"Pillar",IF(A266&lt;=1+Entity!$B$14,"Cluster",IF(A266&lt;=1+Entity!$B$14+Entity!$B$15,"Supporting","")))</f>
        <v/>
      </c>
      <c r="C266">
        <f>IF(B266="Cluster",INDEX(Attributes!$A$3:$A$52,MATCH(A266-1,Attributes!$P$3:$P$52,0)),IF(B266="Supporting",INDEX(Values!$A$3:$A$502,P266),""))</f>
        <v/>
      </c>
      <c r="D266">
        <f>IF(B266="Supporting",INDEX(Values!$B$3:$B$502,P266),"")</f>
        <v/>
      </c>
      <c r="E266">
        <f>IF(R266="","",UPPER(LEFT(R266,1))&amp;MID(R266,2,500))</f>
        <v/>
      </c>
      <c r="F266">
        <f>IF(E266="","",LOWER(SUBSTITUTE(SUBSTITUTE(SUBSTITUTE(SUBSTITUTE(SUBSTITUTE(SUBSTITUTE(SUBSTITUTE(TRIM(E266),":",""),",",""),"'",""),"&amp;","and"),"£",""),"  "," ")," ","-")))</f>
        <v/>
      </c>
      <c r="G266">
        <f>IF(B266="Cluster",$E$3,IF(B266="Supporting",INDEX($E$3:$E$553,MATCH(C266,$C$3:$C$553,0)),""))</f>
        <v/>
      </c>
      <c r="H266">
        <f>IF(B266="Supporting",IFERROR(INDEX($E$3:$E$553,1+Entity!$B$14+INDEX(Values!$O$3:$O$502,P266)),""),IF(B266="Cluster",IF(Entity!$B$14&lt;2,"",INDEX($E$3:$E$553,IF(A266-1=Entity!$B$14,2,A266+1))),""))</f>
        <v/>
      </c>
      <c r="I266">
        <f>IF(B266="Pillar",Entity!$B$14&amp;" cluster pages",IF(B266="Cluster",(COUNTIF($C$3:$C$553,SUBSTITUTE(SUBSTITUTE(C266,"?","~?"),"*","~*"))-1)&amp;" supporting pages",""))</f>
        <v/>
      </c>
      <c r="J266">
        <f>IF(B266="Pillar","Informational",IF(OR(B266="Cluster",B266="Supporting"),INDEX(Attributes!$D$3:$D$52,Q266)&amp;"",""))</f>
        <v/>
      </c>
      <c r="K266">
        <f>IF(B266="","",IF(B266="Pillar","Pillar guide (entity hub)",IF(B266="Cluster","Hub page for this attribute",IF(INDEX(Values!$C$3:$C$502,P266)="Yes","Entity page (profile of the sub-entity)",IFERROR(INDEX(Lists!$B$3:$B$6,MATCH(J266,Lists!$A$3:$A$6,0)),"Article")))))</f>
        <v/>
      </c>
      <c r="L266">
        <f>IF(B266="Pillar",Entity!$B$6&amp;"",IF(B266="Cluster",INDEX(Attributes!$I$3:$I$52,Q266)&amp;"",IF(B266="Supporting",INDEX(Values!$F$3:$F$502,P266)&amp;"","")))</f>
        <v/>
      </c>
      <c r="M266">
        <f>IF(B266="","",IF(L266&lt;&gt;"","Covered","Gap"))</f>
        <v/>
      </c>
      <c r="N266">
        <f>IF(B266="Pillar",SUMIFS(Values!$E$3:$E$502,Values!$I$3:$I$502,"Yes"),IF(B266="Cluster",SUMIFS(Values!$E$3:$E$502,Values!$A$3:$A$502,SUBSTITUTE(SUBSTITUTE(C266,"?","~?"),"*","~*"),Values!$I$3:$I$502,"Yes"),IF(B266="Supporting",N(INDEX(Values!$E$3:$E$502,P266)),"")))</f>
        <v/>
      </c>
      <c r="O266">
        <f>IF(B266="","",IF(B266="Pillar",100,IF(B266="Cluster",N(INDEX(Attributes!$E$3:$E$52,Q266))*25+IF(M266="Gap",10,0),N(INDEX(Attributes!$E$3:$E$52,Q266))*20+MIN(20,ROUND(LOG10(N(N266)+1)*5,0))+IF(M266="Gap",10,0)+IF(INDEX(Values!$D$3:$D$502,P266)="Yes",5,0))))</f>
        <v/>
      </c>
      <c r="P266">
        <f>IF(B266="Supporting",MATCH(A266-1-Entity!$B$14,Values!$J$3:$J$502,0),"")</f>
        <v/>
      </c>
      <c r="Q266">
        <f>IF(C266="","",MATCH(C266,Attributes!$A$3:$A$52,0))</f>
        <v/>
      </c>
      <c r="R266">
        <f>IF(B266="Pillar",SUBSTITUTE(Entity!$B$7,"{entity}",LOWER(Entity!$B$3)),IF(B266="Cluster",IF(INDEX(Attributes!$G$3:$G$52,Q266)&lt;&gt;"",INDEX(Attributes!$G$3:$G$52,Q266),SUBSTITUTE(SUBSTITUTE(Entity!$B$8,"{entity}",LOWER(Entity!$B$3)),"{attribute}",LOWER(C266))),IF(B266="Supporting",SUBSTITUTE(SUBSTITUTE(SUBSTITUTE(IF(INDEX(Attributes!$H$3:$H$52,Q266)&lt;&gt;"",INDEX(Attributes!$H$3:$H$52,Q266),Entity!$B$9),"{entity}",LOWER(Entity!$B$3)),"{value}",D266),"{attribute}",LOWER(C266)),"")))</f>
        <v/>
      </c>
    </row>
    <row r="267">
      <c r="A267">
        <f>ROW()-2</f>
        <v/>
      </c>
      <c r="B267">
        <f>IF(A267=1,"Pillar",IF(A267&lt;=1+Entity!$B$14,"Cluster",IF(A267&lt;=1+Entity!$B$14+Entity!$B$15,"Supporting","")))</f>
        <v/>
      </c>
      <c r="C267">
        <f>IF(B267="Cluster",INDEX(Attributes!$A$3:$A$52,MATCH(A267-1,Attributes!$P$3:$P$52,0)),IF(B267="Supporting",INDEX(Values!$A$3:$A$502,P267),""))</f>
        <v/>
      </c>
      <c r="D267">
        <f>IF(B267="Supporting",INDEX(Values!$B$3:$B$502,P267),"")</f>
        <v/>
      </c>
      <c r="E267">
        <f>IF(R267="","",UPPER(LEFT(R267,1))&amp;MID(R267,2,500))</f>
        <v/>
      </c>
      <c r="F267">
        <f>IF(E267="","",LOWER(SUBSTITUTE(SUBSTITUTE(SUBSTITUTE(SUBSTITUTE(SUBSTITUTE(SUBSTITUTE(SUBSTITUTE(TRIM(E267),":",""),",",""),"'",""),"&amp;","and"),"£",""),"  "," ")," ","-")))</f>
        <v/>
      </c>
      <c r="G267">
        <f>IF(B267="Cluster",$E$3,IF(B267="Supporting",INDEX($E$3:$E$553,MATCH(C267,$C$3:$C$553,0)),""))</f>
        <v/>
      </c>
      <c r="H267">
        <f>IF(B267="Supporting",IFERROR(INDEX($E$3:$E$553,1+Entity!$B$14+INDEX(Values!$O$3:$O$502,P267)),""),IF(B267="Cluster",IF(Entity!$B$14&lt;2,"",INDEX($E$3:$E$553,IF(A267-1=Entity!$B$14,2,A267+1))),""))</f>
        <v/>
      </c>
      <c r="I267">
        <f>IF(B267="Pillar",Entity!$B$14&amp;" cluster pages",IF(B267="Cluster",(COUNTIF($C$3:$C$553,SUBSTITUTE(SUBSTITUTE(C267,"?","~?"),"*","~*"))-1)&amp;" supporting pages",""))</f>
        <v/>
      </c>
      <c r="J267">
        <f>IF(B267="Pillar","Informational",IF(OR(B267="Cluster",B267="Supporting"),INDEX(Attributes!$D$3:$D$52,Q267)&amp;"",""))</f>
        <v/>
      </c>
      <c r="K267">
        <f>IF(B267="","",IF(B267="Pillar","Pillar guide (entity hub)",IF(B267="Cluster","Hub page for this attribute",IF(INDEX(Values!$C$3:$C$502,P267)="Yes","Entity page (profile of the sub-entity)",IFERROR(INDEX(Lists!$B$3:$B$6,MATCH(J267,Lists!$A$3:$A$6,0)),"Article")))))</f>
        <v/>
      </c>
      <c r="L267">
        <f>IF(B267="Pillar",Entity!$B$6&amp;"",IF(B267="Cluster",INDEX(Attributes!$I$3:$I$52,Q267)&amp;"",IF(B267="Supporting",INDEX(Values!$F$3:$F$502,P267)&amp;"","")))</f>
        <v/>
      </c>
      <c r="M267">
        <f>IF(B267="","",IF(L267&lt;&gt;"","Covered","Gap"))</f>
        <v/>
      </c>
      <c r="N267">
        <f>IF(B267="Pillar",SUMIFS(Values!$E$3:$E$502,Values!$I$3:$I$502,"Yes"),IF(B267="Cluster",SUMIFS(Values!$E$3:$E$502,Values!$A$3:$A$502,SUBSTITUTE(SUBSTITUTE(C267,"?","~?"),"*","~*"),Values!$I$3:$I$502,"Yes"),IF(B267="Supporting",N(INDEX(Values!$E$3:$E$502,P267)),"")))</f>
        <v/>
      </c>
      <c r="O267">
        <f>IF(B267="","",IF(B267="Pillar",100,IF(B267="Cluster",N(INDEX(Attributes!$E$3:$E$52,Q267))*25+IF(M267="Gap",10,0),N(INDEX(Attributes!$E$3:$E$52,Q267))*20+MIN(20,ROUND(LOG10(N(N267)+1)*5,0))+IF(M267="Gap",10,0)+IF(INDEX(Values!$D$3:$D$502,P267)="Yes",5,0))))</f>
        <v/>
      </c>
      <c r="P267">
        <f>IF(B267="Supporting",MATCH(A267-1-Entity!$B$14,Values!$J$3:$J$502,0),"")</f>
        <v/>
      </c>
      <c r="Q267">
        <f>IF(C267="","",MATCH(C267,Attributes!$A$3:$A$52,0))</f>
        <v/>
      </c>
      <c r="R267">
        <f>IF(B267="Pillar",SUBSTITUTE(Entity!$B$7,"{entity}",LOWER(Entity!$B$3)),IF(B267="Cluster",IF(INDEX(Attributes!$G$3:$G$52,Q267)&lt;&gt;"",INDEX(Attributes!$G$3:$G$52,Q267),SUBSTITUTE(SUBSTITUTE(Entity!$B$8,"{entity}",LOWER(Entity!$B$3)),"{attribute}",LOWER(C267))),IF(B267="Supporting",SUBSTITUTE(SUBSTITUTE(SUBSTITUTE(IF(INDEX(Attributes!$H$3:$H$52,Q267)&lt;&gt;"",INDEX(Attributes!$H$3:$H$52,Q267),Entity!$B$9),"{entity}",LOWER(Entity!$B$3)),"{value}",D267),"{attribute}",LOWER(C267)),"")))</f>
        <v/>
      </c>
    </row>
    <row r="268">
      <c r="A268">
        <f>ROW()-2</f>
        <v/>
      </c>
      <c r="B268">
        <f>IF(A268=1,"Pillar",IF(A268&lt;=1+Entity!$B$14,"Cluster",IF(A268&lt;=1+Entity!$B$14+Entity!$B$15,"Supporting","")))</f>
        <v/>
      </c>
      <c r="C268">
        <f>IF(B268="Cluster",INDEX(Attributes!$A$3:$A$52,MATCH(A268-1,Attributes!$P$3:$P$52,0)),IF(B268="Supporting",INDEX(Values!$A$3:$A$502,P268),""))</f>
        <v/>
      </c>
      <c r="D268">
        <f>IF(B268="Supporting",INDEX(Values!$B$3:$B$502,P268),"")</f>
        <v/>
      </c>
      <c r="E268">
        <f>IF(R268="","",UPPER(LEFT(R268,1))&amp;MID(R268,2,500))</f>
        <v/>
      </c>
      <c r="F268">
        <f>IF(E268="","",LOWER(SUBSTITUTE(SUBSTITUTE(SUBSTITUTE(SUBSTITUTE(SUBSTITUTE(SUBSTITUTE(SUBSTITUTE(TRIM(E268),":",""),",",""),"'",""),"&amp;","and"),"£",""),"  "," ")," ","-")))</f>
        <v/>
      </c>
      <c r="G268">
        <f>IF(B268="Cluster",$E$3,IF(B268="Supporting",INDEX($E$3:$E$553,MATCH(C268,$C$3:$C$553,0)),""))</f>
        <v/>
      </c>
      <c r="H268">
        <f>IF(B268="Supporting",IFERROR(INDEX($E$3:$E$553,1+Entity!$B$14+INDEX(Values!$O$3:$O$502,P268)),""),IF(B268="Cluster",IF(Entity!$B$14&lt;2,"",INDEX($E$3:$E$553,IF(A268-1=Entity!$B$14,2,A268+1))),""))</f>
        <v/>
      </c>
      <c r="I268">
        <f>IF(B268="Pillar",Entity!$B$14&amp;" cluster pages",IF(B268="Cluster",(COUNTIF($C$3:$C$553,SUBSTITUTE(SUBSTITUTE(C268,"?","~?"),"*","~*"))-1)&amp;" supporting pages",""))</f>
        <v/>
      </c>
      <c r="J268">
        <f>IF(B268="Pillar","Informational",IF(OR(B268="Cluster",B268="Supporting"),INDEX(Attributes!$D$3:$D$52,Q268)&amp;"",""))</f>
        <v/>
      </c>
      <c r="K268">
        <f>IF(B268="","",IF(B268="Pillar","Pillar guide (entity hub)",IF(B268="Cluster","Hub page for this attribute",IF(INDEX(Values!$C$3:$C$502,P268)="Yes","Entity page (profile of the sub-entity)",IFERROR(INDEX(Lists!$B$3:$B$6,MATCH(J268,Lists!$A$3:$A$6,0)),"Article")))))</f>
        <v/>
      </c>
      <c r="L268">
        <f>IF(B268="Pillar",Entity!$B$6&amp;"",IF(B268="Cluster",INDEX(Attributes!$I$3:$I$52,Q268)&amp;"",IF(B268="Supporting",INDEX(Values!$F$3:$F$502,P268)&amp;"","")))</f>
        <v/>
      </c>
      <c r="M268">
        <f>IF(B268="","",IF(L268&lt;&gt;"","Covered","Gap"))</f>
        <v/>
      </c>
      <c r="N268">
        <f>IF(B268="Pillar",SUMIFS(Values!$E$3:$E$502,Values!$I$3:$I$502,"Yes"),IF(B268="Cluster",SUMIFS(Values!$E$3:$E$502,Values!$A$3:$A$502,SUBSTITUTE(SUBSTITUTE(C268,"?","~?"),"*","~*"),Values!$I$3:$I$502,"Yes"),IF(B268="Supporting",N(INDEX(Values!$E$3:$E$502,P268)),"")))</f>
        <v/>
      </c>
      <c r="O268">
        <f>IF(B268="","",IF(B268="Pillar",100,IF(B268="Cluster",N(INDEX(Attributes!$E$3:$E$52,Q268))*25+IF(M268="Gap",10,0),N(INDEX(Attributes!$E$3:$E$52,Q268))*20+MIN(20,ROUND(LOG10(N(N268)+1)*5,0))+IF(M268="Gap",10,0)+IF(INDEX(Values!$D$3:$D$502,P268)="Yes",5,0))))</f>
        <v/>
      </c>
      <c r="P268">
        <f>IF(B268="Supporting",MATCH(A268-1-Entity!$B$14,Values!$J$3:$J$502,0),"")</f>
        <v/>
      </c>
      <c r="Q268">
        <f>IF(C268="","",MATCH(C268,Attributes!$A$3:$A$52,0))</f>
        <v/>
      </c>
      <c r="R268">
        <f>IF(B268="Pillar",SUBSTITUTE(Entity!$B$7,"{entity}",LOWER(Entity!$B$3)),IF(B268="Cluster",IF(INDEX(Attributes!$G$3:$G$52,Q268)&lt;&gt;"",INDEX(Attributes!$G$3:$G$52,Q268),SUBSTITUTE(SUBSTITUTE(Entity!$B$8,"{entity}",LOWER(Entity!$B$3)),"{attribute}",LOWER(C268))),IF(B268="Supporting",SUBSTITUTE(SUBSTITUTE(SUBSTITUTE(IF(INDEX(Attributes!$H$3:$H$52,Q268)&lt;&gt;"",INDEX(Attributes!$H$3:$H$52,Q268),Entity!$B$9),"{entity}",LOWER(Entity!$B$3)),"{value}",D268),"{attribute}",LOWER(C268)),"")))</f>
        <v/>
      </c>
    </row>
    <row r="269">
      <c r="A269">
        <f>ROW()-2</f>
        <v/>
      </c>
      <c r="B269">
        <f>IF(A269=1,"Pillar",IF(A269&lt;=1+Entity!$B$14,"Cluster",IF(A269&lt;=1+Entity!$B$14+Entity!$B$15,"Supporting","")))</f>
        <v/>
      </c>
      <c r="C269">
        <f>IF(B269="Cluster",INDEX(Attributes!$A$3:$A$52,MATCH(A269-1,Attributes!$P$3:$P$52,0)),IF(B269="Supporting",INDEX(Values!$A$3:$A$502,P269),""))</f>
        <v/>
      </c>
      <c r="D269">
        <f>IF(B269="Supporting",INDEX(Values!$B$3:$B$502,P269),"")</f>
        <v/>
      </c>
      <c r="E269">
        <f>IF(R269="","",UPPER(LEFT(R269,1))&amp;MID(R269,2,500))</f>
        <v/>
      </c>
      <c r="F269">
        <f>IF(E269="","",LOWER(SUBSTITUTE(SUBSTITUTE(SUBSTITUTE(SUBSTITUTE(SUBSTITUTE(SUBSTITUTE(SUBSTITUTE(TRIM(E269),":",""),",",""),"'",""),"&amp;","and"),"£",""),"  "," ")," ","-")))</f>
        <v/>
      </c>
      <c r="G269">
        <f>IF(B269="Cluster",$E$3,IF(B269="Supporting",INDEX($E$3:$E$553,MATCH(C269,$C$3:$C$553,0)),""))</f>
        <v/>
      </c>
      <c r="H269">
        <f>IF(B269="Supporting",IFERROR(INDEX($E$3:$E$553,1+Entity!$B$14+INDEX(Values!$O$3:$O$502,P269)),""),IF(B269="Cluster",IF(Entity!$B$14&lt;2,"",INDEX($E$3:$E$553,IF(A269-1=Entity!$B$14,2,A269+1))),""))</f>
        <v/>
      </c>
      <c r="I269">
        <f>IF(B269="Pillar",Entity!$B$14&amp;" cluster pages",IF(B269="Cluster",(COUNTIF($C$3:$C$553,SUBSTITUTE(SUBSTITUTE(C269,"?","~?"),"*","~*"))-1)&amp;" supporting pages",""))</f>
        <v/>
      </c>
      <c r="J269">
        <f>IF(B269="Pillar","Informational",IF(OR(B269="Cluster",B269="Supporting"),INDEX(Attributes!$D$3:$D$52,Q269)&amp;"",""))</f>
        <v/>
      </c>
      <c r="K269">
        <f>IF(B269="","",IF(B269="Pillar","Pillar guide (entity hub)",IF(B269="Cluster","Hub page for this attribute",IF(INDEX(Values!$C$3:$C$502,P269)="Yes","Entity page (profile of the sub-entity)",IFERROR(INDEX(Lists!$B$3:$B$6,MATCH(J269,Lists!$A$3:$A$6,0)),"Article")))))</f>
        <v/>
      </c>
      <c r="L269">
        <f>IF(B269="Pillar",Entity!$B$6&amp;"",IF(B269="Cluster",INDEX(Attributes!$I$3:$I$52,Q269)&amp;"",IF(B269="Supporting",INDEX(Values!$F$3:$F$502,P269)&amp;"","")))</f>
        <v/>
      </c>
      <c r="M269">
        <f>IF(B269="","",IF(L269&lt;&gt;"","Covered","Gap"))</f>
        <v/>
      </c>
      <c r="N269">
        <f>IF(B269="Pillar",SUMIFS(Values!$E$3:$E$502,Values!$I$3:$I$502,"Yes"),IF(B269="Cluster",SUMIFS(Values!$E$3:$E$502,Values!$A$3:$A$502,SUBSTITUTE(SUBSTITUTE(C269,"?","~?"),"*","~*"),Values!$I$3:$I$502,"Yes"),IF(B269="Supporting",N(INDEX(Values!$E$3:$E$502,P269)),"")))</f>
        <v/>
      </c>
      <c r="O269">
        <f>IF(B269="","",IF(B269="Pillar",100,IF(B269="Cluster",N(INDEX(Attributes!$E$3:$E$52,Q269))*25+IF(M269="Gap",10,0),N(INDEX(Attributes!$E$3:$E$52,Q269))*20+MIN(20,ROUND(LOG10(N(N269)+1)*5,0))+IF(M269="Gap",10,0)+IF(INDEX(Values!$D$3:$D$502,P269)="Yes",5,0))))</f>
        <v/>
      </c>
      <c r="P269">
        <f>IF(B269="Supporting",MATCH(A269-1-Entity!$B$14,Values!$J$3:$J$502,0),"")</f>
        <v/>
      </c>
      <c r="Q269">
        <f>IF(C269="","",MATCH(C269,Attributes!$A$3:$A$52,0))</f>
        <v/>
      </c>
      <c r="R269">
        <f>IF(B269="Pillar",SUBSTITUTE(Entity!$B$7,"{entity}",LOWER(Entity!$B$3)),IF(B269="Cluster",IF(INDEX(Attributes!$G$3:$G$52,Q269)&lt;&gt;"",INDEX(Attributes!$G$3:$G$52,Q269),SUBSTITUTE(SUBSTITUTE(Entity!$B$8,"{entity}",LOWER(Entity!$B$3)),"{attribute}",LOWER(C269))),IF(B269="Supporting",SUBSTITUTE(SUBSTITUTE(SUBSTITUTE(IF(INDEX(Attributes!$H$3:$H$52,Q269)&lt;&gt;"",INDEX(Attributes!$H$3:$H$52,Q269),Entity!$B$9),"{entity}",LOWER(Entity!$B$3)),"{value}",D269),"{attribute}",LOWER(C269)),"")))</f>
        <v/>
      </c>
    </row>
    <row r="270">
      <c r="A270">
        <f>ROW()-2</f>
        <v/>
      </c>
      <c r="B270">
        <f>IF(A270=1,"Pillar",IF(A270&lt;=1+Entity!$B$14,"Cluster",IF(A270&lt;=1+Entity!$B$14+Entity!$B$15,"Supporting","")))</f>
        <v/>
      </c>
      <c r="C270">
        <f>IF(B270="Cluster",INDEX(Attributes!$A$3:$A$52,MATCH(A270-1,Attributes!$P$3:$P$52,0)),IF(B270="Supporting",INDEX(Values!$A$3:$A$502,P270),""))</f>
        <v/>
      </c>
      <c r="D270">
        <f>IF(B270="Supporting",INDEX(Values!$B$3:$B$502,P270),"")</f>
        <v/>
      </c>
      <c r="E270">
        <f>IF(R270="","",UPPER(LEFT(R270,1))&amp;MID(R270,2,500))</f>
        <v/>
      </c>
      <c r="F270">
        <f>IF(E270="","",LOWER(SUBSTITUTE(SUBSTITUTE(SUBSTITUTE(SUBSTITUTE(SUBSTITUTE(SUBSTITUTE(SUBSTITUTE(TRIM(E270),":",""),",",""),"'",""),"&amp;","and"),"£",""),"  "," ")," ","-")))</f>
        <v/>
      </c>
      <c r="G270">
        <f>IF(B270="Cluster",$E$3,IF(B270="Supporting",INDEX($E$3:$E$553,MATCH(C270,$C$3:$C$553,0)),""))</f>
        <v/>
      </c>
      <c r="H270">
        <f>IF(B270="Supporting",IFERROR(INDEX($E$3:$E$553,1+Entity!$B$14+INDEX(Values!$O$3:$O$502,P270)),""),IF(B270="Cluster",IF(Entity!$B$14&lt;2,"",INDEX($E$3:$E$553,IF(A270-1=Entity!$B$14,2,A270+1))),""))</f>
        <v/>
      </c>
      <c r="I270">
        <f>IF(B270="Pillar",Entity!$B$14&amp;" cluster pages",IF(B270="Cluster",(COUNTIF($C$3:$C$553,SUBSTITUTE(SUBSTITUTE(C270,"?","~?"),"*","~*"))-1)&amp;" supporting pages",""))</f>
        <v/>
      </c>
      <c r="J270">
        <f>IF(B270="Pillar","Informational",IF(OR(B270="Cluster",B270="Supporting"),INDEX(Attributes!$D$3:$D$52,Q270)&amp;"",""))</f>
        <v/>
      </c>
      <c r="K270">
        <f>IF(B270="","",IF(B270="Pillar","Pillar guide (entity hub)",IF(B270="Cluster","Hub page for this attribute",IF(INDEX(Values!$C$3:$C$502,P270)="Yes","Entity page (profile of the sub-entity)",IFERROR(INDEX(Lists!$B$3:$B$6,MATCH(J270,Lists!$A$3:$A$6,0)),"Article")))))</f>
        <v/>
      </c>
      <c r="L270">
        <f>IF(B270="Pillar",Entity!$B$6&amp;"",IF(B270="Cluster",INDEX(Attributes!$I$3:$I$52,Q270)&amp;"",IF(B270="Supporting",INDEX(Values!$F$3:$F$502,P270)&amp;"","")))</f>
        <v/>
      </c>
      <c r="M270">
        <f>IF(B270="","",IF(L270&lt;&gt;"","Covered","Gap"))</f>
        <v/>
      </c>
      <c r="N270">
        <f>IF(B270="Pillar",SUMIFS(Values!$E$3:$E$502,Values!$I$3:$I$502,"Yes"),IF(B270="Cluster",SUMIFS(Values!$E$3:$E$502,Values!$A$3:$A$502,SUBSTITUTE(SUBSTITUTE(C270,"?","~?"),"*","~*"),Values!$I$3:$I$502,"Yes"),IF(B270="Supporting",N(INDEX(Values!$E$3:$E$502,P270)),"")))</f>
        <v/>
      </c>
      <c r="O270">
        <f>IF(B270="","",IF(B270="Pillar",100,IF(B270="Cluster",N(INDEX(Attributes!$E$3:$E$52,Q270))*25+IF(M270="Gap",10,0),N(INDEX(Attributes!$E$3:$E$52,Q270))*20+MIN(20,ROUND(LOG10(N(N270)+1)*5,0))+IF(M270="Gap",10,0)+IF(INDEX(Values!$D$3:$D$502,P270)="Yes",5,0))))</f>
        <v/>
      </c>
      <c r="P270">
        <f>IF(B270="Supporting",MATCH(A270-1-Entity!$B$14,Values!$J$3:$J$502,0),"")</f>
        <v/>
      </c>
      <c r="Q270">
        <f>IF(C270="","",MATCH(C270,Attributes!$A$3:$A$52,0))</f>
        <v/>
      </c>
      <c r="R270">
        <f>IF(B270="Pillar",SUBSTITUTE(Entity!$B$7,"{entity}",LOWER(Entity!$B$3)),IF(B270="Cluster",IF(INDEX(Attributes!$G$3:$G$52,Q270)&lt;&gt;"",INDEX(Attributes!$G$3:$G$52,Q270),SUBSTITUTE(SUBSTITUTE(Entity!$B$8,"{entity}",LOWER(Entity!$B$3)),"{attribute}",LOWER(C270))),IF(B270="Supporting",SUBSTITUTE(SUBSTITUTE(SUBSTITUTE(IF(INDEX(Attributes!$H$3:$H$52,Q270)&lt;&gt;"",INDEX(Attributes!$H$3:$H$52,Q270),Entity!$B$9),"{entity}",LOWER(Entity!$B$3)),"{value}",D270),"{attribute}",LOWER(C270)),"")))</f>
        <v/>
      </c>
    </row>
    <row r="271">
      <c r="A271">
        <f>ROW()-2</f>
        <v/>
      </c>
      <c r="B271">
        <f>IF(A271=1,"Pillar",IF(A271&lt;=1+Entity!$B$14,"Cluster",IF(A271&lt;=1+Entity!$B$14+Entity!$B$15,"Supporting","")))</f>
        <v/>
      </c>
      <c r="C271">
        <f>IF(B271="Cluster",INDEX(Attributes!$A$3:$A$52,MATCH(A271-1,Attributes!$P$3:$P$52,0)),IF(B271="Supporting",INDEX(Values!$A$3:$A$502,P271),""))</f>
        <v/>
      </c>
      <c r="D271">
        <f>IF(B271="Supporting",INDEX(Values!$B$3:$B$502,P271),"")</f>
        <v/>
      </c>
      <c r="E271">
        <f>IF(R271="","",UPPER(LEFT(R271,1))&amp;MID(R271,2,500))</f>
        <v/>
      </c>
      <c r="F271">
        <f>IF(E271="","",LOWER(SUBSTITUTE(SUBSTITUTE(SUBSTITUTE(SUBSTITUTE(SUBSTITUTE(SUBSTITUTE(SUBSTITUTE(TRIM(E271),":",""),",",""),"'",""),"&amp;","and"),"£",""),"  "," ")," ","-")))</f>
        <v/>
      </c>
      <c r="G271">
        <f>IF(B271="Cluster",$E$3,IF(B271="Supporting",INDEX($E$3:$E$553,MATCH(C271,$C$3:$C$553,0)),""))</f>
        <v/>
      </c>
      <c r="H271">
        <f>IF(B271="Supporting",IFERROR(INDEX($E$3:$E$553,1+Entity!$B$14+INDEX(Values!$O$3:$O$502,P271)),""),IF(B271="Cluster",IF(Entity!$B$14&lt;2,"",INDEX($E$3:$E$553,IF(A271-1=Entity!$B$14,2,A271+1))),""))</f>
        <v/>
      </c>
      <c r="I271">
        <f>IF(B271="Pillar",Entity!$B$14&amp;" cluster pages",IF(B271="Cluster",(COUNTIF($C$3:$C$553,SUBSTITUTE(SUBSTITUTE(C271,"?","~?"),"*","~*"))-1)&amp;" supporting pages",""))</f>
        <v/>
      </c>
      <c r="J271">
        <f>IF(B271="Pillar","Informational",IF(OR(B271="Cluster",B271="Supporting"),INDEX(Attributes!$D$3:$D$52,Q271)&amp;"",""))</f>
        <v/>
      </c>
      <c r="K271">
        <f>IF(B271="","",IF(B271="Pillar","Pillar guide (entity hub)",IF(B271="Cluster","Hub page for this attribute",IF(INDEX(Values!$C$3:$C$502,P271)="Yes","Entity page (profile of the sub-entity)",IFERROR(INDEX(Lists!$B$3:$B$6,MATCH(J271,Lists!$A$3:$A$6,0)),"Article")))))</f>
        <v/>
      </c>
      <c r="L271">
        <f>IF(B271="Pillar",Entity!$B$6&amp;"",IF(B271="Cluster",INDEX(Attributes!$I$3:$I$52,Q271)&amp;"",IF(B271="Supporting",INDEX(Values!$F$3:$F$502,P271)&amp;"","")))</f>
        <v/>
      </c>
      <c r="M271">
        <f>IF(B271="","",IF(L271&lt;&gt;"","Covered","Gap"))</f>
        <v/>
      </c>
      <c r="N271">
        <f>IF(B271="Pillar",SUMIFS(Values!$E$3:$E$502,Values!$I$3:$I$502,"Yes"),IF(B271="Cluster",SUMIFS(Values!$E$3:$E$502,Values!$A$3:$A$502,SUBSTITUTE(SUBSTITUTE(C271,"?","~?"),"*","~*"),Values!$I$3:$I$502,"Yes"),IF(B271="Supporting",N(INDEX(Values!$E$3:$E$502,P271)),"")))</f>
        <v/>
      </c>
      <c r="O271">
        <f>IF(B271="","",IF(B271="Pillar",100,IF(B271="Cluster",N(INDEX(Attributes!$E$3:$E$52,Q271))*25+IF(M271="Gap",10,0),N(INDEX(Attributes!$E$3:$E$52,Q271))*20+MIN(20,ROUND(LOG10(N(N271)+1)*5,0))+IF(M271="Gap",10,0)+IF(INDEX(Values!$D$3:$D$502,P271)="Yes",5,0))))</f>
        <v/>
      </c>
      <c r="P271">
        <f>IF(B271="Supporting",MATCH(A271-1-Entity!$B$14,Values!$J$3:$J$502,0),"")</f>
        <v/>
      </c>
      <c r="Q271">
        <f>IF(C271="","",MATCH(C271,Attributes!$A$3:$A$52,0))</f>
        <v/>
      </c>
      <c r="R271">
        <f>IF(B271="Pillar",SUBSTITUTE(Entity!$B$7,"{entity}",LOWER(Entity!$B$3)),IF(B271="Cluster",IF(INDEX(Attributes!$G$3:$G$52,Q271)&lt;&gt;"",INDEX(Attributes!$G$3:$G$52,Q271),SUBSTITUTE(SUBSTITUTE(Entity!$B$8,"{entity}",LOWER(Entity!$B$3)),"{attribute}",LOWER(C271))),IF(B271="Supporting",SUBSTITUTE(SUBSTITUTE(SUBSTITUTE(IF(INDEX(Attributes!$H$3:$H$52,Q271)&lt;&gt;"",INDEX(Attributes!$H$3:$H$52,Q271),Entity!$B$9),"{entity}",LOWER(Entity!$B$3)),"{value}",D271),"{attribute}",LOWER(C271)),"")))</f>
        <v/>
      </c>
    </row>
    <row r="272">
      <c r="A272">
        <f>ROW()-2</f>
        <v/>
      </c>
      <c r="B272">
        <f>IF(A272=1,"Pillar",IF(A272&lt;=1+Entity!$B$14,"Cluster",IF(A272&lt;=1+Entity!$B$14+Entity!$B$15,"Supporting","")))</f>
        <v/>
      </c>
      <c r="C272">
        <f>IF(B272="Cluster",INDEX(Attributes!$A$3:$A$52,MATCH(A272-1,Attributes!$P$3:$P$52,0)),IF(B272="Supporting",INDEX(Values!$A$3:$A$502,P272),""))</f>
        <v/>
      </c>
      <c r="D272">
        <f>IF(B272="Supporting",INDEX(Values!$B$3:$B$502,P272),"")</f>
        <v/>
      </c>
      <c r="E272">
        <f>IF(R272="","",UPPER(LEFT(R272,1))&amp;MID(R272,2,500))</f>
        <v/>
      </c>
      <c r="F272">
        <f>IF(E272="","",LOWER(SUBSTITUTE(SUBSTITUTE(SUBSTITUTE(SUBSTITUTE(SUBSTITUTE(SUBSTITUTE(SUBSTITUTE(TRIM(E272),":",""),",",""),"'",""),"&amp;","and"),"£",""),"  "," ")," ","-")))</f>
        <v/>
      </c>
      <c r="G272">
        <f>IF(B272="Cluster",$E$3,IF(B272="Supporting",INDEX($E$3:$E$553,MATCH(C272,$C$3:$C$553,0)),""))</f>
        <v/>
      </c>
      <c r="H272">
        <f>IF(B272="Supporting",IFERROR(INDEX($E$3:$E$553,1+Entity!$B$14+INDEX(Values!$O$3:$O$502,P272)),""),IF(B272="Cluster",IF(Entity!$B$14&lt;2,"",INDEX($E$3:$E$553,IF(A272-1=Entity!$B$14,2,A272+1))),""))</f>
        <v/>
      </c>
      <c r="I272">
        <f>IF(B272="Pillar",Entity!$B$14&amp;" cluster pages",IF(B272="Cluster",(COUNTIF($C$3:$C$553,SUBSTITUTE(SUBSTITUTE(C272,"?","~?"),"*","~*"))-1)&amp;" supporting pages",""))</f>
        <v/>
      </c>
      <c r="J272">
        <f>IF(B272="Pillar","Informational",IF(OR(B272="Cluster",B272="Supporting"),INDEX(Attributes!$D$3:$D$52,Q272)&amp;"",""))</f>
        <v/>
      </c>
      <c r="K272">
        <f>IF(B272="","",IF(B272="Pillar","Pillar guide (entity hub)",IF(B272="Cluster","Hub page for this attribute",IF(INDEX(Values!$C$3:$C$502,P272)="Yes","Entity page (profile of the sub-entity)",IFERROR(INDEX(Lists!$B$3:$B$6,MATCH(J272,Lists!$A$3:$A$6,0)),"Article")))))</f>
        <v/>
      </c>
      <c r="L272">
        <f>IF(B272="Pillar",Entity!$B$6&amp;"",IF(B272="Cluster",INDEX(Attributes!$I$3:$I$52,Q272)&amp;"",IF(B272="Supporting",INDEX(Values!$F$3:$F$502,P272)&amp;"","")))</f>
        <v/>
      </c>
      <c r="M272">
        <f>IF(B272="","",IF(L272&lt;&gt;"","Covered","Gap"))</f>
        <v/>
      </c>
      <c r="N272">
        <f>IF(B272="Pillar",SUMIFS(Values!$E$3:$E$502,Values!$I$3:$I$502,"Yes"),IF(B272="Cluster",SUMIFS(Values!$E$3:$E$502,Values!$A$3:$A$502,SUBSTITUTE(SUBSTITUTE(C272,"?","~?"),"*","~*"),Values!$I$3:$I$502,"Yes"),IF(B272="Supporting",N(INDEX(Values!$E$3:$E$502,P272)),"")))</f>
        <v/>
      </c>
      <c r="O272">
        <f>IF(B272="","",IF(B272="Pillar",100,IF(B272="Cluster",N(INDEX(Attributes!$E$3:$E$52,Q272))*25+IF(M272="Gap",10,0),N(INDEX(Attributes!$E$3:$E$52,Q272))*20+MIN(20,ROUND(LOG10(N(N272)+1)*5,0))+IF(M272="Gap",10,0)+IF(INDEX(Values!$D$3:$D$502,P272)="Yes",5,0))))</f>
        <v/>
      </c>
      <c r="P272">
        <f>IF(B272="Supporting",MATCH(A272-1-Entity!$B$14,Values!$J$3:$J$502,0),"")</f>
        <v/>
      </c>
      <c r="Q272">
        <f>IF(C272="","",MATCH(C272,Attributes!$A$3:$A$52,0))</f>
        <v/>
      </c>
      <c r="R272">
        <f>IF(B272="Pillar",SUBSTITUTE(Entity!$B$7,"{entity}",LOWER(Entity!$B$3)),IF(B272="Cluster",IF(INDEX(Attributes!$G$3:$G$52,Q272)&lt;&gt;"",INDEX(Attributes!$G$3:$G$52,Q272),SUBSTITUTE(SUBSTITUTE(Entity!$B$8,"{entity}",LOWER(Entity!$B$3)),"{attribute}",LOWER(C272))),IF(B272="Supporting",SUBSTITUTE(SUBSTITUTE(SUBSTITUTE(IF(INDEX(Attributes!$H$3:$H$52,Q272)&lt;&gt;"",INDEX(Attributes!$H$3:$H$52,Q272),Entity!$B$9),"{entity}",LOWER(Entity!$B$3)),"{value}",D272),"{attribute}",LOWER(C272)),"")))</f>
        <v/>
      </c>
    </row>
    <row r="273">
      <c r="A273">
        <f>ROW()-2</f>
        <v/>
      </c>
      <c r="B273">
        <f>IF(A273=1,"Pillar",IF(A273&lt;=1+Entity!$B$14,"Cluster",IF(A273&lt;=1+Entity!$B$14+Entity!$B$15,"Supporting","")))</f>
        <v/>
      </c>
      <c r="C273">
        <f>IF(B273="Cluster",INDEX(Attributes!$A$3:$A$52,MATCH(A273-1,Attributes!$P$3:$P$52,0)),IF(B273="Supporting",INDEX(Values!$A$3:$A$502,P273),""))</f>
        <v/>
      </c>
      <c r="D273">
        <f>IF(B273="Supporting",INDEX(Values!$B$3:$B$502,P273),"")</f>
        <v/>
      </c>
      <c r="E273">
        <f>IF(R273="","",UPPER(LEFT(R273,1))&amp;MID(R273,2,500))</f>
        <v/>
      </c>
      <c r="F273">
        <f>IF(E273="","",LOWER(SUBSTITUTE(SUBSTITUTE(SUBSTITUTE(SUBSTITUTE(SUBSTITUTE(SUBSTITUTE(SUBSTITUTE(TRIM(E273),":",""),",",""),"'",""),"&amp;","and"),"£",""),"  "," ")," ","-")))</f>
        <v/>
      </c>
      <c r="G273">
        <f>IF(B273="Cluster",$E$3,IF(B273="Supporting",INDEX($E$3:$E$553,MATCH(C273,$C$3:$C$553,0)),""))</f>
        <v/>
      </c>
      <c r="H273">
        <f>IF(B273="Supporting",IFERROR(INDEX($E$3:$E$553,1+Entity!$B$14+INDEX(Values!$O$3:$O$502,P273)),""),IF(B273="Cluster",IF(Entity!$B$14&lt;2,"",INDEX($E$3:$E$553,IF(A273-1=Entity!$B$14,2,A273+1))),""))</f>
        <v/>
      </c>
      <c r="I273">
        <f>IF(B273="Pillar",Entity!$B$14&amp;" cluster pages",IF(B273="Cluster",(COUNTIF($C$3:$C$553,SUBSTITUTE(SUBSTITUTE(C273,"?","~?"),"*","~*"))-1)&amp;" supporting pages",""))</f>
        <v/>
      </c>
      <c r="J273">
        <f>IF(B273="Pillar","Informational",IF(OR(B273="Cluster",B273="Supporting"),INDEX(Attributes!$D$3:$D$52,Q273)&amp;"",""))</f>
        <v/>
      </c>
      <c r="K273">
        <f>IF(B273="","",IF(B273="Pillar","Pillar guide (entity hub)",IF(B273="Cluster","Hub page for this attribute",IF(INDEX(Values!$C$3:$C$502,P273)="Yes","Entity page (profile of the sub-entity)",IFERROR(INDEX(Lists!$B$3:$B$6,MATCH(J273,Lists!$A$3:$A$6,0)),"Article")))))</f>
        <v/>
      </c>
      <c r="L273">
        <f>IF(B273="Pillar",Entity!$B$6&amp;"",IF(B273="Cluster",INDEX(Attributes!$I$3:$I$52,Q273)&amp;"",IF(B273="Supporting",INDEX(Values!$F$3:$F$502,P273)&amp;"","")))</f>
        <v/>
      </c>
      <c r="M273">
        <f>IF(B273="","",IF(L273&lt;&gt;"","Covered","Gap"))</f>
        <v/>
      </c>
      <c r="N273">
        <f>IF(B273="Pillar",SUMIFS(Values!$E$3:$E$502,Values!$I$3:$I$502,"Yes"),IF(B273="Cluster",SUMIFS(Values!$E$3:$E$502,Values!$A$3:$A$502,SUBSTITUTE(SUBSTITUTE(C273,"?","~?"),"*","~*"),Values!$I$3:$I$502,"Yes"),IF(B273="Supporting",N(INDEX(Values!$E$3:$E$502,P273)),"")))</f>
        <v/>
      </c>
      <c r="O273">
        <f>IF(B273="","",IF(B273="Pillar",100,IF(B273="Cluster",N(INDEX(Attributes!$E$3:$E$52,Q273))*25+IF(M273="Gap",10,0),N(INDEX(Attributes!$E$3:$E$52,Q273))*20+MIN(20,ROUND(LOG10(N(N273)+1)*5,0))+IF(M273="Gap",10,0)+IF(INDEX(Values!$D$3:$D$502,P273)="Yes",5,0))))</f>
        <v/>
      </c>
      <c r="P273">
        <f>IF(B273="Supporting",MATCH(A273-1-Entity!$B$14,Values!$J$3:$J$502,0),"")</f>
        <v/>
      </c>
      <c r="Q273">
        <f>IF(C273="","",MATCH(C273,Attributes!$A$3:$A$52,0))</f>
        <v/>
      </c>
      <c r="R273">
        <f>IF(B273="Pillar",SUBSTITUTE(Entity!$B$7,"{entity}",LOWER(Entity!$B$3)),IF(B273="Cluster",IF(INDEX(Attributes!$G$3:$G$52,Q273)&lt;&gt;"",INDEX(Attributes!$G$3:$G$52,Q273),SUBSTITUTE(SUBSTITUTE(Entity!$B$8,"{entity}",LOWER(Entity!$B$3)),"{attribute}",LOWER(C273))),IF(B273="Supporting",SUBSTITUTE(SUBSTITUTE(SUBSTITUTE(IF(INDEX(Attributes!$H$3:$H$52,Q273)&lt;&gt;"",INDEX(Attributes!$H$3:$H$52,Q273),Entity!$B$9),"{entity}",LOWER(Entity!$B$3)),"{value}",D273),"{attribute}",LOWER(C273)),"")))</f>
        <v/>
      </c>
    </row>
    <row r="274">
      <c r="A274">
        <f>ROW()-2</f>
        <v/>
      </c>
      <c r="B274">
        <f>IF(A274=1,"Pillar",IF(A274&lt;=1+Entity!$B$14,"Cluster",IF(A274&lt;=1+Entity!$B$14+Entity!$B$15,"Supporting","")))</f>
        <v/>
      </c>
      <c r="C274">
        <f>IF(B274="Cluster",INDEX(Attributes!$A$3:$A$52,MATCH(A274-1,Attributes!$P$3:$P$52,0)),IF(B274="Supporting",INDEX(Values!$A$3:$A$502,P274),""))</f>
        <v/>
      </c>
      <c r="D274">
        <f>IF(B274="Supporting",INDEX(Values!$B$3:$B$502,P274),"")</f>
        <v/>
      </c>
      <c r="E274">
        <f>IF(R274="","",UPPER(LEFT(R274,1))&amp;MID(R274,2,500))</f>
        <v/>
      </c>
      <c r="F274">
        <f>IF(E274="","",LOWER(SUBSTITUTE(SUBSTITUTE(SUBSTITUTE(SUBSTITUTE(SUBSTITUTE(SUBSTITUTE(SUBSTITUTE(TRIM(E274),":",""),",",""),"'",""),"&amp;","and"),"£",""),"  "," ")," ","-")))</f>
        <v/>
      </c>
      <c r="G274">
        <f>IF(B274="Cluster",$E$3,IF(B274="Supporting",INDEX($E$3:$E$553,MATCH(C274,$C$3:$C$553,0)),""))</f>
        <v/>
      </c>
      <c r="H274">
        <f>IF(B274="Supporting",IFERROR(INDEX($E$3:$E$553,1+Entity!$B$14+INDEX(Values!$O$3:$O$502,P274)),""),IF(B274="Cluster",IF(Entity!$B$14&lt;2,"",INDEX($E$3:$E$553,IF(A274-1=Entity!$B$14,2,A274+1))),""))</f>
        <v/>
      </c>
      <c r="I274">
        <f>IF(B274="Pillar",Entity!$B$14&amp;" cluster pages",IF(B274="Cluster",(COUNTIF($C$3:$C$553,SUBSTITUTE(SUBSTITUTE(C274,"?","~?"),"*","~*"))-1)&amp;" supporting pages",""))</f>
        <v/>
      </c>
      <c r="J274">
        <f>IF(B274="Pillar","Informational",IF(OR(B274="Cluster",B274="Supporting"),INDEX(Attributes!$D$3:$D$52,Q274)&amp;"",""))</f>
        <v/>
      </c>
      <c r="K274">
        <f>IF(B274="","",IF(B274="Pillar","Pillar guide (entity hub)",IF(B274="Cluster","Hub page for this attribute",IF(INDEX(Values!$C$3:$C$502,P274)="Yes","Entity page (profile of the sub-entity)",IFERROR(INDEX(Lists!$B$3:$B$6,MATCH(J274,Lists!$A$3:$A$6,0)),"Article")))))</f>
        <v/>
      </c>
      <c r="L274">
        <f>IF(B274="Pillar",Entity!$B$6&amp;"",IF(B274="Cluster",INDEX(Attributes!$I$3:$I$52,Q274)&amp;"",IF(B274="Supporting",INDEX(Values!$F$3:$F$502,P274)&amp;"","")))</f>
        <v/>
      </c>
      <c r="M274">
        <f>IF(B274="","",IF(L274&lt;&gt;"","Covered","Gap"))</f>
        <v/>
      </c>
      <c r="N274">
        <f>IF(B274="Pillar",SUMIFS(Values!$E$3:$E$502,Values!$I$3:$I$502,"Yes"),IF(B274="Cluster",SUMIFS(Values!$E$3:$E$502,Values!$A$3:$A$502,SUBSTITUTE(SUBSTITUTE(C274,"?","~?"),"*","~*"),Values!$I$3:$I$502,"Yes"),IF(B274="Supporting",N(INDEX(Values!$E$3:$E$502,P274)),"")))</f>
        <v/>
      </c>
      <c r="O274">
        <f>IF(B274="","",IF(B274="Pillar",100,IF(B274="Cluster",N(INDEX(Attributes!$E$3:$E$52,Q274))*25+IF(M274="Gap",10,0),N(INDEX(Attributes!$E$3:$E$52,Q274))*20+MIN(20,ROUND(LOG10(N(N274)+1)*5,0))+IF(M274="Gap",10,0)+IF(INDEX(Values!$D$3:$D$502,P274)="Yes",5,0))))</f>
        <v/>
      </c>
      <c r="P274">
        <f>IF(B274="Supporting",MATCH(A274-1-Entity!$B$14,Values!$J$3:$J$502,0),"")</f>
        <v/>
      </c>
      <c r="Q274">
        <f>IF(C274="","",MATCH(C274,Attributes!$A$3:$A$52,0))</f>
        <v/>
      </c>
      <c r="R274">
        <f>IF(B274="Pillar",SUBSTITUTE(Entity!$B$7,"{entity}",LOWER(Entity!$B$3)),IF(B274="Cluster",IF(INDEX(Attributes!$G$3:$G$52,Q274)&lt;&gt;"",INDEX(Attributes!$G$3:$G$52,Q274),SUBSTITUTE(SUBSTITUTE(Entity!$B$8,"{entity}",LOWER(Entity!$B$3)),"{attribute}",LOWER(C274))),IF(B274="Supporting",SUBSTITUTE(SUBSTITUTE(SUBSTITUTE(IF(INDEX(Attributes!$H$3:$H$52,Q274)&lt;&gt;"",INDEX(Attributes!$H$3:$H$52,Q274),Entity!$B$9),"{entity}",LOWER(Entity!$B$3)),"{value}",D274),"{attribute}",LOWER(C274)),"")))</f>
        <v/>
      </c>
    </row>
    <row r="275">
      <c r="A275">
        <f>ROW()-2</f>
        <v/>
      </c>
      <c r="B275">
        <f>IF(A275=1,"Pillar",IF(A275&lt;=1+Entity!$B$14,"Cluster",IF(A275&lt;=1+Entity!$B$14+Entity!$B$15,"Supporting","")))</f>
        <v/>
      </c>
      <c r="C275">
        <f>IF(B275="Cluster",INDEX(Attributes!$A$3:$A$52,MATCH(A275-1,Attributes!$P$3:$P$52,0)),IF(B275="Supporting",INDEX(Values!$A$3:$A$502,P275),""))</f>
        <v/>
      </c>
      <c r="D275">
        <f>IF(B275="Supporting",INDEX(Values!$B$3:$B$502,P275),"")</f>
        <v/>
      </c>
      <c r="E275">
        <f>IF(R275="","",UPPER(LEFT(R275,1))&amp;MID(R275,2,500))</f>
        <v/>
      </c>
      <c r="F275">
        <f>IF(E275="","",LOWER(SUBSTITUTE(SUBSTITUTE(SUBSTITUTE(SUBSTITUTE(SUBSTITUTE(SUBSTITUTE(SUBSTITUTE(TRIM(E275),":",""),",",""),"'",""),"&amp;","and"),"£",""),"  "," ")," ","-")))</f>
        <v/>
      </c>
      <c r="G275">
        <f>IF(B275="Cluster",$E$3,IF(B275="Supporting",INDEX($E$3:$E$553,MATCH(C275,$C$3:$C$553,0)),""))</f>
        <v/>
      </c>
      <c r="H275">
        <f>IF(B275="Supporting",IFERROR(INDEX($E$3:$E$553,1+Entity!$B$14+INDEX(Values!$O$3:$O$502,P275)),""),IF(B275="Cluster",IF(Entity!$B$14&lt;2,"",INDEX($E$3:$E$553,IF(A275-1=Entity!$B$14,2,A275+1))),""))</f>
        <v/>
      </c>
      <c r="I275">
        <f>IF(B275="Pillar",Entity!$B$14&amp;" cluster pages",IF(B275="Cluster",(COUNTIF($C$3:$C$553,SUBSTITUTE(SUBSTITUTE(C275,"?","~?"),"*","~*"))-1)&amp;" supporting pages",""))</f>
        <v/>
      </c>
      <c r="J275">
        <f>IF(B275="Pillar","Informational",IF(OR(B275="Cluster",B275="Supporting"),INDEX(Attributes!$D$3:$D$52,Q275)&amp;"",""))</f>
        <v/>
      </c>
      <c r="K275">
        <f>IF(B275="","",IF(B275="Pillar","Pillar guide (entity hub)",IF(B275="Cluster","Hub page for this attribute",IF(INDEX(Values!$C$3:$C$502,P275)="Yes","Entity page (profile of the sub-entity)",IFERROR(INDEX(Lists!$B$3:$B$6,MATCH(J275,Lists!$A$3:$A$6,0)),"Article")))))</f>
        <v/>
      </c>
      <c r="L275">
        <f>IF(B275="Pillar",Entity!$B$6&amp;"",IF(B275="Cluster",INDEX(Attributes!$I$3:$I$52,Q275)&amp;"",IF(B275="Supporting",INDEX(Values!$F$3:$F$502,P275)&amp;"","")))</f>
        <v/>
      </c>
      <c r="M275">
        <f>IF(B275="","",IF(L275&lt;&gt;"","Covered","Gap"))</f>
        <v/>
      </c>
      <c r="N275">
        <f>IF(B275="Pillar",SUMIFS(Values!$E$3:$E$502,Values!$I$3:$I$502,"Yes"),IF(B275="Cluster",SUMIFS(Values!$E$3:$E$502,Values!$A$3:$A$502,SUBSTITUTE(SUBSTITUTE(C275,"?","~?"),"*","~*"),Values!$I$3:$I$502,"Yes"),IF(B275="Supporting",N(INDEX(Values!$E$3:$E$502,P275)),"")))</f>
        <v/>
      </c>
      <c r="O275">
        <f>IF(B275="","",IF(B275="Pillar",100,IF(B275="Cluster",N(INDEX(Attributes!$E$3:$E$52,Q275))*25+IF(M275="Gap",10,0),N(INDEX(Attributes!$E$3:$E$52,Q275))*20+MIN(20,ROUND(LOG10(N(N275)+1)*5,0))+IF(M275="Gap",10,0)+IF(INDEX(Values!$D$3:$D$502,P275)="Yes",5,0))))</f>
        <v/>
      </c>
      <c r="P275">
        <f>IF(B275="Supporting",MATCH(A275-1-Entity!$B$14,Values!$J$3:$J$502,0),"")</f>
        <v/>
      </c>
      <c r="Q275">
        <f>IF(C275="","",MATCH(C275,Attributes!$A$3:$A$52,0))</f>
        <v/>
      </c>
      <c r="R275">
        <f>IF(B275="Pillar",SUBSTITUTE(Entity!$B$7,"{entity}",LOWER(Entity!$B$3)),IF(B275="Cluster",IF(INDEX(Attributes!$G$3:$G$52,Q275)&lt;&gt;"",INDEX(Attributes!$G$3:$G$52,Q275),SUBSTITUTE(SUBSTITUTE(Entity!$B$8,"{entity}",LOWER(Entity!$B$3)),"{attribute}",LOWER(C275))),IF(B275="Supporting",SUBSTITUTE(SUBSTITUTE(SUBSTITUTE(IF(INDEX(Attributes!$H$3:$H$52,Q275)&lt;&gt;"",INDEX(Attributes!$H$3:$H$52,Q275),Entity!$B$9),"{entity}",LOWER(Entity!$B$3)),"{value}",D275),"{attribute}",LOWER(C275)),"")))</f>
        <v/>
      </c>
    </row>
    <row r="276">
      <c r="A276">
        <f>ROW()-2</f>
        <v/>
      </c>
      <c r="B276">
        <f>IF(A276=1,"Pillar",IF(A276&lt;=1+Entity!$B$14,"Cluster",IF(A276&lt;=1+Entity!$B$14+Entity!$B$15,"Supporting","")))</f>
        <v/>
      </c>
      <c r="C276">
        <f>IF(B276="Cluster",INDEX(Attributes!$A$3:$A$52,MATCH(A276-1,Attributes!$P$3:$P$52,0)),IF(B276="Supporting",INDEX(Values!$A$3:$A$502,P276),""))</f>
        <v/>
      </c>
      <c r="D276">
        <f>IF(B276="Supporting",INDEX(Values!$B$3:$B$502,P276),"")</f>
        <v/>
      </c>
      <c r="E276">
        <f>IF(R276="","",UPPER(LEFT(R276,1))&amp;MID(R276,2,500))</f>
        <v/>
      </c>
      <c r="F276">
        <f>IF(E276="","",LOWER(SUBSTITUTE(SUBSTITUTE(SUBSTITUTE(SUBSTITUTE(SUBSTITUTE(SUBSTITUTE(SUBSTITUTE(TRIM(E276),":",""),",",""),"'",""),"&amp;","and"),"£",""),"  "," ")," ","-")))</f>
        <v/>
      </c>
      <c r="G276">
        <f>IF(B276="Cluster",$E$3,IF(B276="Supporting",INDEX($E$3:$E$553,MATCH(C276,$C$3:$C$553,0)),""))</f>
        <v/>
      </c>
      <c r="H276">
        <f>IF(B276="Supporting",IFERROR(INDEX($E$3:$E$553,1+Entity!$B$14+INDEX(Values!$O$3:$O$502,P276)),""),IF(B276="Cluster",IF(Entity!$B$14&lt;2,"",INDEX($E$3:$E$553,IF(A276-1=Entity!$B$14,2,A276+1))),""))</f>
        <v/>
      </c>
      <c r="I276">
        <f>IF(B276="Pillar",Entity!$B$14&amp;" cluster pages",IF(B276="Cluster",(COUNTIF($C$3:$C$553,SUBSTITUTE(SUBSTITUTE(C276,"?","~?"),"*","~*"))-1)&amp;" supporting pages",""))</f>
        <v/>
      </c>
      <c r="J276">
        <f>IF(B276="Pillar","Informational",IF(OR(B276="Cluster",B276="Supporting"),INDEX(Attributes!$D$3:$D$52,Q276)&amp;"",""))</f>
        <v/>
      </c>
      <c r="K276">
        <f>IF(B276="","",IF(B276="Pillar","Pillar guide (entity hub)",IF(B276="Cluster","Hub page for this attribute",IF(INDEX(Values!$C$3:$C$502,P276)="Yes","Entity page (profile of the sub-entity)",IFERROR(INDEX(Lists!$B$3:$B$6,MATCH(J276,Lists!$A$3:$A$6,0)),"Article")))))</f>
        <v/>
      </c>
      <c r="L276">
        <f>IF(B276="Pillar",Entity!$B$6&amp;"",IF(B276="Cluster",INDEX(Attributes!$I$3:$I$52,Q276)&amp;"",IF(B276="Supporting",INDEX(Values!$F$3:$F$502,P276)&amp;"","")))</f>
        <v/>
      </c>
      <c r="M276">
        <f>IF(B276="","",IF(L276&lt;&gt;"","Covered","Gap"))</f>
        <v/>
      </c>
      <c r="N276">
        <f>IF(B276="Pillar",SUMIFS(Values!$E$3:$E$502,Values!$I$3:$I$502,"Yes"),IF(B276="Cluster",SUMIFS(Values!$E$3:$E$502,Values!$A$3:$A$502,SUBSTITUTE(SUBSTITUTE(C276,"?","~?"),"*","~*"),Values!$I$3:$I$502,"Yes"),IF(B276="Supporting",N(INDEX(Values!$E$3:$E$502,P276)),"")))</f>
        <v/>
      </c>
      <c r="O276">
        <f>IF(B276="","",IF(B276="Pillar",100,IF(B276="Cluster",N(INDEX(Attributes!$E$3:$E$52,Q276))*25+IF(M276="Gap",10,0),N(INDEX(Attributes!$E$3:$E$52,Q276))*20+MIN(20,ROUND(LOG10(N(N276)+1)*5,0))+IF(M276="Gap",10,0)+IF(INDEX(Values!$D$3:$D$502,P276)="Yes",5,0))))</f>
        <v/>
      </c>
      <c r="P276">
        <f>IF(B276="Supporting",MATCH(A276-1-Entity!$B$14,Values!$J$3:$J$502,0),"")</f>
        <v/>
      </c>
      <c r="Q276">
        <f>IF(C276="","",MATCH(C276,Attributes!$A$3:$A$52,0))</f>
        <v/>
      </c>
      <c r="R276">
        <f>IF(B276="Pillar",SUBSTITUTE(Entity!$B$7,"{entity}",LOWER(Entity!$B$3)),IF(B276="Cluster",IF(INDEX(Attributes!$G$3:$G$52,Q276)&lt;&gt;"",INDEX(Attributes!$G$3:$G$52,Q276),SUBSTITUTE(SUBSTITUTE(Entity!$B$8,"{entity}",LOWER(Entity!$B$3)),"{attribute}",LOWER(C276))),IF(B276="Supporting",SUBSTITUTE(SUBSTITUTE(SUBSTITUTE(IF(INDEX(Attributes!$H$3:$H$52,Q276)&lt;&gt;"",INDEX(Attributes!$H$3:$H$52,Q276),Entity!$B$9),"{entity}",LOWER(Entity!$B$3)),"{value}",D276),"{attribute}",LOWER(C276)),"")))</f>
        <v/>
      </c>
    </row>
    <row r="277">
      <c r="A277">
        <f>ROW()-2</f>
        <v/>
      </c>
      <c r="B277">
        <f>IF(A277=1,"Pillar",IF(A277&lt;=1+Entity!$B$14,"Cluster",IF(A277&lt;=1+Entity!$B$14+Entity!$B$15,"Supporting","")))</f>
        <v/>
      </c>
      <c r="C277">
        <f>IF(B277="Cluster",INDEX(Attributes!$A$3:$A$52,MATCH(A277-1,Attributes!$P$3:$P$52,0)),IF(B277="Supporting",INDEX(Values!$A$3:$A$502,P277),""))</f>
        <v/>
      </c>
      <c r="D277">
        <f>IF(B277="Supporting",INDEX(Values!$B$3:$B$502,P277),"")</f>
        <v/>
      </c>
      <c r="E277">
        <f>IF(R277="","",UPPER(LEFT(R277,1))&amp;MID(R277,2,500))</f>
        <v/>
      </c>
      <c r="F277">
        <f>IF(E277="","",LOWER(SUBSTITUTE(SUBSTITUTE(SUBSTITUTE(SUBSTITUTE(SUBSTITUTE(SUBSTITUTE(SUBSTITUTE(TRIM(E277),":",""),",",""),"'",""),"&amp;","and"),"£",""),"  "," ")," ","-")))</f>
        <v/>
      </c>
      <c r="G277">
        <f>IF(B277="Cluster",$E$3,IF(B277="Supporting",INDEX($E$3:$E$553,MATCH(C277,$C$3:$C$553,0)),""))</f>
        <v/>
      </c>
      <c r="H277">
        <f>IF(B277="Supporting",IFERROR(INDEX($E$3:$E$553,1+Entity!$B$14+INDEX(Values!$O$3:$O$502,P277)),""),IF(B277="Cluster",IF(Entity!$B$14&lt;2,"",INDEX($E$3:$E$553,IF(A277-1=Entity!$B$14,2,A277+1))),""))</f>
        <v/>
      </c>
      <c r="I277">
        <f>IF(B277="Pillar",Entity!$B$14&amp;" cluster pages",IF(B277="Cluster",(COUNTIF($C$3:$C$553,SUBSTITUTE(SUBSTITUTE(C277,"?","~?"),"*","~*"))-1)&amp;" supporting pages",""))</f>
        <v/>
      </c>
      <c r="J277">
        <f>IF(B277="Pillar","Informational",IF(OR(B277="Cluster",B277="Supporting"),INDEX(Attributes!$D$3:$D$52,Q277)&amp;"",""))</f>
        <v/>
      </c>
      <c r="K277">
        <f>IF(B277="","",IF(B277="Pillar","Pillar guide (entity hub)",IF(B277="Cluster","Hub page for this attribute",IF(INDEX(Values!$C$3:$C$502,P277)="Yes","Entity page (profile of the sub-entity)",IFERROR(INDEX(Lists!$B$3:$B$6,MATCH(J277,Lists!$A$3:$A$6,0)),"Article")))))</f>
        <v/>
      </c>
      <c r="L277">
        <f>IF(B277="Pillar",Entity!$B$6&amp;"",IF(B277="Cluster",INDEX(Attributes!$I$3:$I$52,Q277)&amp;"",IF(B277="Supporting",INDEX(Values!$F$3:$F$502,P277)&amp;"","")))</f>
        <v/>
      </c>
      <c r="M277">
        <f>IF(B277="","",IF(L277&lt;&gt;"","Covered","Gap"))</f>
        <v/>
      </c>
      <c r="N277">
        <f>IF(B277="Pillar",SUMIFS(Values!$E$3:$E$502,Values!$I$3:$I$502,"Yes"),IF(B277="Cluster",SUMIFS(Values!$E$3:$E$502,Values!$A$3:$A$502,SUBSTITUTE(SUBSTITUTE(C277,"?","~?"),"*","~*"),Values!$I$3:$I$502,"Yes"),IF(B277="Supporting",N(INDEX(Values!$E$3:$E$502,P277)),"")))</f>
        <v/>
      </c>
      <c r="O277">
        <f>IF(B277="","",IF(B277="Pillar",100,IF(B277="Cluster",N(INDEX(Attributes!$E$3:$E$52,Q277))*25+IF(M277="Gap",10,0),N(INDEX(Attributes!$E$3:$E$52,Q277))*20+MIN(20,ROUND(LOG10(N(N277)+1)*5,0))+IF(M277="Gap",10,0)+IF(INDEX(Values!$D$3:$D$502,P277)="Yes",5,0))))</f>
        <v/>
      </c>
      <c r="P277">
        <f>IF(B277="Supporting",MATCH(A277-1-Entity!$B$14,Values!$J$3:$J$502,0),"")</f>
        <v/>
      </c>
      <c r="Q277">
        <f>IF(C277="","",MATCH(C277,Attributes!$A$3:$A$52,0))</f>
        <v/>
      </c>
      <c r="R277">
        <f>IF(B277="Pillar",SUBSTITUTE(Entity!$B$7,"{entity}",LOWER(Entity!$B$3)),IF(B277="Cluster",IF(INDEX(Attributes!$G$3:$G$52,Q277)&lt;&gt;"",INDEX(Attributes!$G$3:$G$52,Q277),SUBSTITUTE(SUBSTITUTE(Entity!$B$8,"{entity}",LOWER(Entity!$B$3)),"{attribute}",LOWER(C277))),IF(B277="Supporting",SUBSTITUTE(SUBSTITUTE(SUBSTITUTE(IF(INDEX(Attributes!$H$3:$H$52,Q277)&lt;&gt;"",INDEX(Attributes!$H$3:$H$52,Q277),Entity!$B$9),"{entity}",LOWER(Entity!$B$3)),"{value}",D277),"{attribute}",LOWER(C277)),"")))</f>
        <v/>
      </c>
    </row>
    <row r="278">
      <c r="A278">
        <f>ROW()-2</f>
        <v/>
      </c>
      <c r="B278">
        <f>IF(A278=1,"Pillar",IF(A278&lt;=1+Entity!$B$14,"Cluster",IF(A278&lt;=1+Entity!$B$14+Entity!$B$15,"Supporting","")))</f>
        <v/>
      </c>
      <c r="C278">
        <f>IF(B278="Cluster",INDEX(Attributes!$A$3:$A$52,MATCH(A278-1,Attributes!$P$3:$P$52,0)),IF(B278="Supporting",INDEX(Values!$A$3:$A$502,P278),""))</f>
        <v/>
      </c>
      <c r="D278">
        <f>IF(B278="Supporting",INDEX(Values!$B$3:$B$502,P278),"")</f>
        <v/>
      </c>
      <c r="E278">
        <f>IF(R278="","",UPPER(LEFT(R278,1))&amp;MID(R278,2,500))</f>
        <v/>
      </c>
      <c r="F278">
        <f>IF(E278="","",LOWER(SUBSTITUTE(SUBSTITUTE(SUBSTITUTE(SUBSTITUTE(SUBSTITUTE(SUBSTITUTE(SUBSTITUTE(TRIM(E278),":",""),",",""),"'",""),"&amp;","and"),"£",""),"  "," ")," ","-")))</f>
        <v/>
      </c>
      <c r="G278">
        <f>IF(B278="Cluster",$E$3,IF(B278="Supporting",INDEX($E$3:$E$553,MATCH(C278,$C$3:$C$553,0)),""))</f>
        <v/>
      </c>
      <c r="H278">
        <f>IF(B278="Supporting",IFERROR(INDEX($E$3:$E$553,1+Entity!$B$14+INDEX(Values!$O$3:$O$502,P278)),""),IF(B278="Cluster",IF(Entity!$B$14&lt;2,"",INDEX($E$3:$E$553,IF(A278-1=Entity!$B$14,2,A278+1))),""))</f>
        <v/>
      </c>
      <c r="I278">
        <f>IF(B278="Pillar",Entity!$B$14&amp;" cluster pages",IF(B278="Cluster",(COUNTIF($C$3:$C$553,SUBSTITUTE(SUBSTITUTE(C278,"?","~?"),"*","~*"))-1)&amp;" supporting pages",""))</f>
        <v/>
      </c>
      <c r="J278">
        <f>IF(B278="Pillar","Informational",IF(OR(B278="Cluster",B278="Supporting"),INDEX(Attributes!$D$3:$D$52,Q278)&amp;"",""))</f>
        <v/>
      </c>
      <c r="K278">
        <f>IF(B278="","",IF(B278="Pillar","Pillar guide (entity hub)",IF(B278="Cluster","Hub page for this attribute",IF(INDEX(Values!$C$3:$C$502,P278)="Yes","Entity page (profile of the sub-entity)",IFERROR(INDEX(Lists!$B$3:$B$6,MATCH(J278,Lists!$A$3:$A$6,0)),"Article")))))</f>
        <v/>
      </c>
      <c r="L278">
        <f>IF(B278="Pillar",Entity!$B$6&amp;"",IF(B278="Cluster",INDEX(Attributes!$I$3:$I$52,Q278)&amp;"",IF(B278="Supporting",INDEX(Values!$F$3:$F$502,P278)&amp;"","")))</f>
        <v/>
      </c>
      <c r="M278">
        <f>IF(B278="","",IF(L278&lt;&gt;"","Covered","Gap"))</f>
        <v/>
      </c>
      <c r="N278">
        <f>IF(B278="Pillar",SUMIFS(Values!$E$3:$E$502,Values!$I$3:$I$502,"Yes"),IF(B278="Cluster",SUMIFS(Values!$E$3:$E$502,Values!$A$3:$A$502,SUBSTITUTE(SUBSTITUTE(C278,"?","~?"),"*","~*"),Values!$I$3:$I$502,"Yes"),IF(B278="Supporting",N(INDEX(Values!$E$3:$E$502,P278)),"")))</f>
        <v/>
      </c>
      <c r="O278">
        <f>IF(B278="","",IF(B278="Pillar",100,IF(B278="Cluster",N(INDEX(Attributes!$E$3:$E$52,Q278))*25+IF(M278="Gap",10,0),N(INDEX(Attributes!$E$3:$E$52,Q278))*20+MIN(20,ROUND(LOG10(N(N278)+1)*5,0))+IF(M278="Gap",10,0)+IF(INDEX(Values!$D$3:$D$502,P278)="Yes",5,0))))</f>
        <v/>
      </c>
      <c r="P278">
        <f>IF(B278="Supporting",MATCH(A278-1-Entity!$B$14,Values!$J$3:$J$502,0),"")</f>
        <v/>
      </c>
      <c r="Q278">
        <f>IF(C278="","",MATCH(C278,Attributes!$A$3:$A$52,0))</f>
        <v/>
      </c>
      <c r="R278">
        <f>IF(B278="Pillar",SUBSTITUTE(Entity!$B$7,"{entity}",LOWER(Entity!$B$3)),IF(B278="Cluster",IF(INDEX(Attributes!$G$3:$G$52,Q278)&lt;&gt;"",INDEX(Attributes!$G$3:$G$52,Q278),SUBSTITUTE(SUBSTITUTE(Entity!$B$8,"{entity}",LOWER(Entity!$B$3)),"{attribute}",LOWER(C278))),IF(B278="Supporting",SUBSTITUTE(SUBSTITUTE(SUBSTITUTE(IF(INDEX(Attributes!$H$3:$H$52,Q278)&lt;&gt;"",INDEX(Attributes!$H$3:$H$52,Q278),Entity!$B$9),"{entity}",LOWER(Entity!$B$3)),"{value}",D278),"{attribute}",LOWER(C278)),"")))</f>
        <v/>
      </c>
    </row>
    <row r="279">
      <c r="A279">
        <f>ROW()-2</f>
        <v/>
      </c>
      <c r="B279">
        <f>IF(A279=1,"Pillar",IF(A279&lt;=1+Entity!$B$14,"Cluster",IF(A279&lt;=1+Entity!$B$14+Entity!$B$15,"Supporting","")))</f>
        <v/>
      </c>
      <c r="C279">
        <f>IF(B279="Cluster",INDEX(Attributes!$A$3:$A$52,MATCH(A279-1,Attributes!$P$3:$P$52,0)),IF(B279="Supporting",INDEX(Values!$A$3:$A$502,P279),""))</f>
        <v/>
      </c>
      <c r="D279">
        <f>IF(B279="Supporting",INDEX(Values!$B$3:$B$502,P279),"")</f>
        <v/>
      </c>
      <c r="E279">
        <f>IF(R279="","",UPPER(LEFT(R279,1))&amp;MID(R279,2,500))</f>
        <v/>
      </c>
      <c r="F279">
        <f>IF(E279="","",LOWER(SUBSTITUTE(SUBSTITUTE(SUBSTITUTE(SUBSTITUTE(SUBSTITUTE(SUBSTITUTE(SUBSTITUTE(TRIM(E279),":",""),",",""),"'",""),"&amp;","and"),"£",""),"  "," ")," ","-")))</f>
        <v/>
      </c>
      <c r="G279">
        <f>IF(B279="Cluster",$E$3,IF(B279="Supporting",INDEX($E$3:$E$553,MATCH(C279,$C$3:$C$553,0)),""))</f>
        <v/>
      </c>
      <c r="H279">
        <f>IF(B279="Supporting",IFERROR(INDEX($E$3:$E$553,1+Entity!$B$14+INDEX(Values!$O$3:$O$502,P279)),""),IF(B279="Cluster",IF(Entity!$B$14&lt;2,"",INDEX($E$3:$E$553,IF(A279-1=Entity!$B$14,2,A279+1))),""))</f>
        <v/>
      </c>
      <c r="I279">
        <f>IF(B279="Pillar",Entity!$B$14&amp;" cluster pages",IF(B279="Cluster",(COUNTIF($C$3:$C$553,SUBSTITUTE(SUBSTITUTE(C279,"?","~?"),"*","~*"))-1)&amp;" supporting pages",""))</f>
        <v/>
      </c>
      <c r="J279">
        <f>IF(B279="Pillar","Informational",IF(OR(B279="Cluster",B279="Supporting"),INDEX(Attributes!$D$3:$D$52,Q279)&amp;"",""))</f>
        <v/>
      </c>
      <c r="K279">
        <f>IF(B279="","",IF(B279="Pillar","Pillar guide (entity hub)",IF(B279="Cluster","Hub page for this attribute",IF(INDEX(Values!$C$3:$C$502,P279)="Yes","Entity page (profile of the sub-entity)",IFERROR(INDEX(Lists!$B$3:$B$6,MATCH(J279,Lists!$A$3:$A$6,0)),"Article")))))</f>
        <v/>
      </c>
      <c r="L279">
        <f>IF(B279="Pillar",Entity!$B$6&amp;"",IF(B279="Cluster",INDEX(Attributes!$I$3:$I$52,Q279)&amp;"",IF(B279="Supporting",INDEX(Values!$F$3:$F$502,P279)&amp;"","")))</f>
        <v/>
      </c>
      <c r="M279">
        <f>IF(B279="","",IF(L279&lt;&gt;"","Covered","Gap"))</f>
        <v/>
      </c>
      <c r="N279">
        <f>IF(B279="Pillar",SUMIFS(Values!$E$3:$E$502,Values!$I$3:$I$502,"Yes"),IF(B279="Cluster",SUMIFS(Values!$E$3:$E$502,Values!$A$3:$A$502,SUBSTITUTE(SUBSTITUTE(C279,"?","~?"),"*","~*"),Values!$I$3:$I$502,"Yes"),IF(B279="Supporting",N(INDEX(Values!$E$3:$E$502,P279)),"")))</f>
        <v/>
      </c>
      <c r="O279">
        <f>IF(B279="","",IF(B279="Pillar",100,IF(B279="Cluster",N(INDEX(Attributes!$E$3:$E$52,Q279))*25+IF(M279="Gap",10,0),N(INDEX(Attributes!$E$3:$E$52,Q279))*20+MIN(20,ROUND(LOG10(N(N279)+1)*5,0))+IF(M279="Gap",10,0)+IF(INDEX(Values!$D$3:$D$502,P279)="Yes",5,0))))</f>
        <v/>
      </c>
      <c r="P279">
        <f>IF(B279="Supporting",MATCH(A279-1-Entity!$B$14,Values!$J$3:$J$502,0),"")</f>
        <v/>
      </c>
      <c r="Q279">
        <f>IF(C279="","",MATCH(C279,Attributes!$A$3:$A$52,0))</f>
        <v/>
      </c>
      <c r="R279">
        <f>IF(B279="Pillar",SUBSTITUTE(Entity!$B$7,"{entity}",LOWER(Entity!$B$3)),IF(B279="Cluster",IF(INDEX(Attributes!$G$3:$G$52,Q279)&lt;&gt;"",INDEX(Attributes!$G$3:$G$52,Q279),SUBSTITUTE(SUBSTITUTE(Entity!$B$8,"{entity}",LOWER(Entity!$B$3)),"{attribute}",LOWER(C279))),IF(B279="Supporting",SUBSTITUTE(SUBSTITUTE(SUBSTITUTE(IF(INDEX(Attributes!$H$3:$H$52,Q279)&lt;&gt;"",INDEX(Attributes!$H$3:$H$52,Q279),Entity!$B$9),"{entity}",LOWER(Entity!$B$3)),"{value}",D279),"{attribute}",LOWER(C279)),"")))</f>
        <v/>
      </c>
    </row>
    <row r="280">
      <c r="A280">
        <f>ROW()-2</f>
        <v/>
      </c>
      <c r="B280">
        <f>IF(A280=1,"Pillar",IF(A280&lt;=1+Entity!$B$14,"Cluster",IF(A280&lt;=1+Entity!$B$14+Entity!$B$15,"Supporting","")))</f>
        <v/>
      </c>
      <c r="C280">
        <f>IF(B280="Cluster",INDEX(Attributes!$A$3:$A$52,MATCH(A280-1,Attributes!$P$3:$P$52,0)),IF(B280="Supporting",INDEX(Values!$A$3:$A$502,P280),""))</f>
        <v/>
      </c>
      <c r="D280">
        <f>IF(B280="Supporting",INDEX(Values!$B$3:$B$502,P280),"")</f>
        <v/>
      </c>
      <c r="E280">
        <f>IF(R280="","",UPPER(LEFT(R280,1))&amp;MID(R280,2,500))</f>
        <v/>
      </c>
      <c r="F280">
        <f>IF(E280="","",LOWER(SUBSTITUTE(SUBSTITUTE(SUBSTITUTE(SUBSTITUTE(SUBSTITUTE(SUBSTITUTE(SUBSTITUTE(TRIM(E280),":",""),",",""),"'",""),"&amp;","and"),"£",""),"  "," ")," ","-")))</f>
        <v/>
      </c>
      <c r="G280">
        <f>IF(B280="Cluster",$E$3,IF(B280="Supporting",INDEX($E$3:$E$553,MATCH(C280,$C$3:$C$553,0)),""))</f>
        <v/>
      </c>
      <c r="H280">
        <f>IF(B280="Supporting",IFERROR(INDEX($E$3:$E$553,1+Entity!$B$14+INDEX(Values!$O$3:$O$502,P280)),""),IF(B280="Cluster",IF(Entity!$B$14&lt;2,"",INDEX($E$3:$E$553,IF(A280-1=Entity!$B$14,2,A280+1))),""))</f>
        <v/>
      </c>
      <c r="I280">
        <f>IF(B280="Pillar",Entity!$B$14&amp;" cluster pages",IF(B280="Cluster",(COUNTIF($C$3:$C$553,SUBSTITUTE(SUBSTITUTE(C280,"?","~?"),"*","~*"))-1)&amp;" supporting pages",""))</f>
        <v/>
      </c>
      <c r="J280">
        <f>IF(B280="Pillar","Informational",IF(OR(B280="Cluster",B280="Supporting"),INDEX(Attributes!$D$3:$D$52,Q280)&amp;"",""))</f>
        <v/>
      </c>
      <c r="K280">
        <f>IF(B280="","",IF(B280="Pillar","Pillar guide (entity hub)",IF(B280="Cluster","Hub page for this attribute",IF(INDEX(Values!$C$3:$C$502,P280)="Yes","Entity page (profile of the sub-entity)",IFERROR(INDEX(Lists!$B$3:$B$6,MATCH(J280,Lists!$A$3:$A$6,0)),"Article")))))</f>
        <v/>
      </c>
      <c r="L280">
        <f>IF(B280="Pillar",Entity!$B$6&amp;"",IF(B280="Cluster",INDEX(Attributes!$I$3:$I$52,Q280)&amp;"",IF(B280="Supporting",INDEX(Values!$F$3:$F$502,P280)&amp;"","")))</f>
        <v/>
      </c>
      <c r="M280">
        <f>IF(B280="","",IF(L280&lt;&gt;"","Covered","Gap"))</f>
        <v/>
      </c>
      <c r="N280">
        <f>IF(B280="Pillar",SUMIFS(Values!$E$3:$E$502,Values!$I$3:$I$502,"Yes"),IF(B280="Cluster",SUMIFS(Values!$E$3:$E$502,Values!$A$3:$A$502,SUBSTITUTE(SUBSTITUTE(C280,"?","~?"),"*","~*"),Values!$I$3:$I$502,"Yes"),IF(B280="Supporting",N(INDEX(Values!$E$3:$E$502,P280)),"")))</f>
        <v/>
      </c>
      <c r="O280">
        <f>IF(B280="","",IF(B280="Pillar",100,IF(B280="Cluster",N(INDEX(Attributes!$E$3:$E$52,Q280))*25+IF(M280="Gap",10,0),N(INDEX(Attributes!$E$3:$E$52,Q280))*20+MIN(20,ROUND(LOG10(N(N280)+1)*5,0))+IF(M280="Gap",10,0)+IF(INDEX(Values!$D$3:$D$502,P280)="Yes",5,0))))</f>
        <v/>
      </c>
      <c r="P280">
        <f>IF(B280="Supporting",MATCH(A280-1-Entity!$B$14,Values!$J$3:$J$502,0),"")</f>
        <v/>
      </c>
      <c r="Q280">
        <f>IF(C280="","",MATCH(C280,Attributes!$A$3:$A$52,0))</f>
        <v/>
      </c>
      <c r="R280">
        <f>IF(B280="Pillar",SUBSTITUTE(Entity!$B$7,"{entity}",LOWER(Entity!$B$3)),IF(B280="Cluster",IF(INDEX(Attributes!$G$3:$G$52,Q280)&lt;&gt;"",INDEX(Attributes!$G$3:$G$52,Q280),SUBSTITUTE(SUBSTITUTE(Entity!$B$8,"{entity}",LOWER(Entity!$B$3)),"{attribute}",LOWER(C280))),IF(B280="Supporting",SUBSTITUTE(SUBSTITUTE(SUBSTITUTE(IF(INDEX(Attributes!$H$3:$H$52,Q280)&lt;&gt;"",INDEX(Attributes!$H$3:$H$52,Q280),Entity!$B$9),"{entity}",LOWER(Entity!$B$3)),"{value}",D280),"{attribute}",LOWER(C280)),"")))</f>
        <v/>
      </c>
    </row>
    <row r="281">
      <c r="A281">
        <f>ROW()-2</f>
        <v/>
      </c>
      <c r="B281">
        <f>IF(A281=1,"Pillar",IF(A281&lt;=1+Entity!$B$14,"Cluster",IF(A281&lt;=1+Entity!$B$14+Entity!$B$15,"Supporting","")))</f>
        <v/>
      </c>
      <c r="C281">
        <f>IF(B281="Cluster",INDEX(Attributes!$A$3:$A$52,MATCH(A281-1,Attributes!$P$3:$P$52,0)),IF(B281="Supporting",INDEX(Values!$A$3:$A$502,P281),""))</f>
        <v/>
      </c>
      <c r="D281">
        <f>IF(B281="Supporting",INDEX(Values!$B$3:$B$502,P281),"")</f>
        <v/>
      </c>
      <c r="E281">
        <f>IF(R281="","",UPPER(LEFT(R281,1))&amp;MID(R281,2,500))</f>
        <v/>
      </c>
      <c r="F281">
        <f>IF(E281="","",LOWER(SUBSTITUTE(SUBSTITUTE(SUBSTITUTE(SUBSTITUTE(SUBSTITUTE(SUBSTITUTE(SUBSTITUTE(TRIM(E281),":",""),",",""),"'",""),"&amp;","and"),"£",""),"  "," ")," ","-")))</f>
        <v/>
      </c>
      <c r="G281">
        <f>IF(B281="Cluster",$E$3,IF(B281="Supporting",INDEX($E$3:$E$553,MATCH(C281,$C$3:$C$553,0)),""))</f>
        <v/>
      </c>
      <c r="H281">
        <f>IF(B281="Supporting",IFERROR(INDEX($E$3:$E$553,1+Entity!$B$14+INDEX(Values!$O$3:$O$502,P281)),""),IF(B281="Cluster",IF(Entity!$B$14&lt;2,"",INDEX($E$3:$E$553,IF(A281-1=Entity!$B$14,2,A281+1))),""))</f>
        <v/>
      </c>
      <c r="I281">
        <f>IF(B281="Pillar",Entity!$B$14&amp;" cluster pages",IF(B281="Cluster",(COUNTIF($C$3:$C$553,SUBSTITUTE(SUBSTITUTE(C281,"?","~?"),"*","~*"))-1)&amp;" supporting pages",""))</f>
        <v/>
      </c>
      <c r="J281">
        <f>IF(B281="Pillar","Informational",IF(OR(B281="Cluster",B281="Supporting"),INDEX(Attributes!$D$3:$D$52,Q281)&amp;"",""))</f>
        <v/>
      </c>
      <c r="K281">
        <f>IF(B281="","",IF(B281="Pillar","Pillar guide (entity hub)",IF(B281="Cluster","Hub page for this attribute",IF(INDEX(Values!$C$3:$C$502,P281)="Yes","Entity page (profile of the sub-entity)",IFERROR(INDEX(Lists!$B$3:$B$6,MATCH(J281,Lists!$A$3:$A$6,0)),"Article")))))</f>
        <v/>
      </c>
      <c r="L281">
        <f>IF(B281="Pillar",Entity!$B$6&amp;"",IF(B281="Cluster",INDEX(Attributes!$I$3:$I$52,Q281)&amp;"",IF(B281="Supporting",INDEX(Values!$F$3:$F$502,P281)&amp;"","")))</f>
        <v/>
      </c>
      <c r="M281">
        <f>IF(B281="","",IF(L281&lt;&gt;"","Covered","Gap"))</f>
        <v/>
      </c>
      <c r="N281">
        <f>IF(B281="Pillar",SUMIFS(Values!$E$3:$E$502,Values!$I$3:$I$502,"Yes"),IF(B281="Cluster",SUMIFS(Values!$E$3:$E$502,Values!$A$3:$A$502,SUBSTITUTE(SUBSTITUTE(C281,"?","~?"),"*","~*"),Values!$I$3:$I$502,"Yes"),IF(B281="Supporting",N(INDEX(Values!$E$3:$E$502,P281)),"")))</f>
        <v/>
      </c>
      <c r="O281">
        <f>IF(B281="","",IF(B281="Pillar",100,IF(B281="Cluster",N(INDEX(Attributes!$E$3:$E$52,Q281))*25+IF(M281="Gap",10,0),N(INDEX(Attributes!$E$3:$E$52,Q281))*20+MIN(20,ROUND(LOG10(N(N281)+1)*5,0))+IF(M281="Gap",10,0)+IF(INDEX(Values!$D$3:$D$502,P281)="Yes",5,0))))</f>
        <v/>
      </c>
      <c r="P281">
        <f>IF(B281="Supporting",MATCH(A281-1-Entity!$B$14,Values!$J$3:$J$502,0),"")</f>
        <v/>
      </c>
      <c r="Q281">
        <f>IF(C281="","",MATCH(C281,Attributes!$A$3:$A$52,0))</f>
        <v/>
      </c>
      <c r="R281">
        <f>IF(B281="Pillar",SUBSTITUTE(Entity!$B$7,"{entity}",LOWER(Entity!$B$3)),IF(B281="Cluster",IF(INDEX(Attributes!$G$3:$G$52,Q281)&lt;&gt;"",INDEX(Attributes!$G$3:$G$52,Q281),SUBSTITUTE(SUBSTITUTE(Entity!$B$8,"{entity}",LOWER(Entity!$B$3)),"{attribute}",LOWER(C281))),IF(B281="Supporting",SUBSTITUTE(SUBSTITUTE(SUBSTITUTE(IF(INDEX(Attributes!$H$3:$H$52,Q281)&lt;&gt;"",INDEX(Attributes!$H$3:$H$52,Q281),Entity!$B$9),"{entity}",LOWER(Entity!$B$3)),"{value}",D281),"{attribute}",LOWER(C281)),"")))</f>
        <v/>
      </c>
    </row>
    <row r="282">
      <c r="A282">
        <f>ROW()-2</f>
        <v/>
      </c>
      <c r="B282">
        <f>IF(A282=1,"Pillar",IF(A282&lt;=1+Entity!$B$14,"Cluster",IF(A282&lt;=1+Entity!$B$14+Entity!$B$15,"Supporting","")))</f>
        <v/>
      </c>
      <c r="C282">
        <f>IF(B282="Cluster",INDEX(Attributes!$A$3:$A$52,MATCH(A282-1,Attributes!$P$3:$P$52,0)),IF(B282="Supporting",INDEX(Values!$A$3:$A$502,P282),""))</f>
        <v/>
      </c>
      <c r="D282">
        <f>IF(B282="Supporting",INDEX(Values!$B$3:$B$502,P282),"")</f>
        <v/>
      </c>
      <c r="E282">
        <f>IF(R282="","",UPPER(LEFT(R282,1))&amp;MID(R282,2,500))</f>
        <v/>
      </c>
      <c r="F282">
        <f>IF(E282="","",LOWER(SUBSTITUTE(SUBSTITUTE(SUBSTITUTE(SUBSTITUTE(SUBSTITUTE(SUBSTITUTE(SUBSTITUTE(TRIM(E282),":",""),",",""),"'",""),"&amp;","and"),"£",""),"  "," ")," ","-")))</f>
        <v/>
      </c>
      <c r="G282">
        <f>IF(B282="Cluster",$E$3,IF(B282="Supporting",INDEX($E$3:$E$553,MATCH(C282,$C$3:$C$553,0)),""))</f>
        <v/>
      </c>
      <c r="H282">
        <f>IF(B282="Supporting",IFERROR(INDEX($E$3:$E$553,1+Entity!$B$14+INDEX(Values!$O$3:$O$502,P282)),""),IF(B282="Cluster",IF(Entity!$B$14&lt;2,"",INDEX($E$3:$E$553,IF(A282-1=Entity!$B$14,2,A282+1))),""))</f>
        <v/>
      </c>
      <c r="I282">
        <f>IF(B282="Pillar",Entity!$B$14&amp;" cluster pages",IF(B282="Cluster",(COUNTIF($C$3:$C$553,SUBSTITUTE(SUBSTITUTE(C282,"?","~?"),"*","~*"))-1)&amp;" supporting pages",""))</f>
        <v/>
      </c>
      <c r="J282">
        <f>IF(B282="Pillar","Informational",IF(OR(B282="Cluster",B282="Supporting"),INDEX(Attributes!$D$3:$D$52,Q282)&amp;"",""))</f>
        <v/>
      </c>
      <c r="K282">
        <f>IF(B282="","",IF(B282="Pillar","Pillar guide (entity hub)",IF(B282="Cluster","Hub page for this attribute",IF(INDEX(Values!$C$3:$C$502,P282)="Yes","Entity page (profile of the sub-entity)",IFERROR(INDEX(Lists!$B$3:$B$6,MATCH(J282,Lists!$A$3:$A$6,0)),"Article")))))</f>
        <v/>
      </c>
      <c r="L282">
        <f>IF(B282="Pillar",Entity!$B$6&amp;"",IF(B282="Cluster",INDEX(Attributes!$I$3:$I$52,Q282)&amp;"",IF(B282="Supporting",INDEX(Values!$F$3:$F$502,P282)&amp;"","")))</f>
        <v/>
      </c>
      <c r="M282">
        <f>IF(B282="","",IF(L282&lt;&gt;"","Covered","Gap"))</f>
        <v/>
      </c>
      <c r="N282">
        <f>IF(B282="Pillar",SUMIFS(Values!$E$3:$E$502,Values!$I$3:$I$502,"Yes"),IF(B282="Cluster",SUMIFS(Values!$E$3:$E$502,Values!$A$3:$A$502,SUBSTITUTE(SUBSTITUTE(C282,"?","~?"),"*","~*"),Values!$I$3:$I$502,"Yes"),IF(B282="Supporting",N(INDEX(Values!$E$3:$E$502,P282)),"")))</f>
        <v/>
      </c>
      <c r="O282">
        <f>IF(B282="","",IF(B282="Pillar",100,IF(B282="Cluster",N(INDEX(Attributes!$E$3:$E$52,Q282))*25+IF(M282="Gap",10,0),N(INDEX(Attributes!$E$3:$E$52,Q282))*20+MIN(20,ROUND(LOG10(N(N282)+1)*5,0))+IF(M282="Gap",10,0)+IF(INDEX(Values!$D$3:$D$502,P282)="Yes",5,0))))</f>
        <v/>
      </c>
      <c r="P282">
        <f>IF(B282="Supporting",MATCH(A282-1-Entity!$B$14,Values!$J$3:$J$502,0),"")</f>
        <v/>
      </c>
      <c r="Q282">
        <f>IF(C282="","",MATCH(C282,Attributes!$A$3:$A$52,0))</f>
        <v/>
      </c>
      <c r="R282">
        <f>IF(B282="Pillar",SUBSTITUTE(Entity!$B$7,"{entity}",LOWER(Entity!$B$3)),IF(B282="Cluster",IF(INDEX(Attributes!$G$3:$G$52,Q282)&lt;&gt;"",INDEX(Attributes!$G$3:$G$52,Q282),SUBSTITUTE(SUBSTITUTE(Entity!$B$8,"{entity}",LOWER(Entity!$B$3)),"{attribute}",LOWER(C282))),IF(B282="Supporting",SUBSTITUTE(SUBSTITUTE(SUBSTITUTE(IF(INDEX(Attributes!$H$3:$H$52,Q282)&lt;&gt;"",INDEX(Attributes!$H$3:$H$52,Q282),Entity!$B$9),"{entity}",LOWER(Entity!$B$3)),"{value}",D282),"{attribute}",LOWER(C282)),"")))</f>
        <v/>
      </c>
    </row>
    <row r="283">
      <c r="A283">
        <f>ROW()-2</f>
        <v/>
      </c>
      <c r="B283">
        <f>IF(A283=1,"Pillar",IF(A283&lt;=1+Entity!$B$14,"Cluster",IF(A283&lt;=1+Entity!$B$14+Entity!$B$15,"Supporting","")))</f>
        <v/>
      </c>
      <c r="C283">
        <f>IF(B283="Cluster",INDEX(Attributes!$A$3:$A$52,MATCH(A283-1,Attributes!$P$3:$P$52,0)),IF(B283="Supporting",INDEX(Values!$A$3:$A$502,P283),""))</f>
        <v/>
      </c>
      <c r="D283">
        <f>IF(B283="Supporting",INDEX(Values!$B$3:$B$502,P283),"")</f>
        <v/>
      </c>
      <c r="E283">
        <f>IF(R283="","",UPPER(LEFT(R283,1))&amp;MID(R283,2,500))</f>
        <v/>
      </c>
      <c r="F283">
        <f>IF(E283="","",LOWER(SUBSTITUTE(SUBSTITUTE(SUBSTITUTE(SUBSTITUTE(SUBSTITUTE(SUBSTITUTE(SUBSTITUTE(TRIM(E283),":",""),",",""),"'",""),"&amp;","and"),"£",""),"  "," ")," ","-")))</f>
        <v/>
      </c>
      <c r="G283">
        <f>IF(B283="Cluster",$E$3,IF(B283="Supporting",INDEX($E$3:$E$553,MATCH(C283,$C$3:$C$553,0)),""))</f>
        <v/>
      </c>
      <c r="H283">
        <f>IF(B283="Supporting",IFERROR(INDEX($E$3:$E$553,1+Entity!$B$14+INDEX(Values!$O$3:$O$502,P283)),""),IF(B283="Cluster",IF(Entity!$B$14&lt;2,"",INDEX($E$3:$E$553,IF(A283-1=Entity!$B$14,2,A283+1))),""))</f>
        <v/>
      </c>
      <c r="I283">
        <f>IF(B283="Pillar",Entity!$B$14&amp;" cluster pages",IF(B283="Cluster",(COUNTIF($C$3:$C$553,SUBSTITUTE(SUBSTITUTE(C283,"?","~?"),"*","~*"))-1)&amp;" supporting pages",""))</f>
        <v/>
      </c>
      <c r="J283">
        <f>IF(B283="Pillar","Informational",IF(OR(B283="Cluster",B283="Supporting"),INDEX(Attributes!$D$3:$D$52,Q283)&amp;"",""))</f>
        <v/>
      </c>
      <c r="K283">
        <f>IF(B283="","",IF(B283="Pillar","Pillar guide (entity hub)",IF(B283="Cluster","Hub page for this attribute",IF(INDEX(Values!$C$3:$C$502,P283)="Yes","Entity page (profile of the sub-entity)",IFERROR(INDEX(Lists!$B$3:$B$6,MATCH(J283,Lists!$A$3:$A$6,0)),"Article")))))</f>
        <v/>
      </c>
      <c r="L283">
        <f>IF(B283="Pillar",Entity!$B$6&amp;"",IF(B283="Cluster",INDEX(Attributes!$I$3:$I$52,Q283)&amp;"",IF(B283="Supporting",INDEX(Values!$F$3:$F$502,P283)&amp;"","")))</f>
        <v/>
      </c>
      <c r="M283">
        <f>IF(B283="","",IF(L283&lt;&gt;"","Covered","Gap"))</f>
        <v/>
      </c>
      <c r="N283">
        <f>IF(B283="Pillar",SUMIFS(Values!$E$3:$E$502,Values!$I$3:$I$502,"Yes"),IF(B283="Cluster",SUMIFS(Values!$E$3:$E$502,Values!$A$3:$A$502,SUBSTITUTE(SUBSTITUTE(C283,"?","~?"),"*","~*"),Values!$I$3:$I$502,"Yes"),IF(B283="Supporting",N(INDEX(Values!$E$3:$E$502,P283)),"")))</f>
        <v/>
      </c>
      <c r="O283">
        <f>IF(B283="","",IF(B283="Pillar",100,IF(B283="Cluster",N(INDEX(Attributes!$E$3:$E$52,Q283))*25+IF(M283="Gap",10,0),N(INDEX(Attributes!$E$3:$E$52,Q283))*20+MIN(20,ROUND(LOG10(N(N283)+1)*5,0))+IF(M283="Gap",10,0)+IF(INDEX(Values!$D$3:$D$502,P283)="Yes",5,0))))</f>
        <v/>
      </c>
      <c r="P283">
        <f>IF(B283="Supporting",MATCH(A283-1-Entity!$B$14,Values!$J$3:$J$502,0),"")</f>
        <v/>
      </c>
      <c r="Q283">
        <f>IF(C283="","",MATCH(C283,Attributes!$A$3:$A$52,0))</f>
        <v/>
      </c>
      <c r="R283">
        <f>IF(B283="Pillar",SUBSTITUTE(Entity!$B$7,"{entity}",LOWER(Entity!$B$3)),IF(B283="Cluster",IF(INDEX(Attributes!$G$3:$G$52,Q283)&lt;&gt;"",INDEX(Attributes!$G$3:$G$52,Q283),SUBSTITUTE(SUBSTITUTE(Entity!$B$8,"{entity}",LOWER(Entity!$B$3)),"{attribute}",LOWER(C283))),IF(B283="Supporting",SUBSTITUTE(SUBSTITUTE(SUBSTITUTE(IF(INDEX(Attributes!$H$3:$H$52,Q283)&lt;&gt;"",INDEX(Attributes!$H$3:$H$52,Q283),Entity!$B$9),"{entity}",LOWER(Entity!$B$3)),"{value}",D283),"{attribute}",LOWER(C283)),"")))</f>
        <v/>
      </c>
    </row>
    <row r="284">
      <c r="A284">
        <f>ROW()-2</f>
        <v/>
      </c>
      <c r="B284">
        <f>IF(A284=1,"Pillar",IF(A284&lt;=1+Entity!$B$14,"Cluster",IF(A284&lt;=1+Entity!$B$14+Entity!$B$15,"Supporting","")))</f>
        <v/>
      </c>
      <c r="C284">
        <f>IF(B284="Cluster",INDEX(Attributes!$A$3:$A$52,MATCH(A284-1,Attributes!$P$3:$P$52,0)),IF(B284="Supporting",INDEX(Values!$A$3:$A$502,P284),""))</f>
        <v/>
      </c>
      <c r="D284">
        <f>IF(B284="Supporting",INDEX(Values!$B$3:$B$502,P284),"")</f>
        <v/>
      </c>
      <c r="E284">
        <f>IF(R284="","",UPPER(LEFT(R284,1))&amp;MID(R284,2,500))</f>
        <v/>
      </c>
      <c r="F284">
        <f>IF(E284="","",LOWER(SUBSTITUTE(SUBSTITUTE(SUBSTITUTE(SUBSTITUTE(SUBSTITUTE(SUBSTITUTE(SUBSTITUTE(TRIM(E284),":",""),",",""),"'",""),"&amp;","and"),"£",""),"  "," ")," ","-")))</f>
        <v/>
      </c>
      <c r="G284">
        <f>IF(B284="Cluster",$E$3,IF(B284="Supporting",INDEX($E$3:$E$553,MATCH(C284,$C$3:$C$553,0)),""))</f>
        <v/>
      </c>
      <c r="H284">
        <f>IF(B284="Supporting",IFERROR(INDEX($E$3:$E$553,1+Entity!$B$14+INDEX(Values!$O$3:$O$502,P284)),""),IF(B284="Cluster",IF(Entity!$B$14&lt;2,"",INDEX($E$3:$E$553,IF(A284-1=Entity!$B$14,2,A284+1))),""))</f>
        <v/>
      </c>
      <c r="I284">
        <f>IF(B284="Pillar",Entity!$B$14&amp;" cluster pages",IF(B284="Cluster",(COUNTIF($C$3:$C$553,SUBSTITUTE(SUBSTITUTE(C284,"?","~?"),"*","~*"))-1)&amp;" supporting pages",""))</f>
        <v/>
      </c>
      <c r="J284">
        <f>IF(B284="Pillar","Informational",IF(OR(B284="Cluster",B284="Supporting"),INDEX(Attributes!$D$3:$D$52,Q284)&amp;"",""))</f>
        <v/>
      </c>
      <c r="K284">
        <f>IF(B284="","",IF(B284="Pillar","Pillar guide (entity hub)",IF(B284="Cluster","Hub page for this attribute",IF(INDEX(Values!$C$3:$C$502,P284)="Yes","Entity page (profile of the sub-entity)",IFERROR(INDEX(Lists!$B$3:$B$6,MATCH(J284,Lists!$A$3:$A$6,0)),"Article")))))</f>
        <v/>
      </c>
      <c r="L284">
        <f>IF(B284="Pillar",Entity!$B$6&amp;"",IF(B284="Cluster",INDEX(Attributes!$I$3:$I$52,Q284)&amp;"",IF(B284="Supporting",INDEX(Values!$F$3:$F$502,P284)&amp;"","")))</f>
        <v/>
      </c>
      <c r="M284">
        <f>IF(B284="","",IF(L284&lt;&gt;"","Covered","Gap"))</f>
        <v/>
      </c>
      <c r="N284">
        <f>IF(B284="Pillar",SUMIFS(Values!$E$3:$E$502,Values!$I$3:$I$502,"Yes"),IF(B284="Cluster",SUMIFS(Values!$E$3:$E$502,Values!$A$3:$A$502,SUBSTITUTE(SUBSTITUTE(C284,"?","~?"),"*","~*"),Values!$I$3:$I$502,"Yes"),IF(B284="Supporting",N(INDEX(Values!$E$3:$E$502,P284)),"")))</f>
        <v/>
      </c>
      <c r="O284">
        <f>IF(B284="","",IF(B284="Pillar",100,IF(B284="Cluster",N(INDEX(Attributes!$E$3:$E$52,Q284))*25+IF(M284="Gap",10,0),N(INDEX(Attributes!$E$3:$E$52,Q284))*20+MIN(20,ROUND(LOG10(N(N284)+1)*5,0))+IF(M284="Gap",10,0)+IF(INDEX(Values!$D$3:$D$502,P284)="Yes",5,0))))</f>
        <v/>
      </c>
      <c r="P284">
        <f>IF(B284="Supporting",MATCH(A284-1-Entity!$B$14,Values!$J$3:$J$502,0),"")</f>
        <v/>
      </c>
      <c r="Q284">
        <f>IF(C284="","",MATCH(C284,Attributes!$A$3:$A$52,0))</f>
        <v/>
      </c>
      <c r="R284">
        <f>IF(B284="Pillar",SUBSTITUTE(Entity!$B$7,"{entity}",LOWER(Entity!$B$3)),IF(B284="Cluster",IF(INDEX(Attributes!$G$3:$G$52,Q284)&lt;&gt;"",INDEX(Attributes!$G$3:$G$52,Q284),SUBSTITUTE(SUBSTITUTE(Entity!$B$8,"{entity}",LOWER(Entity!$B$3)),"{attribute}",LOWER(C284))),IF(B284="Supporting",SUBSTITUTE(SUBSTITUTE(SUBSTITUTE(IF(INDEX(Attributes!$H$3:$H$52,Q284)&lt;&gt;"",INDEX(Attributes!$H$3:$H$52,Q284),Entity!$B$9),"{entity}",LOWER(Entity!$B$3)),"{value}",D284),"{attribute}",LOWER(C284)),"")))</f>
        <v/>
      </c>
    </row>
    <row r="285">
      <c r="A285">
        <f>ROW()-2</f>
        <v/>
      </c>
      <c r="B285">
        <f>IF(A285=1,"Pillar",IF(A285&lt;=1+Entity!$B$14,"Cluster",IF(A285&lt;=1+Entity!$B$14+Entity!$B$15,"Supporting","")))</f>
        <v/>
      </c>
      <c r="C285">
        <f>IF(B285="Cluster",INDEX(Attributes!$A$3:$A$52,MATCH(A285-1,Attributes!$P$3:$P$52,0)),IF(B285="Supporting",INDEX(Values!$A$3:$A$502,P285),""))</f>
        <v/>
      </c>
      <c r="D285">
        <f>IF(B285="Supporting",INDEX(Values!$B$3:$B$502,P285),"")</f>
        <v/>
      </c>
      <c r="E285">
        <f>IF(R285="","",UPPER(LEFT(R285,1))&amp;MID(R285,2,500))</f>
        <v/>
      </c>
      <c r="F285">
        <f>IF(E285="","",LOWER(SUBSTITUTE(SUBSTITUTE(SUBSTITUTE(SUBSTITUTE(SUBSTITUTE(SUBSTITUTE(SUBSTITUTE(TRIM(E285),":",""),",",""),"'",""),"&amp;","and"),"£",""),"  "," ")," ","-")))</f>
        <v/>
      </c>
      <c r="G285">
        <f>IF(B285="Cluster",$E$3,IF(B285="Supporting",INDEX($E$3:$E$553,MATCH(C285,$C$3:$C$553,0)),""))</f>
        <v/>
      </c>
      <c r="H285">
        <f>IF(B285="Supporting",IFERROR(INDEX($E$3:$E$553,1+Entity!$B$14+INDEX(Values!$O$3:$O$502,P285)),""),IF(B285="Cluster",IF(Entity!$B$14&lt;2,"",INDEX($E$3:$E$553,IF(A285-1=Entity!$B$14,2,A285+1))),""))</f>
        <v/>
      </c>
      <c r="I285">
        <f>IF(B285="Pillar",Entity!$B$14&amp;" cluster pages",IF(B285="Cluster",(COUNTIF($C$3:$C$553,SUBSTITUTE(SUBSTITUTE(C285,"?","~?"),"*","~*"))-1)&amp;" supporting pages",""))</f>
        <v/>
      </c>
      <c r="J285">
        <f>IF(B285="Pillar","Informational",IF(OR(B285="Cluster",B285="Supporting"),INDEX(Attributes!$D$3:$D$52,Q285)&amp;"",""))</f>
        <v/>
      </c>
      <c r="K285">
        <f>IF(B285="","",IF(B285="Pillar","Pillar guide (entity hub)",IF(B285="Cluster","Hub page for this attribute",IF(INDEX(Values!$C$3:$C$502,P285)="Yes","Entity page (profile of the sub-entity)",IFERROR(INDEX(Lists!$B$3:$B$6,MATCH(J285,Lists!$A$3:$A$6,0)),"Article")))))</f>
        <v/>
      </c>
      <c r="L285">
        <f>IF(B285="Pillar",Entity!$B$6&amp;"",IF(B285="Cluster",INDEX(Attributes!$I$3:$I$52,Q285)&amp;"",IF(B285="Supporting",INDEX(Values!$F$3:$F$502,P285)&amp;"","")))</f>
        <v/>
      </c>
      <c r="M285">
        <f>IF(B285="","",IF(L285&lt;&gt;"","Covered","Gap"))</f>
        <v/>
      </c>
      <c r="N285">
        <f>IF(B285="Pillar",SUMIFS(Values!$E$3:$E$502,Values!$I$3:$I$502,"Yes"),IF(B285="Cluster",SUMIFS(Values!$E$3:$E$502,Values!$A$3:$A$502,SUBSTITUTE(SUBSTITUTE(C285,"?","~?"),"*","~*"),Values!$I$3:$I$502,"Yes"),IF(B285="Supporting",N(INDEX(Values!$E$3:$E$502,P285)),"")))</f>
        <v/>
      </c>
      <c r="O285">
        <f>IF(B285="","",IF(B285="Pillar",100,IF(B285="Cluster",N(INDEX(Attributes!$E$3:$E$52,Q285))*25+IF(M285="Gap",10,0),N(INDEX(Attributes!$E$3:$E$52,Q285))*20+MIN(20,ROUND(LOG10(N(N285)+1)*5,0))+IF(M285="Gap",10,0)+IF(INDEX(Values!$D$3:$D$502,P285)="Yes",5,0))))</f>
        <v/>
      </c>
      <c r="P285">
        <f>IF(B285="Supporting",MATCH(A285-1-Entity!$B$14,Values!$J$3:$J$502,0),"")</f>
        <v/>
      </c>
      <c r="Q285">
        <f>IF(C285="","",MATCH(C285,Attributes!$A$3:$A$52,0))</f>
        <v/>
      </c>
      <c r="R285">
        <f>IF(B285="Pillar",SUBSTITUTE(Entity!$B$7,"{entity}",LOWER(Entity!$B$3)),IF(B285="Cluster",IF(INDEX(Attributes!$G$3:$G$52,Q285)&lt;&gt;"",INDEX(Attributes!$G$3:$G$52,Q285),SUBSTITUTE(SUBSTITUTE(Entity!$B$8,"{entity}",LOWER(Entity!$B$3)),"{attribute}",LOWER(C285))),IF(B285="Supporting",SUBSTITUTE(SUBSTITUTE(SUBSTITUTE(IF(INDEX(Attributes!$H$3:$H$52,Q285)&lt;&gt;"",INDEX(Attributes!$H$3:$H$52,Q285),Entity!$B$9),"{entity}",LOWER(Entity!$B$3)),"{value}",D285),"{attribute}",LOWER(C285)),"")))</f>
        <v/>
      </c>
    </row>
    <row r="286">
      <c r="A286">
        <f>ROW()-2</f>
        <v/>
      </c>
      <c r="B286">
        <f>IF(A286=1,"Pillar",IF(A286&lt;=1+Entity!$B$14,"Cluster",IF(A286&lt;=1+Entity!$B$14+Entity!$B$15,"Supporting","")))</f>
        <v/>
      </c>
      <c r="C286">
        <f>IF(B286="Cluster",INDEX(Attributes!$A$3:$A$52,MATCH(A286-1,Attributes!$P$3:$P$52,0)),IF(B286="Supporting",INDEX(Values!$A$3:$A$502,P286),""))</f>
        <v/>
      </c>
      <c r="D286">
        <f>IF(B286="Supporting",INDEX(Values!$B$3:$B$502,P286),"")</f>
        <v/>
      </c>
      <c r="E286">
        <f>IF(R286="","",UPPER(LEFT(R286,1))&amp;MID(R286,2,500))</f>
        <v/>
      </c>
      <c r="F286">
        <f>IF(E286="","",LOWER(SUBSTITUTE(SUBSTITUTE(SUBSTITUTE(SUBSTITUTE(SUBSTITUTE(SUBSTITUTE(SUBSTITUTE(TRIM(E286),":",""),",",""),"'",""),"&amp;","and"),"£",""),"  "," ")," ","-")))</f>
        <v/>
      </c>
      <c r="G286">
        <f>IF(B286="Cluster",$E$3,IF(B286="Supporting",INDEX($E$3:$E$553,MATCH(C286,$C$3:$C$553,0)),""))</f>
        <v/>
      </c>
      <c r="H286">
        <f>IF(B286="Supporting",IFERROR(INDEX($E$3:$E$553,1+Entity!$B$14+INDEX(Values!$O$3:$O$502,P286)),""),IF(B286="Cluster",IF(Entity!$B$14&lt;2,"",INDEX($E$3:$E$553,IF(A286-1=Entity!$B$14,2,A286+1))),""))</f>
        <v/>
      </c>
      <c r="I286">
        <f>IF(B286="Pillar",Entity!$B$14&amp;" cluster pages",IF(B286="Cluster",(COUNTIF($C$3:$C$553,SUBSTITUTE(SUBSTITUTE(C286,"?","~?"),"*","~*"))-1)&amp;" supporting pages",""))</f>
        <v/>
      </c>
      <c r="J286">
        <f>IF(B286="Pillar","Informational",IF(OR(B286="Cluster",B286="Supporting"),INDEX(Attributes!$D$3:$D$52,Q286)&amp;"",""))</f>
        <v/>
      </c>
      <c r="K286">
        <f>IF(B286="","",IF(B286="Pillar","Pillar guide (entity hub)",IF(B286="Cluster","Hub page for this attribute",IF(INDEX(Values!$C$3:$C$502,P286)="Yes","Entity page (profile of the sub-entity)",IFERROR(INDEX(Lists!$B$3:$B$6,MATCH(J286,Lists!$A$3:$A$6,0)),"Article")))))</f>
        <v/>
      </c>
      <c r="L286">
        <f>IF(B286="Pillar",Entity!$B$6&amp;"",IF(B286="Cluster",INDEX(Attributes!$I$3:$I$52,Q286)&amp;"",IF(B286="Supporting",INDEX(Values!$F$3:$F$502,P286)&amp;"","")))</f>
        <v/>
      </c>
      <c r="M286">
        <f>IF(B286="","",IF(L286&lt;&gt;"","Covered","Gap"))</f>
        <v/>
      </c>
      <c r="N286">
        <f>IF(B286="Pillar",SUMIFS(Values!$E$3:$E$502,Values!$I$3:$I$502,"Yes"),IF(B286="Cluster",SUMIFS(Values!$E$3:$E$502,Values!$A$3:$A$502,SUBSTITUTE(SUBSTITUTE(C286,"?","~?"),"*","~*"),Values!$I$3:$I$502,"Yes"),IF(B286="Supporting",N(INDEX(Values!$E$3:$E$502,P286)),"")))</f>
        <v/>
      </c>
      <c r="O286">
        <f>IF(B286="","",IF(B286="Pillar",100,IF(B286="Cluster",N(INDEX(Attributes!$E$3:$E$52,Q286))*25+IF(M286="Gap",10,0),N(INDEX(Attributes!$E$3:$E$52,Q286))*20+MIN(20,ROUND(LOG10(N(N286)+1)*5,0))+IF(M286="Gap",10,0)+IF(INDEX(Values!$D$3:$D$502,P286)="Yes",5,0))))</f>
        <v/>
      </c>
      <c r="P286">
        <f>IF(B286="Supporting",MATCH(A286-1-Entity!$B$14,Values!$J$3:$J$502,0),"")</f>
        <v/>
      </c>
      <c r="Q286">
        <f>IF(C286="","",MATCH(C286,Attributes!$A$3:$A$52,0))</f>
        <v/>
      </c>
      <c r="R286">
        <f>IF(B286="Pillar",SUBSTITUTE(Entity!$B$7,"{entity}",LOWER(Entity!$B$3)),IF(B286="Cluster",IF(INDEX(Attributes!$G$3:$G$52,Q286)&lt;&gt;"",INDEX(Attributes!$G$3:$G$52,Q286),SUBSTITUTE(SUBSTITUTE(Entity!$B$8,"{entity}",LOWER(Entity!$B$3)),"{attribute}",LOWER(C286))),IF(B286="Supporting",SUBSTITUTE(SUBSTITUTE(SUBSTITUTE(IF(INDEX(Attributes!$H$3:$H$52,Q286)&lt;&gt;"",INDEX(Attributes!$H$3:$H$52,Q286),Entity!$B$9),"{entity}",LOWER(Entity!$B$3)),"{value}",D286),"{attribute}",LOWER(C286)),"")))</f>
        <v/>
      </c>
    </row>
    <row r="287">
      <c r="A287">
        <f>ROW()-2</f>
        <v/>
      </c>
      <c r="B287">
        <f>IF(A287=1,"Pillar",IF(A287&lt;=1+Entity!$B$14,"Cluster",IF(A287&lt;=1+Entity!$B$14+Entity!$B$15,"Supporting","")))</f>
        <v/>
      </c>
      <c r="C287">
        <f>IF(B287="Cluster",INDEX(Attributes!$A$3:$A$52,MATCH(A287-1,Attributes!$P$3:$P$52,0)),IF(B287="Supporting",INDEX(Values!$A$3:$A$502,P287),""))</f>
        <v/>
      </c>
      <c r="D287">
        <f>IF(B287="Supporting",INDEX(Values!$B$3:$B$502,P287),"")</f>
        <v/>
      </c>
      <c r="E287">
        <f>IF(R287="","",UPPER(LEFT(R287,1))&amp;MID(R287,2,500))</f>
        <v/>
      </c>
      <c r="F287">
        <f>IF(E287="","",LOWER(SUBSTITUTE(SUBSTITUTE(SUBSTITUTE(SUBSTITUTE(SUBSTITUTE(SUBSTITUTE(SUBSTITUTE(TRIM(E287),":",""),",",""),"'",""),"&amp;","and"),"£",""),"  "," ")," ","-")))</f>
        <v/>
      </c>
      <c r="G287">
        <f>IF(B287="Cluster",$E$3,IF(B287="Supporting",INDEX($E$3:$E$553,MATCH(C287,$C$3:$C$553,0)),""))</f>
        <v/>
      </c>
      <c r="H287">
        <f>IF(B287="Supporting",IFERROR(INDEX($E$3:$E$553,1+Entity!$B$14+INDEX(Values!$O$3:$O$502,P287)),""),IF(B287="Cluster",IF(Entity!$B$14&lt;2,"",INDEX($E$3:$E$553,IF(A287-1=Entity!$B$14,2,A287+1))),""))</f>
        <v/>
      </c>
      <c r="I287">
        <f>IF(B287="Pillar",Entity!$B$14&amp;" cluster pages",IF(B287="Cluster",(COUNTIF($C$3:$C$553,SUBSTITUTE(SUBSTITUTE(C287,"?","~?"),"*","~*"))-1)&amp;" supporting pages",""))</f>
        <v/>
      </c>
      <c r="J287">
        <f>IF(B287="Pillar","Informational",IF(OR(B287="Cluster",B287="Supporting"),INDEX(Attributes!$D$3:$D$52,Q287)&amp;"",""))</f>
        <v/>
      </c>
      <c r="K287">
        <f>IF(B287="","",IF(B287="Pillar","Pillar guide (entity hub)",IF(B287="Cluster","Hub page for this attribute",IF(INDEX(Values!$C$3:$C$502,P287)="Yes","Entity page (profile of the sub-entity)",IFERROR(INDEX(Lists!$B$3:$B$6,MATCH(J287,Lists!$A$3:$A$6,0)),"Article")))))</f>
        <v/>
      </c>
      <c r="L287">
        <f>IF(B287="Pillar",Entity!$B$6&amp;"",IF(B287="Cluster",INDEX(Attributes!$I$3:$I$52,Q287)&amp;"",IF(B287="Supporting",INDEX(Values!$F$3:$F$502,P287)&amp;"","")))</f>
        <v/>
      </c>
      <c r="M287">
        <f>IF(B287="","",IF(L287&lt;&gt;"","Covered","Gap"))</f>
        <v/>
      </c>
      <c r="N287">
        <f>IF(B287="Pillar",SUMIFS(Values!$E$3:$E$502,Values!$I$3:$I$502,"Yes"),IF(B287="Cluster",SUMIFS(Values!$E$3:$E$502,Values!$A$3:$A$502,SUBSTITUTE(SUBSTITUTE(C287,"?","~?"),"*","~*"),Values!$I$3:$I$502,"Yes"),IF(B287="Supporting",N(INDEX(Values!$E$3:$E$502,P287)),"")))</f>
        <v/>
      </c>
      <c r="O287">
        <f>IF(B287="","",IF(B287="Pillar",100,IF(B287="Cluster",N(INDEX(Attributes!$E$3:$E$52,Q287))*25+IF(M287="Gap",10,0),N(INDEX(Attributes!$E$3:$E$52,Q287))*20+MIN(20,ROUND(LOG10(N(N287)+1)*5,0))+IF(M287="Gap",10,0)+IF(INDEX(Values!$D$3:$D$502,P287)="Yes",5,0))))</f>
        <v/>
      </c>
      <c r="P287">
        <f>IF(B287="Supporting",MATCH(A287-1-Entity!$B$14,Values!$J$3:$J$502,0),"")</f>
        <v/>
      </c>
      <c r="Q287">
        <f>IF(C287="","",MATCH(C287,Attributes!$A$3:$A$52,0))</f>
        <v/>
      </c>
      <c r="R287">
        <f>IF(B287="Pillar",SUBSTITUTE(Entity!$B$7,"{entity}",LOWER(Entity!$B$3)),IF(B287="Cluster",IF(INDEX(Attributes!$G$3:$G$52,Q287)&lt;&gt;"",INDEX(Attributes!$G$3:$G$52,Q287),SUBSTITUTE(SUBSTITUTE(Entity!$B$8,"{entity}",LOWER(Entity!$B$3)),"{attribute}",LOWER(C287))),IF(B287="Supporting",SUBSTITUTE(SUBSTITUTE(SUBSTITUTE(IF(INDEX(Attributes!$H$3:$H$52,Q287)&lt;&gt;"",INDEX(Attributes!$H$3:$H$52,Q287),Entity!$B$9),"{entity}",LOWER(Entity!$B$3)),"{value}",D287),"{attribute}",LOWER(C287)),"")))</f>
        <v/>
      </c>
    </row>
    <row r="288">
      <c r="A288">
        <f>ROW()-2</f>
        <v/>
      </c>
      <c r="B288">
        <f>IF(A288=1,"Pillar",IF(A288&lt;=1+Entity!$B$14,"Cluster",IF(A288&lt;=1+Entity!$B$14+Entity!$B$15,"Supporting","")))</f>
        <v/>
      </c>
      <c r="C288">
        <f>IF(B288="Cluster",INDEX(Attributes!$A$3:$A$52,MATCH(A288-1,Attributes!$P$3:$P$52,0)),IF(B288="Supporting",INDEX(Values!$A$3:$A$502,P288),""))</f>
        <v/>
      </c>
      <c r="D288">
        <f>IF(B288="Supporting",INDEX(Values!$B$3:$B$502,P288),"")</f>
        <v/>
      </c>
      <c r="E288">
        <f>IF(R288="","",UPPER(LEFT(R288,1))&amp;MID(R288,2,500))</f>
        <v/>
      </c>
      <c r="F288">
        <f>IF(E288="","",LOWER(SUBSTITUTE(SUBSTITUTE(SUBSTITUTE(SUBSTITUTE(SUBSTITUTE(SUBSTITUTE(SUBSTITUTE(TRIM(E288),":",""),",",""),"'",""),"&amp;","and"),"£",""),"  "," ")," ","-")))</f>
        <v/>
      </c>
      <c r="G288">
        <f>IF(B288="Cluster",$E$3,IF(B288="Supporting",INDEX($E$3:$E$553,MATCH(C288,$C$3:$C$553,0)),""))</f>
        <v/>
      </c>
      <c r="H288">
        <f>IF(B288="Supporting",IFERROR(INDEX($E$3:$E$553,1+Entity!$B$14+INDEX(Values!$O$3:$O$502,P288)),""),IF(B288="Cluster",IF(Entity!$B$14&lt;2,"",INDEX($E$3:$E$553,IF(A288-1=Entity!$B$14,2,A288+1))),""))</f>
        <v/>
      </c>
      <c r="I288">
        <f>IF(B288="Pillar",Entity!$B$14&amp;" cluster pages",IF(B288="Cluster",(COUNTIF($C$3:$C$553,SUBSTITUTE(SUBSTITUTE(C288,"?","~?"),"*","~*"))-1)&amp;" supporting pages",""))</f>
        <v/>
      </c>
      <c r="J288">
        <f>IF(B288="Pillar","Informational",IF(OR(B288="Cluster",B288="Supporting"),INDEX(Attributes!$D$3:$D$52,Q288)&amp;"",""))</f>
        <v/>
      </c>
      <c r="K288">
        <f>IF(B288="","",IF(B288="Pillar","Pillar guide (entity hub)",IF(B288="Cluster","Hub page for this attribute",IF(INDEX(Values!$C$3:$C$502,P288)="Yes","Entity page (profile of the sub-entity)",IFERROR(INDEX(Lists!$B$3:$B$6,MATCH(J288,Lists!$A$3:$A$6,0)),"Article")))))</f>
        <v/>
      </c>
      <c r="L288">
        <f>IF(B288="Pillar",Entity!$B$6&amp;"",IF(B288="Cluster",INDEX(Attributes!$I$3:$I$52,Q288)&amp;"",IF(B288="Supporting",INDEX(Values!$F$3:$F$502,P288)&amp;"","")))</f>
        <v/>
      </c>
      <c r="M288">
        <f>IF(B288="","",IF(L288&lt;&gt;"","Covered","Gap"))</f>
        <v/>
      </c>
      <c r="N288">
        <f>IF(B288="Pillar",SUMIFS(Values!$E$3:$E$502,Values!$I$3:$I$502,"Yes"),IF(B288="Cluster",SUMIFS(Values!$E$3:$E$502,Values!$A$3:$A$502,SUBSTITUTE(SUBSTITUTE(C288,"?","~?"),"*","~*"),Values!$I$3:$I$502,"Yes"),IF(B288="Supporting",N(INDEX(Values!$E$3:$E$502,P288)),"")))</f>
        <v/>
      </c>
      <c r="O288">
        <f>IF(B288="","",IF(B288="Pillar",100,IF(B288="Cluster",N(INDEX(Attributes!$E$3:$E$52,Q288))*25+IF(M288="Gap",10,0),N(INDEX(Attributes!$E$3:$E$52,Q288))*20+MIN(20,ROUND(LOG10(N(N288)+1)*5,0))+IF(M288="Gap",10,0)+IF(INDEX(Values!$D$3:$D$502,P288)="Yes",5,0))))</f>
        <v/>
      </c>
      <c r="P288">
        <f>IF(B288="Supporting",MATCH(A288-1-Entity!$B$14,Values!$J$3:$J$502,0),"")</f>
        <v/>
      </c>
      <c r="Q288">
        <f>IF(C288="","",MATCH(C288,Attributes!$A$3:$A$52,0))</f>
        <v/>
      </c>
      <c r="R288">
        <f>IF(B288="Pillar",SUBSTITUTE(Entity!$B$7,"{entity}",LOWER(Entity!$B$3)),IF(B288="Cluster",IF(INDEX(Attributes!$G$3:$G$52,Q288)&lt;&gt;"",INDEX(Attributes!$G$3:$G$52,Q288),SUBSTITUTE(SUBSTITUTE(Entity!$B$8,"{entity}",LOWER(Entity!$B$3)),"{attribute}",LOWER(C288))),IF(B288="Supporting",SUBSTITUTE(SUBSTITUTE(SUBSTITUTE(IF(INDEX(Attributes!$H$3:$H$52,Q288)&lt;&gt;"",INDEX(Attributes!$H$3:$H$52,Q288),Entity!$B$9),"{entity}",LOWER(Entity!$B$3)),"{value}",D288),"{attribute}",LOWER(C288)),"")))</f>
        <v/>
      </c>
    </row>
    <row r="289">
      <c r="A289">
        <f>ROW()-2</f>
        <v/>
      </c>
      <c r="B289">
        <f>IF(A289=1,"Pillar",IF(A289&lt;=1+Entity!$B$14,"Cluster",IF(A289&lt;=1+Entity!$B$14+Entity!$B$15,"Supporting","")))</f>
        <v/>
      </c>
      <c r="C289">
        <f>IF(B289="Cluster",INDEX(Attributes!$A$3:$A$52,MATCH(A289-1,Attributes!$P$3:$P$52,0)),IF(B289="Supporting",INDEX(Values!$A$3:$A$502,P289),""))</f>
        <v/>
      </c>
      <c r="D289">
        <f>IF(B289="Supporting",INDEX(Values!$B$3:$B$502,P289),"")</f>
        <v/>
      </c>
      <c r="E289">
        <f>IF(R289="","",UPPER(LEFT(R289,1))&amp;MID(R289,2,500))</f>
        <v/>
      </c>
      <c r="F289">
        <f>IF(E289="","",LOWER(SUBSTITUTE(SUBSTITUTE(SUBSTITUTE(SUBSTITUTE(SUBSTITUTE(SUBSTITUTE(SUBSTITUTE(TRIM(E289),":",""),",",""),"'",""),"&amp;","and"),"£",""),"  "," ")," ","-")))</f>
        <v/>
      </c>
      <c r="G289">
        <f>IF(B289="Cluster",$E$3,IF(B289="Supporting",INDEX($E$3:$E$553,MATCH(C289,$C$3:$C$553,0)),""))</f>
        <v/>
      </c>
      <c r="H289">
        <f>IF(B289="Supporting",IFERROR(INDEX($E$3:$E$553,1+Entity!$B$14+INDEX(Values!$O$3:$O$502,P289)),""),IF(B289="Cluster",IF(Entity!$B$14&lt;2,"",INDEX($E$3:$E$553,IF(A289-1=Entity!$B$14,2,A289+1))),""))</f>
        <v/>
      </c>
      <c r="I289">
        <f>IF(B289="Pillar",Entity!$B$14&amp;" cluster pages",IF(B289="Cluster",(COUNTIF($C$3:$C$553,SUBSTITUTE(SUBSTITUTE(C289,"?","~?"),"*","~*"))-1)&amp;" supporting pages",""))</f>
        <v/>
      </c>
      <c r="J289">
        <f>IF(B289="Pillar","Informational",IF(OR(B289="Cluster",B289="Supporting"),INDEX(Attributes!$D$3:$D$52,Q289)&amp;"",""))</f>
        <v/>
      </c>
      <c r="K289">
        <f>IF(B289="","",IF(B289="Pillar","Pillar guide (entity hub)",IF(B289="Cluster","Hub page for this attribute",IF(INDEX(Values!$C$3:$C$502,P289)="Yes","Entity page (profile of the sub-entity)",IFERROR(INDEX(Lists!$B$3:$B$6,MATCH(J289,Lists!$A$3:$A$6,0)),"Article")))))</f>
        <v/>
      </c>
      <c r="L289">
        <f>IF(B289="Pillar",Entity!$B$6&amp;"",IF(B289="Cluster",INDEX(Attributes!$I$3:$I$52,Q289)&amp;"",IF(B289="Supporting",INDEX(Values!$F$3:$F$502,P289)&amp;"","")))</f>
        <v/>
      </c>
      <c r="M289">
        <f>IF(B289="","",IF(L289&lt;&gt;"","Covered","Gap"))</f>
        <v/>
      </c>
      <c r="N289">
        <f>IF(B289="Pillar",SUMIFS(Values!$E$3:$E$502,Values!$I$3:$I$502,"Yes"),IF(B289="Cluster",SUMIFS(Values!$E$3:$E$502,Values!$A$3:$A$502,SUBSTITUTE(SUBSTITUTE(C289,"?","~?"),"*","~*"),Values!$I$3:$I$502,"Yes"),IF(B289="Supporting",N(INDEX(Values!$E$3:$E$502,P289)),"")))</f>
        <v/>
      </c>
      <c r="O289">
        <f>IF(B289="","",IF(B289="Pillar",100,IF(B289="Cluster",N(INDEX(Attributes!$E$3:$E$52,Q289))*25+IF(M289="Gap",10,0),N(INDEX(Attributes!$E$3:$E$52,Q289))*20+MIN(20,ROUND(LOG10(N(N289)+1)*5,0))+IF(M289="Gap",10,0)+IF(INDEX(Values!$D$3:$D$502,P289)="Yes",5,0))))</f>
        <v/>
      </c>
      <c r="P289">
        <f>IF(B289="Supporting",MATCH(A289-1-Entity!$B$14,Values!$J$3:$J$502,0),"")</f>
        <v/>
      </c>
      <c r="Q289">
        <f>IF(C289="","",MATCH(C289,Attributes!$A$3:$A$52,0))</f>
        <v/>
      </c>
      <c r="R289">
        <f>IF(B289="Pillar",SUBSTITUTE(Entity!$B$7,"{entity}",LOWER(Entity!$B$3)),IF(B289="Cluster",IF(INDEX(Attributes!$G$3:$G$52,Q289)&lt;&gt;"",INDEX(Attributes!$G$3:$G$52,Q289),SUBSTITUTE(SUBSTITUTE(Entity!$B$8,"{entity}",LOWER(Entity!$B$3)),"{attribute}",LOWER(C289))),IF(B289="Supporting",SUBSTITUTE(SUBSTITUTE(SUBSTITUTE(IF(INDEX(Attributes!$H$3:$H$52,Q289)&lt;&gt;"",INDEX(Attributes!$H$3:$H$52,Q289),Entity!$B$9),"{entity}",LOWER(Entity!$B$3)),"{value}",D289),"{attribute}",LOWER(C289)),"")))</f>
        <v/>
      </c>
    </row>
    <row r="290">
      <c r="A290">
        <f>ROW()-2</f>
        <v/>
      </c>
      <c r="B290">
        <f>IF(A290=1,"Pillar",IF(A290&lt;=1+Entity!$B$14,"Cluster",IF(A290&lt;=1+Entity!$B$14+Entity!$B$15,"Supporting","")))</f>
        <v/>
      </c>
      <c r="C290">
        <f>IF(B290="Cluster",INDEX(Attributes!$A$3:$A$52,MATCH(A290-1,Attributes!$P$3:$P$52,0)),IF(B290="Supporting",INDEX(Values!$A$3:$A$502,P290),""))</f>
        <v/>
      </c>
      <c r="D290">
        <f>IF(B290="Supporting",INDEX(Values!$B$3:$B$502,P290),"")</f>
        <v/>
      </c>
      <c r="E290">
        <f>IF(R290="","",UPPER(LEFT(R290,1))&amp;MID(R290,2,500))</f>
        <v/>
      </c>
      <c r="F290">
        <f>IF(E290="","",LOWER(SUBSTITUTE(SUBSTITUTE(SUBSTITUTE(SUBSTITUTE(SUBSTITUTE(SUBSTITUTE(SUBSTITUTE(TRIM(E290),":",""),",",""),"'",""),"&amp;","and"),"£",""),"  "," ")," ","-")))</f>
        <v/>
      </c>
      <c r="G290">
        <f>IF(B290="Cluster",$E$3,IF(B290="Supporting",INDEX($E$3:$E$553,MATCH(C290,$C$3:$C$553,0)),""))</f>
        <v/>
      </c>
      <c r="H290">
        <f>IF(B290="Supporting",IFERROR(INDEX($E$3:$E$553,1+Entity!$B$14+INDEX(Values!$O$3:$O$502,P290)),""),IF(B290="Cluster",IF(Entity!$B$14&lt;2,"",INDEX($E$3:$E$553,IF(A290-1=Entity!$B$14,2,A290+1))),""))</f>
        <v/>
      </c>
      <c r="I290">
        <f>IF(B290="Pillar",Entity!$B$14&amp;" cluster pages",IF(B290="Cluster",(COUNTIF($C$3:$C$553,SUBSTITUTE(SUBSTITUTE(C290,"?","~?"),"*","~*"))-1)&amp;" supporting pages",""))</f>
        <v/>
      </c>
      <c r="J290">
        <f>IF(B290="Pillar","Informational",IF(OR(B290="Cluster",B290="Supporting"),INDEX(Attributes!$D$3:$D$52,Q290)&amp;"",""))</f>
        <v/>
      </c>
      <c r="K290">
        <f>IF(B290="","",IF(B290="Pillar","Pillar guide (entity hub)",IF(B290="Cluster","Hub page for this attribute",IF(INDEX(Values!$C$3:$C$502,P290)="Yes","Entity page (profile of the sub-entity)",IFERROR(INDEX(Lists!$B$3:$B$6,MATCH(J290,Lists!$A$3:$A$6,0)),"Article")))))</f>
        <v/>
      </c>
      <c r="L290">
        <f>IF(B290="Pillar",Entity!$B$6&amp;"",IF(B290="Cluster",INDEX(Attributes!$I$3:$I$52,Q290)&amp;"",IF(B290="Supporting",INDEX(Values!$F$3:$F$502,P290)&amp;"","")))</f>
        <v/>
      </c>
      <c r="M290">
        <f>IF(B290="","",IF(L290&lt;&gt;"","Covered","Gap"))</f>
        <v/>
      </c>
      <c r="N290">
        <f>IF(B290="Pillar",SUMIFS(Values!$E$3:$E$502,Values!$I$3:$I$502,"Yes"),IF(B290="Cluster",SUMIFS(Values!$E$3:$E$502,Values!$A$3:$A$502,SUBSTITUTE(SUBSTITUTE(C290,"?","~?"),"*","~*"),Values!$I$3:$I$502,"Yes"),IF(B290="Supporting",N(INDEX(Values!$E$3:$E$502,P290)),"")))</f>
        <v/>
      </c>
      <c r="O290">
        <f>IF(B290="","",IF(B290="Pillar",100,IF(B290="Cluster",N(INDEX(Attributes!$E$3:$E$52,Q290))*25+IF(M290="Gap",10,0),N(INDEX(Attributes!$E$3:$E$52,Q290))*20+MIN(20,ROUND(LOG10(N(N290)+1)*5,0))+IF(M290="Gap",10,0)+IF(INDEX(Values!$D$3:$D$502,P290)="Yes",5,0))))</f>
        <v/>
      </c>
      <c r="P290">
        <f>IF(B290="Supporting",MATCH(A290-1-Entity!$B$14,Values!$J$3:$J$502,0),"")</f>
        <v/>
      </c>
      <c r="Q290">
        <f>IF(C290="","",MATCH(C290,Attributes!$A$3:$A$52,0))</f>
        <v/>
      </c>
      <c r="R290">
        <f>IF(B290="Pillar",SUBSTITUTE(Entity!$B$7,"{entity}",LOWER(Entity!$B$3)),IF(B290="Cluster",IF(INDEX(Attributes!$G$3:$G$52,Q290)&lt;&gt;"",INDEX(Attributes!$G$3:$G$52,Q290),SUBSTITUTE(SUBSTITUTE(Entity!$B$8,"{entity}",LOWER(Entity!$B$3)),"{attribute}",LOWER(C290))),IF(B290="Supporting",SUBSTITUTE(SUBSTITUTE(SUBSTITUTE(IF(INDEX(Attributes!$H$3:$H$52,Q290)&lt;&gt;"",INDEX(Attributes!$H$3:$H$52,Q290),Entity!$B$9),"{entity}",LOWER(Entity!$B$3)),"{value}",D290),"{attribute}",LOWER(C290)),"")))</f>
        <v/>
      </c>
    </row>
    <row r="291">
      <c r="A291">
        <f>ROW()-2</f>
        <v/>
      </c>
      <c r="B291">
        <f>IF(A291=1,"Pillar",IF(A291&lt;=1+Entity!$B$14,"Cluster",IF(A291&lt;=1+Entity!$B$14+Entity!$B$15,"Supporting","")))</f>
        <v/>
      </c>
      <c r="C291">
        <f>IF(B291="Cluster",INDEX(Attributes!$A$3:$A$52,MATCH(A291-1,Attributes!$P$3:$P$52,0)),IF(B291="Supporting",INDEX(Values!$A$3:$A$502,P291),""))</f>
        <v/>
      </c>
      <c r="D291">
        <f>IF(B291="Supporting",INDEX(Values!$B$3:$B$502,P291),"")</f>
        <v/>
      </c>
      <c r="E291">
        <f>IF(R291="","",UPPER(LEFT(R291,1))&amp;MID(R291,2,500))</f>
        <v/>
      </c>
      <c r="F291">
        <f>IF(E291="","",LOWER(SUBSTITUTE(SUBSTITUTE(SUBSTITUTE(SUBSTITUTE(SUBSTITUTE(SUBSTITUTE(SUBSTITUTE(TRIM(E291),":",""),",",""),"'",""),"&amp;","and"),"£",""),"  "," ")," ","-")))</f>
        <v/>
      </c>
      <c r="G291">
        <f>IF(B291="Cluster",$E$3,IF(B291="Supporting",INDEX($E$3:$E$553,MATCH(C291,$C$3:$C$553,0)),""))</f>
        <v/>
      </c>
      <c r="H291">
        <f>IF(B291="Supporting",IFERROR(INDEX($E$3:$E$553,1+Entity!$B$14+INDEX(Values!$O$3:$O$502,P291)),""),IF(B291="Cluster",IF(Entity!$B$14&lt;2,"",INDEX($E$3:$E$553,IF(A291-1=Entity!$B$14,2,A291+1))),""))</f>
        <v/>
      </c>
      <c r="I291">
        <f>IF(B291="Pillar",Entity!$B$14&amp;" cluster pages",IF(B291="Cluster",(COUNTIF($C$3:$C$553,SUBSTITUTE(SUBSTITUTE(C291,"?","~?"),"*","~*"))-1)&amp;" supporting pages",""))</f>
        <v/>
      </c>
      <c r="J291">
        <f>IF(B291="Pillar","Informational",IF(OR(B291="Cluster",B291="Supporting"),INDEX(Attributes!$D$3:$D$52,Q291)&amp;"",""))</f>
        <v/>
      </c>
      <c r="K291">
        <f>IF(B291="","",IF(B291="Pillar","Pillar guide (entity hub)",IF(B291="Cluster","Hub page for this attribute",IF(INDEX(Values!$C$3:$C$502,P291)="Yes","Entity page (profile of the sub-entity)",IFERROR(INDEX(Lists!$B$3:$B$6,MATCH(J291,Lists!$A$3:$A$6,0)),"Article")))))</f>
        <v/>
      </c>
      <c r="L291">
        <f>IF(B291="Pillar",Entity!$B$6&amp;"",IF(B291="Cluster",INDEX(Attributes!$I$3:$I$52,Q291)&amp;"",IF(B291="Supporting",INDEX(Values!$F$3:$F$502,P291)&amp;"","")))</f>
        <v/>
      </c>
      <c r="M291">
        <f>IF(B291="","",IF(L291&lt;&gt;"","Covered","Gap"))</f>
        <v/>
      </c>
      <c r="N291">
        <f>IF(B291="Pillar",SUMIFS(Values!$E$3:$E$502,Values!$I$3:$I$502,"Yes"),IF(B291="Cluster",SUMIFS(Values!$E$3:$E$502,Values!$A$3:$A$502,SUBSTITUTE(SUBSTITUTE(C291,"?","~?"),"*","~*"),Values!$I$3:$I$502,"Yes"),IF(B291="Supporting",N(INDEX(Values!$E$3:$E$502,P291)),"")))</f>
        <v/>
      </c>
      <c r="O291">
        <f>IF(B291="","",IF(B291="Pillar",100,IF(B291="Cluster",N(INDEX(Attributes!$E$3:$E$52,Q291))*25+IF(M291="Gap",10,0),N(INDEX(Attributes!$E$3:$E$52,Q291))*20+MIN(20,ROUND(LOG10(N(N291)+1)*5,0))+IF(M291="Gap",10,0)+IF(INDEX(Values!$D$3:$D$502,P291)="Yes",5,0))))</f>
        <v/>
      </c>
      <c r="P291">
        <f>IF(B291="Supporting",MATCH(A291-1-Entity!$B$14,Values!$J$3:$J$502,0),"")</f>
        <v/>
      </c>
      <c r="Q291">
        <f>IF(C291="","",MATCH(C291,Attributes!$A$3:$A$52,0))</f>
        <v/>
      </c>
      <c r="R291">
        <f>IF(B291="Pillar",SUBSTITUTE(Entity!$B$7,"{entity}",LOWER(Entity!$B$3)),IF(B291="Cluster",IF(INDEX(Attributes!$G$3:$G$52,Q291)&lt;&gt;"",INDEX(Attributes!$G$3:$G$52,Q291),SUBSTITUTE(SUBSTITUTE(Entity!$B$8,"{entity}",LOWER(Entity!$B$3)),"{attribute}",LOWER(C291))),IF(B291="Supporting",SUBSTITUTE(SUBSTITUTE(SUBSTITUTE(IF(INDEX(Attributes!$H$3:$H$52,Q291)&lt;&gt;"",INDEX(Attributes!$H$3:$H$52,Q291),Entity!$B$9),"{entity}",LOWER(Entity!$B$3)),"{value}",D291),"{attribute}",LOWER(C291)),"")))</f>
        <v/>
      </c>
    </row>
    <row r="292">
      <c r="A292">
        <f>ROW()-2</f>
        <v/>
      </c>
      <c r="B292">
        <f>IF(A292=1,"Pillar",IF(A292&lt;=1+Entity!$B$14,"Cluster",IF(A292&lt;=1+Entity!$B$14+Entity!$B$15,"Supporting","")))</f>
        <v/>
      </c>
      <c r="C292">
        <f>IF(B292="Cluster",INDEX(Attributes!$A$3:$A$52,MATCH(A292-1,Attributes!$P$3:$P$52,0)),IF(B292="Supporting",INDEX(Values!$A$3:$A$502,P292),""))</f>
        <v/>
      </c>
      <c r="D292">
        <f>IF(B292="Supporting",INDEX(Values!$B$3:$B$502,P292),"")</f>
        <v/>
      </c>
      <c r="E292">
        <f>IF(R292="","",UPPER(LEFT(R292,1))&amp;MID(R292,2,500))</f>
        <v/>
      </c>
      <c r="F292">
        <f>IF(E292="","",LOWER(SUBSTITUTE(SUBSTITUTE(SUBSTITUTE(SUBSTITUTE(SUBSTITUTE(SUBSTITUTE(SUBSTITUTE(TRIM(E292),":",""),",",""),"'",""),"&amp;","and"),"£",""),"  "," ")," ","-")))</f>
        <v/>
      </c>
      <c r="G292">
        <f>IF(B292="Cluster",$E$3,IF(B292="Supporting",INDEX($E$3:$E$553,MATCH(C292,$C$3:$C$553,0)),""))</f>
        <v/>
      </c>
      <c r="H292">
        <f>IF(B292="Supporting",IFERROR(INDEX($E$3:$E$553,1+Entity!$B$14+INDEX(Values!$O$3:$O$502,P292)),""),IF(B292="Cluster",IF(Entity!$B$14&lt;2,"",INDEX($E$3:$E$553,IF(A292-1=Entity!$B$14,2,A292+1))),""))</f>
        <v/>
      </c>
      <c r="I292">
        <f>IF(B292="Pillar",Entity!$B$14&amp;" cluster pages",IF(B292="Cluster",(COUNTIF($C$3:$C$553,SUBSTITUTE(SUBSTITUTE(C292,"?","~?"),"*","~*"))-1)&amp;" supporting pages",""))</f>
        <v/>
      </c>
      <c r="J292">
        <f>IF(B292="Pillar","Informational",IF(OR(B292="Cluster",B292="Supporting"),INDEX(Attributes!$D$3:$D$52,Q292)&amp;"",""))</f>
        <v/>
      </c>
      <c r="K292">
        <f>IF(B292="","",IF(B292="Pillar","Pillar guide (entity hub)",IF(B292="Cluster","Hub page for this attribute",IF(INDEX(Values!$C$3:$C$502,P292)="Yes","Entity page (profile of the sub-entity)",IFERROR(INDEX(Lists!$B$3:$B$6,MATCH(J292,Lists!$A$3:$A$6,0)),"Article")))))</f>
        <v/>
      </c>
      <c r="L292">
        <f>IF(B292="Pillar",Entity!$B$6&amp;"",IF(B292="Cluster",INDEX(Attributes!$I$3:$I$52,Q292)&amp;"",IF(B292="Supporting",INDEX(Values!$F$3:$F$502,P292)&amp;"","")))</f>
        <v/>
      </c>
      <c r="M292">
        <f>IF(B292="","",IF(L292&lt;&gt;"","Covered","Gap"))</f>
        <v/>
      </c>
      <c r="N292">
        <f>IF(B292="Pillar",SUMIFS(Values!$E$3:$E$502,Values!$I$3:$I$502,"Yes"),IF(B292="Cluster",SUMIFS(Values!$E$3:$E$502,Values!$A$3:$A$502,SUBSTITUTE(SUBSTITUTE(C292,"?","~?"),"*","~*"),Values!$I$3:$I$502,"Yes"),IF(B292="Supporting",N(INDEX(Values!$E$3:$E$502,P292)),"")))</f>
        <v/>
      </c>
      <c r="O292">
        <f>IF(B292="","",IF(B292="Pillar",100,IF(B292="Cluster",N(INDEX(Attributes!$E$3:$E$52,Q292))*25+IF(M292="Gap",10,0),N(INDEX(Attributes!$E$3:$E$52,Q292))*20+MIN(20,ROUND(LOG10(N(N292)+1)*5,0))+IF(M292="Gap",10,0)+IF(INDEX(Values!$D$3:$D$502,P292)="Yes",5,0))))</f>
        <v/>
      </c>
      <c r="P292">
        <f>IF(B292="Supporting",MATCH(A292-1-Entity!$B$14,Values!$J$3:$J$502,0),"")</f>
        <v/>
      </c>
      <c r="Q292">
        <f>IF(C292="","",MATCH(C292,Attributes!$A$3:$A$52,0))</f>
        <v/>
      </c>
      <c r="R292">
        <f>IF(B292="Pillar",SUBSTITUTE(Entity!$B$7,"{entity}",LOWER(Entity!$B$3)),IF(B292="Cluster",IF(INDEX(Attributes!$G$3:$G$52,Q292)&lt;&gt;"",INDEX(Attributes!$G$3:$G$52,Q292),SUBSTITUTE(SUBSTITUTE(Entity!$B$8,"{entity}",LOWER(Entity!$B$3)),"{attribute}",LOWER(C292))),IF(B292="Supporting",SUBSTITUTE(SUBSTITUTE(SUBSTITUTE(IF(INDEX(Attributes!$H$3:$H$52,Q292)&lt;&gt;"",INDEX(Attributes!$H$3:$H$52,Q292),Entity!$B$9),"{entity}",LOWER(Entity!$B$3)),"{value}",D292),"{attribute}",LOWER(C292)),"")))</f>
        <v/>
      </c>
    </row>
    <row r="293">
      <c r="A293">
        <f>ROW()-2</f>
        <v/>
      </c>
      <c r="B293">
        <f>IF(A293=1,"Pillar",IF(A293&lt;=1+Entity!$B$14,"Cluster",IF(A293&lt;=1+Entity!$B$14+Entity!$B$15,"Supporting","")))</f>
        <v/>
      </c>
      <c r="C293">
        <f>IF(B293="Cluster",INDEX(Attributes!$A$3:$A$52,MATCH(A293-1,Attributes!$P$3:$P$52,0)),IF(B293="Supporting",INDEX(Values!$A$3:$A$502,P293),""))</f>
        <v/>
      </c>
      <c r="D293">
        <f>IF(B293="Supporting",INDEX(Values!$B$3:$B$502,P293),"")</f>
        <v/>
      </c>
      <c r="E293">
        <f>IF(R293="","",UPPER(LEFT(R293,1))&amp;MID(R293,2,500))</f>
        <v/>
      </c>
      <c r="F293">
        <f>IF(E293="","",LOWER(SUBSTITUTE(SUBSTITUTE(SUBSTITUTE(SUBSTITUTE(SUBSTITUTE(SUBSTITUTE(SUBSTITUTE(TRIM(E293),":",""),",",""),"'",""),"&amp;","and"),"£",""),"  "," ")," ","-")))</f>
        <v/>
      </c>
      <c r="G293">
        <f>IF(B293="Cluster",$E$3,IF(B293="Supporting",INDEX($E$3:$E$553,MATCH(C293,$C$3:$C$553,0)),""))</f>
        <v/>
      </c>
      <c r="H293">
        <f>IF(B293="Supporting",IFERROR(INDEX($E$3:$E$553,1+Entity!$B$14+INDEX(Values!$O$3:$O$502,P293)),""),IF(B293="Cluster",IF(Entity!$B$14&lt;2,"",INDEX($E$3:$E$553,IF(A293-1=Entity!$B$14,2,A293+1))),""))</f>
        <v/>
      </c>
      <c r="I293">
        <f>IF(B293="Pillar",Entity!$B$14&amp;" cluster pages",IF(B293="Cluster",(COUNTIF($C$3:$C$553,SUBSTITUTE(SUBSTITUTE(C293,"?","~?"),"*","~*"))-1)&amp;" supporting pages",""))</f>
        <v/>
      </c>
      <c r="J293">
        <f>IF(B293="Pillar","Informational",IF(OR(B293="Cluster",B293="Supporting"),INDEX(Attributes!$D$3:$D$52,Q293)&amp;"",""))</f>
        <v/>
      </c>
      <c r="K293">
        <f>IF(B293="","",IF(B293="Pillar","Pillar guide (entity hub)",IF(B293="Cluster","Hub page for this attribute",IF(INDEX(Values!$C$3:$C$502,P293)="Yes","Entity page (profile of the sub-entity)",IFERROR(INDEX(Lists!$B$3:$B$6,MATCH(J293,Lists!$A$3:$A$6,0)),"Article")))))</f>
        <v/>
      </c>
      <c r="L293">
        <f>IF(B293="Pillar",Entity!$B$6&amp;"",IF(B293="Cluster",INDEX(Attributes!$I$3:$I$52,Q293)&amp;"",IF(B293="Supporting",INDEX(Values!$F$3:$F$502,P293)&amp;"","")))</f>
        <v/>
      </c>
      <c r="M293">
        <f>IF(B293="","",IF(L293&lt;&gt;"","Covered","Gap"))</f>
        <v/>
      </c>
      <c r="N293">
        <f>IF(B293="Pillar",SUMIFS(Values!$E$3:$E$502,Values!$I$3:$I$502,"Yes"),IF(B293="Cluster",SUMIFS(Values!$E$3:$E$502,Values!$A$3:$A$502,SUBSTITUTE(SUBSTITUTE(C293,"?","~?"),"*","~*"),Values!$I$3:$I$502,"Yes"),IF(B293="Supporting",N(INDEX(Values!$E$3:$E$502,P293)),"")))</f>
        <v/>
      </c>
      <c r="O293">
        <f>IF(B293="","",IF(B293="Pillar",100,IF(B293="Cluster",N(INDEX(Attributes!$E$3:$E$52,Q293))*25+IF(M293="Gap",10,0),N(INDEX(Attributes!$E$3:$E$52,Q293))*20+MIN(20,ROUND(LOG10(N(N293)+1)*5,0))+IF(M293="Gap",10,0)+IF(INDEX(Values!$D$3:$D$502,P293)="Yes",5,0))))</f>
        <v/>
      </c>
      <c r="P293">
        <f>IF(B293="Supporting",MATCH(A293-1-Entity!$B$14,Values!$J$3:$J$502,0),"")</f>
        <v/>
      </c>
      <c r="Q293">
        <f>IF(C293="","",MATCH(C293,Attributes!$A$3:$A$52,0))</f>
        <v/>
      </c>
      <c r="R293">
        <f>IF(B293="Pillar",SUBSTITUTE(Entity!$B$7,"{entity}",LOWER(Entity!$B$3)),IF(B293="Cluster",IF(INDEX(Attributes!$G$3:$G$52,Q293)&lt;&gt;"",INDEX(Attributes!$G$3:$G$52,Q293),SUBSTITUTE(SUBSTITUTE(Entity!$B$8,"{entity}",LOWER(Entity!$B$3)),"{attribute}",LOWER(C293))),IF(B293="Supporting",SUBSTITUTE(SUBSTITUTE(SUBSTITUTE(IF(INDEX(Attributes!$H$3:$H$52,Q293)&lt;&gt;"",INDEX(Attributes!$H$3:$H$52,Q293),Entity!$B$9),"{entity}",LOWER(Entity!$B$3)),"{value}",D293),"{attribute}",LOWER(C293)),"")))</f>
        <v/>
      </c>
    </row>
    <row r="294">
      <c r="A294">
        <f>ROW()-2</f>
        <v/>
      </c>
      <c r="B294">
        <f>IF(A294=1,"Pillar",IF(A294&lt;=1+Entity!$B$14,"Cluster",IF(A294&lt;=1+Entity!$B$14+Entity!$B$15,"Supporting","")))</f>
        <v/>
      </c>
      <c r="C294">
        <f>IF(B294="Cluster",INDEX(Attributes!$A$3:$A$52,MATCH(A294-1,Attributes!$P$3:$P$52,0)),IF(B294="Supporting",INDEX(Values!$A$3:$A$502,P294),""))</f>
        <v/>
      </c>
      <c r="D294">
        <f>IF(B294="Supporting",INDEX(Values!$B$3:$B$502,P294),"")</f>
        <v/>
      </c>
      <c r="E294">
        <f>IF(R294="","",UPPER(LEFT(R294,1))&amp;MID(R294,2,500))</f>
        <v/>
      </c>
      <c r="F294">
        <f>IF(E294="","",LOWER(SUBSTITUTE(SUBSTITUTE(SUBSTITUTE(SUBSTITUTE(SUBSTITUTE(SUBSTITUTE(SUBSTITUTE(TRIM(E294),":",""),",",""),"'",""),"&amp;","and"),"£",""),"  "," ")," ","-")))</f>
        <v/>
      </c>
      <c r="G294">
        <f>IF(B294="Cluster",$E$3,IF(B294="Supporting",INDEX($E$3:$E$553,MATCH(C294,$C$3:$C$553,0)),""))</f>
        <v/>
      </c>
      <c r="H294">
        <f>IF(B294="Supporting",IFERROR(INDEX($E$3:$E$553,1+Entity!$B$14+INDEX(Values!$O$3:$O$502,P294)),""),IF(B294="Cluster",IF(Entity!$B$14&lt;2,"",INDEX($E$3:$E$553,IF(A294-1=Entity!$B$14,2,A294+1))),""))</f>
        <v/>
      </c>
      <c r="I294">
        <f>IF(B294="Pillar",Entity!$B$14&amp;" cluster pages",IF(B294="Cluster",(COUNTIF($C$3:$C$553,SUBSTITUTE(SUBSTITUTE(C294,"?","~?"),"*","~*"))-1)&amp;" supporting pages",""))</f>
        <v/>
      </c>
      <c r="J294">
        <f>IF(B294="Pillar","Informational",IF(OR(B294="Cluster",B294="Supporting"),INDEX(Attributes!$D$3:$D$52,Q294)&amp;"",""))</f>
        <v/>
      </c>
      <c r="K294">
        <f>IF(B294="","",IF(B294="Pillar","Pillar guide (entity hub)",IF(B294="Cluster","Hub page for this attribute",IF(INDEX(Values!$C$3:$C$502,P294)="Yes","Entity page (profile of the sub-entity)",IFERROR(INDEX(Lists!$B$3:$B$6,MATCH(J294,Lists!$A$3:$A$6,0)),"Article")))))</f>
        <v/>
      </c>
      <c r="L294">
        <f>IF(B294="Pillar",Entity!$B$6&amp;"",IF(B294="Cluster",INDEX(Attributes!$I$3:$I$52,Q294)&amp;"",IF(B294="Supporting",INDEX(Values!$F$3:$F$502,P294)&amp;"","")))</f>
        <v/>
      </c>
      <c r="M294">
        <f>IF(B294="","",IF(L294&lt;&gt;"","Covered","Gap"))</f>
        <v/>
      </c>
      <c r="N294">
        <f>IF(B294="Pillar",SUMIFS(Values!$E$3:$E$502,Values!$I$3:$I$502,"Yes"),IF(B294="Cluster",SUMIFS(Values!$E$3:$E$502,Values!$A$3:$A$502,SUBSTITUTE(SUBSTITUTE(C294,"?","~?"),"*","~*"),Values!$I$3:$I$502,"Yes"),IF(B294="Supporting",N(INDEX(Values!$E$3:$E$502,P294)),"")))</f>
        <v/>
      </c>
      <c r="O294">
        <f>IF(B294="","",IF(B294="Pillar",100,IF(B294="Cluster",N(INDEX(Attributes!$E$3:$E$52,Q294))*25+IF(M294="Gap",10,0),N(INDEX(Attributes!$E$3:$E$52,Q294))*20+MIN(20,ROUND(LOG10(N(N294)+1)*5,0))+IF(M294="Gap",10,0)+IF(INDEX(Values!$D$3:$D$502,P294)="Yes",5,0))))</f>
        <v/>
      </c>
      <c r="P294">
        <f>IF(B294="Supporting",MATCH(A294-1-Entity!$B$14,Values!$J$3:$J$502,0),"")</f>
        <v/>
      </c>
      <c r="Q294">
        <f>IF(C294="","",MATCH(C294,Attributes!$A$3:$A$52,0))</f>
        <v/>
      </c>
      <c r="R294">
        <f>IF(B294="Pillar",SUBSTITUTE(Entity!$B$7,"{entity}",LOWER(Entity!$B$3)),IF(B294="Cluster",IF(INDEX(Attributes!$G$3:$G$52,Q294)&lt;&gt;"",INDEX(Attributes!$G$3:$G$52,Q294),SUBSTITUTE(SUBSTITUTE(Entity!$B$8,"{entity}",LOWER(Entity!$B$3)),"{attribute}",LOWER(C294))),IF(B294="Supporting",SUBSTITUTE(SUBSTITUTE(SUBSTITUTE(IF(INDEX(Attributes!$H$3:$H$52,Q294)&lt;&gt;"",INDEX(Attributes!$H$3:$H$52,Q294),Entity!$B$9),"{entity}",LOWER(Entity!$B$3)),"{value}",D294),"{attribute}",LOWER(C294)),"")))</f>
        <v/>
      </c>
    </row>
    <row r="295">
      <c r="A295">
        <f>ROW()-2</f>
        <v/>
      </c>
      <c r="B295">
        <f>IF(A295=1,"Pillar",IF(A295&lt;=1+Entity!$B$14,"Cluster",IF(A295&lt;=1+Entity!$B$14+Entity!$B$15,"Supporting","")))</f>
        <v/>
      </c>
      <c r="C295">
        <f>IF(B295="Cluster",INDEX(Attributes!$A$3:$A$52,MATCH(A295-1,Attributes!$P$3:$P$52,0)),IF(B295="Supporting",INDEX(Values!$A$3:$A$502,P295),""))</f>
        <v/>
      </c>
      <c r="D295">
        <f>IF(B295="Supporting",INDEX(Values!$B$3:$B$502,P295),"")</f>
        <v/>
      </c>
      <c r="E295">
        <f>IF(R295="","",UPPER(LEFT(R295,1))&amp;MID(R295,2,500))</f>
        <v/>
      </c>
      <c r="F295">
        <f>IF(E295="","",LOWER(SUBSTITUTE(SUBSTITUTE(SUBSTITUTE(SUBSTITUTE(SUBSTITUTE(SUBSTITUTE(SUBSTITUTE(TRIM(E295),":",""),",",""),"'",""),"&amp;","and"),"£",""),"  "," ")," ","-")))</f>
        <v/>
      </c>
      <c r="G295">
        <f>IF(B295="Cluster",$E$3,IF(B295="Supporting",INDEX($E$3:$E$553,MATCH(C295,$C$3:$C$553,0)),""))</f>
        <v/>
      </c>
      <c r="H295">
        <f>IF(B295="Supporting",IFERROR(INDEX($E$3:$E$553,1+Entity!$B$14+INDEX(Values!$O$3:$O$502,P295)),""),IF(B295="Cluster",IF(Entity!$B$14&lt;2,"",INDEX($E$3:$E$553,IF(A295-1=Entity!$B$14,2,A295+1))),""))</f>
        <v/>
      </c>
      <c r="I295">
        <f>IF(B295="Pillar",Entity!$B$14&amp;" cluster pages",IF(B295="Cluster",(COUNTIF($C$3:$C$553,SUBSTITUTE(SUBSTITUTE(C295,"?","~?"),"*","~*"))-1)&amp;" supporting pages",""))</f>
        <v/>
      </c>
      <c r="J295">
        <f>IF(B295="Pillar","Informational",IF(OR(B295="Cluster",B295="Supporting"),INDEX(Attributes!$D$3:$D$52,Q295)&amp;"",""))</f>
        <v/>
      </c>
      <c r="K295">
        <f>IF(B295="","",IF(B295="Pillar","Pillar guide (entity hub)",IF(B295="Cluster","Hub page for this attribute",IF(INDEX(Values!$C$3:$C$502,P295)="Yes","Entity page (profile of the sub-entity)",IFERROR(INDEX(Lists!$B$3:$B$6,MATCH(J295,Lists!$A$3:$A$6,0)),"Article")))))</f>
        <v/>
      </c>
      <c r="L295">
        <f>IF(B295="Pillar",Entity!$B$6&amp;"",IF(B295="Cluster",INDEX(Attributes!$I$3:$I$52,Q295)&amp;"",IF(B295="Supporting",INDEX(Values!$F$3:$F$502,P295)&amp;"","")))</f>
        <v/>
      </c>
      <c r="M295">
        <f>IF(B295="","",IF(L295&lt;&gt;"","Covered","Gap"))</f>
        <v/>
      </c>
      <c r="N295">
        <f>IF(B295="Pillar",SUMIFS(Values!$E$3:$E$502,Values!$I$3:$I$502,"Yes"),IF(B295="Cluster",SUMIFS(Values!$E$3:$E$502,Values!$A$3:$A$502,SUBSTITUTE(SUBSTITUTE(C295,"?","~?"),"*","~*"),Values!$I$3:$I$502,"Yes"),IF(B295="Supporting",N(INDEX(Values!$E$3:$E$502,P295)),"")))</f>
        <v/>
      </c>
      <c r="O295">
        <f>IF(B295="","",IF(B295="Pillar",100,IF(B295="Cluster",N(INDEX(Attributes!$E$3:$E$52,Q295))*25+IF(M295="Gap",10,0),N(INDEX(Attributes!$E$3:$E$52,Q295))*20+MIN(20,ROUND(LOG10(N(N295)+1)*5,0))+IF(M295="Gap",10,0)+IF(INDEX(Values!$D$3:$D$502,P295)="Yes",5,0))))</f>
        <v/>
      </c>
      <c r="P295">
        <f>IF(B295="Supporting",MATCH(A295-1-Entity!$B$14,Values!$J$3:$J$502,0),"")</f>
        <v/>
      </c>
      <c r="Q295">
        <f>IF(C295="","",MATCH(C295,Attributes!$A$3:$A$52,0))</f>
        <v/>
      </c>
      <c r="R295">
        <f>IF(B295="Pillar",SUBSTITUTE(Entity!$B$7,"{entity}",LOWER(Entity!$B$3)),IF(B295="Cluster",IF(INDEX(Attributes!$G$3:$G$52,Q295)&lt;&gt;"",INDEX(Attributes!$G$3:$G$52,Q295),SUBSTITUTE(SUBSTITUTE(Entity!$B$8,"{entity}",LOWER(Entity!$B$3)),"{attribute}",LOWER(C295))),IF(B295="Supporting",SUBSTITUTE(SUBSTITUTE(SUBSTITUTE(IF(INDEX(Attributes!$H$3:$H$52,Q295)&lt;&gt;"",INDEX(Attributes!$H$3:$H$52,Q295),Entity!$B$9),"{entity}",LOWER(Entity!$B$3)),"{value}",D295),"{attribute}",LOWER(C295)),"")))</f>
        <v/>
      </c>
    </row>
    <row r="296">
      <c r="A296">
        <f>ROW()-2</f>
        <v/>
      </c>
      <c r="B296">
        <f>IF(A296=1,"Pillar",IF(A296&lt;=1+Entity!$B$14,"Cluster",IF(A296&lt;=1+Entity!$B$14+Entity!$B$15,"Supporting","")))</f>
        <v/>
      </c>
      <c r="C296">
        <f>IF(B296="Cluster",INDEX(Attributes!$A$3:$A$52,MATCH(A296-1,Attributes!$P$3:$P$52,0)),IF(B296="Supporting",INDEX(Values!$A$3:$A$502,P296),""))</f>
        <v/>
      </c>
      <c r="D296">
        <f>IF(B296="Supporting",INDEX(Values!$B$3:$B$502,P296),"")</f>
        <v/>
      </c>
      <c r="E296">
        <f>IF(R296="","",UPPER(LEFT(R296,1))&amp;MID(R296,2,500))</f>
        <v/>
      </c>
      <c r="F296">
        <f>IF(E296="","",LOWER(SUBSTITUTE(SUBSTITUTE(SUBSTITUTE(SUBSTITUTE(SUBSTITUTE(SUBSTITUTE(SUBSTITUTE(TRIM(E296),":",""),",",""),"'",""),"&amp;","and"),"£",""),"  "," ")," ","-")))</f>
        <v/>
      </c>
      <c r="G296">
        <f>IF(B296="Cluster",$E$3,IF(B296="Supporting",INDEX($E$3:$E$553,MATCH(C296,$C$3:$C$553,0)),""))</f>
        <v/>
      </c>
      <c r="H296">
        <f>IF(B296="Supporting",IFERROR(INDEX($E$3:$E$553,1+Entity!$B$14+INDEX(Values!$O$3:$O$502,P296)),""),IF(B296="Cluster",IF(Entity!$B$14&lt;2,"",INDEX($E$3:$E$553,IF(A296-1=Entity!$B$14,2,A296+1))),""))</f>
        <v/>
      </c>
      <c r="I296">
        <f>IF(B296="Pillar",Entity!$B$14&amp;" cluster pages",IF(B296="Cluster",(COUNTIF($C$3:$C$553,SUBSTITUTE(SUBSTITUTE(C296,"?","~?"),"*","~*"))-1)&amp;" supporting pages",""))</f>
        <v/>
      </c>
      <c r="J296">
        <f>IF(B296="Pillar","Informational",IF(OR(B296="Cluster",B296="Supporting"),INDEX(Attributes!$D$3:$D$52,Q296)&amp;"",""))</f>
        <v/>
      </c>
      <c r="K296">
        <f>IF(B296="","",IF(B296="Pillar","Pillar guide (entity hub)",IF(B296="Cluster","Hub page for this attribute",IF(INDEX(Values!$C$3:$C$502,P296)="Yes","Entity page (profile of the sub-entity)",IFERROR(INDEX(Lists!$B$3:$B$6,MATCH(J296,Lists!$A$3:$A$6,0)),"Article")))))</f>
        <v/>
      </c>
      <c r="L296">
        <f>IF(B296="Pillar",Entity!$B$6&amp;"",IF(B296="Cluster",INDEX(Attributes!$I$3:$I$52,Q296)&amp;"",IF(B296="Supporting",INDEX(Values!$F$3:$F$502,P296)&amp;"","")))</f>
        <v/>
      </c>
      <c r="M296">
        <f>IF(B296="","",IF(L296&lt;&gt;"","Covered","Gap"))</f>
        <v/>
      </c>
      <c r="N296">
        <f>IF(B296="Pillar",SUMIFS(Values!$E$3:$E$502,Values!$I$3:$I$502,"Yes"),IF(B296="Cluster",SUMIFS(Values!$E$3:$E$502,Values!$A$3:$A$502,SUBSTITUTE(SUBSTITUTE(C296,"?","~?"),"*","~*"),Values!$I$3:$I$502,"Yes"),IF(B296="Supporting",N(INDEX(Values!$E$3:$E$502,P296)),"")))</f>
        <v/>
      </c>
      <c r="O296">
        <f>IF(B296="","",IF(B296="Pillar",100,IF(B296="Cluster",N(INDEX(Attributes!$E$3:$E$52,Q296))*25+IF(M296="Gap",10,0),N(INDEX(Attributes!$E$3:$E$52,Q296))*20+MIN(20,ROUND(LOG10(N(N296)+1)*5,0))+IF(M296="Gap",10,0)+IF(INDEX(Values!$D$3:$D$502,P296)="Yes",5,0))))</f>
        <v/>
      </c>
      <c r="P296">
        <f>IF(B296="Supporting",MATCH(A296-1-Entity!$B$14,Values!$J$3:$J$502,0),"")</f>
        <v/>
      </c>
      <c r="Q296">
        <f>IF(C296="","",MATCH(C296,Attributes!$A$3:$A$52,0))</f>
        <v/>
      </c>
      <c r="R296">
        <f>IF(B296="Pillar",SUBSTITUTE(Entity!$B$7,"{entity}",LOWER(Entity!$B$3)),IF(B296="Cluster",IF(INDEX(Attributes!$G$3:$G$52,Q296)&lt;&gt;"",INDEX(Attributes!$G$3:$G$52,Q296),SUBSTITUTE(SUBSTITUTE(Entity!$B$8,"{entity}",LOWER(Entity!$B$3)),"{attribute}",LOWER(C296))),IF(B296="Supporting",SUBSTITUTE(SUBSTITUTE(SUBSTITUTE(IF(INDEX(Attributes!$H$3:$H$52,Q296)&lt;&gt;"",INDEX(Attributes!$H$3:$H$52,Q296),Entity!$B$9),"{entity}",LOWER(Entity!$B$3)),"{value}",D296),"{attribute}",LOWER(C296)),"")))</f>
        <v/>
      </c>
    </row>
    <row r="297">
      <c r="A297">
        <f>ROW()-2</f>
        <v/>
      </c>
      <c r="B297">
        <f>IF(A297=1,"Pillar",IF(A297&lt;=1+Entity!$B$14,"Cluster",IF(A297&lt;=1+Entity!$B$14+Entity!$B$15,"Supporting","")))</f>
        <v/>
      </c>
      <c r="C297">
        <f>IF(B297="Cluster",INDEX(Attributes!$A$3:$A$52,MATCH(A297-1,Attributes!$P$3:$P$52,0)),IF(B297="Supporting",INDEX(Values!$A$3:$A$502,P297),""))</f>
        <v/>
      </c>
      <c r="D297">
        <f>IF(B297="Supporting",INDEX(Values!$B$3:$B$502,P297),"")</f>
        <v/>
      </c>
      <c r="E297">
        <f>IF(R297="","",UPPER(LEFT(R297,1))&amp;MID(R297,2,500))</f>
        <v/>
      </c>
      <c r="F297">
        <f>IF(E297="","",LOWER(SUBSTITUTE(SUBSTITUTE(SUBSTITUTE(SUBSTITUTE(SUBSTITUTE(SUBSTITUTE(SUBSTITUTE(TRIM(E297),":",""),",",""),"'",""),"&amp;","and"),"£",""),"  "," ")," ","-")))</f>
        <v/>
      </c>
      <c r="G297">
        <f>IF(B297="Cluster",$E$3,IF(B297="Supporting",INDEX($E$3:$E$553,MATCH(C297,$C$3:$C$553,0)),""))</f>
        <v/>
      </c>
      <c r="H297">
        <f>IF(B297="Supporting",IFERROR(INDEX($E$3:$E$553,1+Entity!$B$14+INDEX(Values!$O$3:$O$502,P297)),""),IF(B297="Cluster",IF(Entity!$B$14&lt;2,"",INDEX($E$3:$E$553,IF(A297-1=Entity!$B$14,2,A297+1))),""))</f>
        <v/>
      </c>
      <c r="I297">
        <f>IF(B297="Pillar",Entity!$B$14&amp;" cluster pages",IF(B297="Cluster",(COUNTIF($C$3:$C$553,SUBSTITUTE(SUBSTITUTE(C297,"?","~?"),"*","~*"))-1)&amp;" supporting pages",""))</f>
        <v/>
      </c>
      <c r="J297">
        <f>IF(B297="Pillar","Informational",IF(OR(B297="Cluster",B297="Supporting"),INDEX(Attributes!$D$3:$D$52,Q297)&amp;"",""))</f>
        <v/>
      </c>
      <c r="K297">
        <f>IF(B297="","",IF(B297="Pillar","Pillar guide (entity hub)",IF(B297="Cluster","Hub page for this attribute",IF(INDEX(Values!$C$3:$C$502,P297)="Yes","Entity page (profile of the sub-entity)",IFERROR(INDEX(Lists!$B$3:$B$6,MATCH(J297,Lists!$A$3:$A$6,0)),"Article")))))</f>
        <v/>
      </c>
      <c r="L297">
        <f>IF(B297="Pillar",Entity!$B$6&amp;"",IF(B297="Cluster",INDEX(Attributes!$I$3:$I$52,Q297)&amp;"",IF(B297="Supporting",INDEX(Values!$F$3:$F$502,P297)&amp;"","")))</f>
        <v/>
      </c>
      <c r="M297">
        <f>IF(B297="","",IF(L297&lt;&gt;"","Covered","Gap"))</f>
        <v/>
      </c>
      <c r="N297">
        <f>IF(B297="Pillar",SUMIFS(Values!$E$3:$E$502,Values!$I$3:$I$502,"Yes"),IF(B297="Cluster",SUMIFS(Values!$E$3:$E$502,Values!$A$3:$A$502,SUBSTITUTE(SUBSTITUTE(C297,"?","~?"),"*","~*"),Values!$I$3:$I$502,"Yes"),IF(B297="Supporting",N(INDEX(Values!$E$3:$E$502,P297)),"")))</f>
        <v/>
      </c>
      <c r="O297">
        <f>IF(B297="","",IF(B297="Pillar",100,IF(B297="Cluster",N(INDEX(Attributes!$E$3:$E$52,Q297))*25+IF(M297="Gap",10,0),N(INDEX(Attributes!$E$3:$E$52,Q297))*20+MIN(20,ROUND(LOG10(N(N297)+1)*5,0))+IF(M297="Gap",10,0)+IF(INDEX(Values!$D$3:$D$502,P297)="Yes",5,0))))</f>
        <v/>
      </c>
      <c r="P297">
        <f>IF(B297="Supporting",MATCH(A297-1-Entity!$B$14,Values!$J$3:$J$502,0),"")</f>
        <v/>
      </c>
      <c r="Q297">
        <f>IF(C297="","",MATCH(C297,Attributes!$A$3:$A$52,0))</f>
        <v/>
      </c>
      <c r="R297">
        <f>IF(B297="Pillar",SUBSTITUTE(Entity!$B$7,"{entity}",LOWER(Entity!$B$3)),IF(B297="Cluster",IF(INDEX(Attributes!$G$3:$G$52,Q297)&lt;&gt;"",INDEX(Attributes!$G$3:$G$52,Q297),SUBSTITUTE(SUBSTITUTE(Entity!$B$8,"{entity}",LOWER(Entity!$B$3)),"{attribute}",LOWER(C297))),IF(B297="Supporting",SUBSTITUTE(SUBSTITUTE(SUBSTITUTE(IF(INDEX(Attributes!$H$3:$H$52,Q297)&lt;&gt;"",INDEX(Attributes!$H$3:$H$52,Q297),Entity!$B$9),"{entity}",LOWER(Entity!$B$3)),"{value}",D297),"{attribute}",LOWER(C297)),"")))</f>
        <v/>
      </c>
    </row>
    <row r="298">
      <c r="A298">
        <f>ROW()-2</f>
        <v/>
      </c>
      <c r="B298">
        <f>IF(A298=1,"Pillar",IF(A298&lt;=1+Entity!$B$14,"Cluster",IF(A298&lt;=1+Entity!$B$14+Entity!$B$15,"Supporting","")))</f>
        <v/>
      </c>
      <c r="C298">
        <f>IF(B298="Cluster",INDEX(Attributes!$A$3:$A$52,MATCH(A298-1,Attributes!$P$3:$P$52,0)),IF(B298="Supporting",INDEX(Values!$A$3:$A$502,P298),""))</f>
        <v/>
      </c>
      <c r="D298">
        <f>IF(B298="Supporting",INDEX(Values!$B$3:$B$502,P298),"")</f>
        <v/>
      </c>
      <c r="E298">
        <f>IF(R298="","",UPPER(LEFT(R298,1))&amp;MID(R298,2,500))</f>
        <v/>
      </c>
      <c r="F298">
        <f>IF(E298="","",LOWER(SUBSTITUTE(SUBSTITUTE(SUBSTITUTE(SUBSTITUTE(SUBSTITUTE(SUBSTITUTE(SUBSTITUTE(TRIM(E298),":",""),",",""),"'",""),"&amp;","and"),"£",""),"  "," ")," ","-")))</f>
        <v/>
      </c>
      <c r="G298">
        <f>IF(B298="Cluster",$E$3,IF(B298="Supporting",INDEX($E$3:$E$553,MATCH(C298,$C$3:$C$553,0)),""))</f>
        <v/>
      </c>
      <c r="H298">
        <f>IF(B298="Supporting",IFERROR(INDEX($E$3:$E$553,1+Entity!$B$14+INDEX(Values!$O$3:$O$502,P298)),""),IF(B298="Cluster",IF(Entity!$B$14&lt;2,"",INDEX($E$3:$E$553,IF(A298-1=Entity!$B$14,2,A298+1))),""))</f>
        <v/>
      </c>
      <c r="I298">
        <f>IF(B298="Pillar",Entity!$B$14&amp;" cluster pages",IF(B298="Cluster",(COUNTIF($C$3:$C$553,SUBSTITUTE(SUBSTITUTE(C298,"?","~?"),"*","~*"))-1)&amp;" supporting pages",""))</f>
        <v/>
      </c>
      <c r="J298">
        <f>IF(B298="Pillar","Informational",IF(OR(B298="Cluster",B298="Supporting"),INDEX(Attributes!$D$3:$D$52,Q298)&amp;"",""))</f>
        <v/>
      </c>
      <c r="K298">
        <f>IF(B298="","",IF(B298="Pillar","Pillar guide (entity hub)",IF(B298="Cluster","Hub page for this attribute",IF(INDEX(Values!$C$3:$C$502,P298)="Yes","Entity page (profile of the sub-entity)",IFERROR(INDEX(Lists!$B$3:$B$6,MATCH(J298,Lists!$A$3:$A$6,0)),"Article")))))</f>
        <v/>
      </c>
      <c r="L298">
        <f>IF(B298="Pillar",Entity!$B$6&amp;"",IF(B298="Cluster",INDEX(Attributes!$I$3:$I$52,Q298)&amp;"",IF(B298="Supporting",INDEX(Values!$F$3:$F$502,P298)&amp;"","")))</f>
        <v/>
      </c>
      <c r="M298">
        <f>IF(B298="","",IF(L298&lt;&gt;"","Covered","Gap"))</f>
        <v/>
      </c>
      <c r="N298">
        <f>IF(B298="Pillar",SUMIFS(Values!$E$3:$E$502,Values!$I$3:$I$502,"Yes"),IF(B298="Cluster",SUMIFS(Values!$E$3:$E$502,Values!$A$3:$A$502,SUBSTITUTE(SUBSTITUTE(C298,"?","~?"),"*","~*"),Values!$I$3:$I$502,"Yes"),IF(B298="Supporting",N(INDEX(Values!$E$3:$E$502,P298)),"")))</f>
        <v/>
      </c>
      <c r="O298">
        <f>IF(B298="","",IF(B298="Pillar",100,IF(B298="Cluster",N(INDEX(Attributes!$E$3:$E$52,Q298))*25+IF(M298="Gap",10,0),N(INDEX(Attributes!$E$3:$E$52,Q298))*20+MIN(20,ROUND(LOG10(N(N298)+1)*5,0))+IF(M298="Gap",10,0)+IF(INDEX(Values!$D$3:$D$502,P298)="Yes",5,0))))</f>
        <v/>
      </c>
      <c r="P298">
        <f>IF(B298="Supporting",MATCH(A298-1-Entity!$B$14,Values!$J$3:$J$502,0),"")</f>
        <v/>
      </c>
      <c r="Q298">
        <f>IF(C298="","",MATCH(C298,Attributes!$A$3:$A$52,0))</f>
        <v/>
      </c>
      <c r="R298">
        <f>IF(B298="Pillar",SUBSTITUTE(Entity!$B$7,"{entity}",LOWER(Entity!$B$3)),IF(B298="Cluster",IF(INDEX(Attributes!$G$3:$G$52,Q298)&lt;&gt;"",INDEX(Attributes!$G$3:$G$52,Q298),SUBSTITUTE(SUBSTITUTE(Entity!$B$8,"{entity}",LOWER(Entity!$B$3)),"{attribute}",LOWER(C298))),IF(B298="Supporting",SUBSTITUTE(SUBSTITUTE(SUBSTITUTE(IF(INDEX(Attributes!$H$3:$H$52,Q298)&lt;&gt;"",INDEX(Attributes!$H$3:$H$52,Q298),Entity!$B$9),"{entity}",LOWER(Entity!$B$3)),"{value}",D298),"{attribute}",LOWER(C298)),"")))</f>
        <v/>
      </c>
    </row>
    <row r="299">
      <c r="A299">
        <f>ROW()-2</f>
        <v/>
      </c>
      <c r="B299">
        <f>IF(A299=1,"Pillar",IF(A299&lt;=1+Entity!$B$14,"Cluster",IF(A299&lt;=1+Entity!$B$14+Entity!$B$15,"Supporting","")))</f>
        <v/>
      </c>
      <c r="C299">
        <f>IF(B299="Cluster",INDEX(Attributes!$A$3:$A$52,MATCH(A299-1,Attributes!$P$3:$P$52,0)),IF(B299="Supporting",INDEX(Values!$A$3:$A$502,P299),""))</f>
        <v/>
      </c>
      <c r="D299">
        <f>IF(B299="Supporting",INDEX(Values!$B$3:$B$502,P299),"")</f>
        <v/>
      </c>
      <c r="E299">
        <f>IF(R299="","",UPPER(LEFT(R299,1))&amp;MID(R299,2,500))</f>
        <v/>
      </c>
      <c r="F299">
        <f>IF(E299="","",LOWER(SUBSTITUTE(SUBSTITUTE(SUBSTITUTE(SUBSTITUTE(SUBSTITUTE(SUBSTITUTE(SUBSTITUTE(TRIM(E299),":",""),",",""),"'",""),"&amp;","and"),"£",""),"  "," ")," ","-")))</f>
        <v/>
      </c>
      <c r="G299">
        <f>IF(B299="Cluster",$E$3,IF(B299="Supporting",INDEX($E$3:$E$553,MATCH(C299,$C$3:$C$553,0)),""))</f>
        <v/>
      </c>
      <c r="H299">
        <f>IF(B299="Supporting",IFERROR(INDEX($E$3:$E$553,1+Entity!$B$14+INDEX(Values!$O$3:$O$502,P299)),""),IF(B299="Cluster",IF(Entity!$B$14&lt;2,"",INDEX($E$3:$E$553,IF(A299-1=Entity!$B$14,2,A299+1))),""))</f>
        <v/>
      </c>
      <c r="I299">
        <f>IF(B299="Pillar",Entity!$B$14&amp;" cluster pages",IF(B299="Cluster",(COUNTIF($C$3:$C$553,SUBSTITUTE(SUBSTITUTE(C299,"?","~?"),"*","~*"))-1)&amp;" supporting pages",""))</f>
        <v/>
      </c>
      <c r="J299">
        <f>IF(B299="Pillar","Informational",IF(OR(B299="Cluster",B299="Supporting"),INDEX(Attributes!$D$3:$D$52,Q299)&amp;"",""))</f>
        <v/>
      </c>
      <c r="K299">
        <f>IF(B299="","",IF(B299="Pillar","Pillar guide (entity hub)",IF(B299="Cluster","Hub page for this attribute",IF(INDEX(Values!$C$3:$C$502,P299)="Yes","Entity page (profile of the sub-entity)",IFERROR(INDEX(Lists!$B$3:$B$6,MATCH(J299,Lists!$A$3:$A$6,0)),"Article")))))</f>
        <v/>
      </c>
      <c r="L299">
        <f>IF(B299="Pillar",Entity!$B$6&amp;"",IF(B299="Cluster",INDEX(Attributes!$I$3:$I$52,Q299)&amp;"",IF(B299="Supporting",INDEX(Values!$F$3:$F$502,P299)&amp;"","")))</f>
        <v/>
      </c>
      <c r="M299">
        <f>IF(B299="","",IF(L299&lt;&gt;"","Covered","Gap"))</f>
        <v/>
      </c>
      <c r="N299">
        <f>IF(B299="Pillar",SUMIFS(Values!$E$3:$E$502,Values!$I$3:$I$502,"Yes"),IF(B299="Cluster",SUMIFS(Values!$E$3:$E$502,Values!$A$3:$A$502,SUBSTITUTE(SUBSTITUTE(C299,"?","~?"),"*","~*"),Values!$I$3:$I$502,"Yes"),IF(B299="Supporting",N(INDEX(Values!$E$3:$E$502,P299)),"")))</f>
        <v/>
      </c>
      <c r="O299">
        <f>IF(B299="","",IF(B299="Pillar",100,IF(B299="Cluster",N(INDEX(Attributes!$E$3:$E$52,Q299))*25+IF(M299="Gap",10,0),N(INDEX(Attributes!$E$3:$E$52,Q299))*20+MIN(20,ROUND(LOG10(N(N299)+1)*5,0))+IF(M299="Gap",10,0)+IF(INDEX(Values!$D$3:$D$502,P299)="Yes",5,0))))</f>
        <v/>
      </c>
      <c r="P299">
        <f>IF(B299="Supporting",MATCH(A299-1-Entity!$B$14,Values!$J$3:$J$502,0),"")</f>
        <v/>
      </c>
      <c r="Q299">
        <f>IF(C299="","",MATCH(C299,Attributes!$A$3:$A$52,0))</f>
        <v/>
      </c>
      <c r="R299">
        <f>IF(B299="Pillar",SUBSTITUTE(Entity!$B$7,"{entity}",LOWER(Entity!$B$3)),IF(B299="Cluster",IF(INDEX(Attributes!$G$3:$G$52,Q299)&lt;&gt;"",INDEX(Attributes!$G$3:$G$52,Q299),SUBSTITUTE(SUBSTITUTE(Entity!$B$8,"{entity}",LOWER(Entity!$B$3)),"{attribute}",LOWER(C299))),IF(B299="Supporting",SUBSTITUTE(SUBSTITUTE(SUBSTITUTE(IF(INDEX(Attributes!$H$3:$H$52,Q299)&lt;&gt;"",INDEX(Attributes!$H$3:$H$52,Q299),Entity!$B$9),"{entity}",LOWER(Entity!$B$3)),"{value}",D299),"{attribute}",LOWER(C299)),"")))</f>
        <v/>
      </c>
    </row>
    <row r="300">
      <c r="A300">
        <f>ROW()-2</f>
        <v/>
      </c>
      <c r="B300">
        <f>IF(A300=1,"Pillar",IF(A300&lt;=1+Entity!$B$14,"Cluster",IF(A300&lt;=1+Entity!$B$14+Entity!$B$15,"Supporting","")))</f>
        <v/>
      </c>
      <c r="C300">
        <f>IF(B300="Cluster",INDEX(Attributes!$A$3:$A$52,MATCH(A300-1,Attributes!$P$3:$P$52,0)),IF(B300="Supporting",INDEX(Values!$A$3:$A$502,P300),""))</f>
        <v/>
      </c>
      <c r="D300">
        <f>IF(B300="Supporting",INDEX(Values!$B$3:$B$502,P300),"")</f>
        <v/>
      </c>
      <c r="E300">
        <f>IF(R300="","",UPPER(LEFT(R300,1))&amp;MID(R300,2,500))</f>
        <v/>
      </c>
      <c r="F300">
        <f>IF(E300="","",LOWER(SUBSTITUTE(SUBSTITUTE(SUBSTITUTE(SUBSTITUTE(SUBSTITUTE(SUBSTITUTE(SUBSTITUTE(TRIM(E300),":",""),",",""),"'",""),"&amp;","and"),"£",""),"  "," ")," ","-")))</f>
        <v/>
      </c>
      <c r="G300">
        <f>IF(B300="Cluster",$E$3,IF(B300="Supporting",INDEX($E$3:$E$553,MATCH(C300,$C$3:$C$553,0)),""))</f>
        <v/>
      </c>
      <c r="H300">
        <f>IF(B300="Supporting",IFERROR(INDEX($E$3:$E$553,1+Entity!$B$14+INDEX(Values!$O$3:$O$502,P300)),""),IF(B300="Cluster",IF(Entity!$B$14&lt;2,"",INDEX($E$3:$E$553,IF(A300-1=Entity!$B$14,2,A300+1))),""))</f>
        <v/>
      </c>
      <c r="I300">
        <f>IF(B300="Pillar",Entity!$B$14&amp;" cluster pages",IF(B300="Cluster",(COUNTIF($C$3:$C$553,SUBSTITUTE(SUBSTITUTE(C300,"?","~?"),"*","~*"))-1)&amp;" supporting pages",""))</f>
        <v/>
      </c>
      <c r="J300">
        <f>IF(B300="Pillar","Informational",IF(OR(B300="Cluster",B300="Supporting"),INDEX(Attributes!$D$3:$D$52,Q300)&amp;"",""))</f>
        <v/>
      </c>
      <c r="K300">
        <f>IF(B300="","",IF(B300="Pillar","Pillar guide (entity hub)",IF(B300="Cluster","Hub page for this attribute",IF(INDEX(Values!$C$3:$C$502,P300)="Yes","Entity page (profile of the sub-entity)",IFERROR(INDEX(Lists!$B$3:$B$6,MATCH(J300,Lists!$A$3:$A$6,0)),"Article")))))</f>
        <v/>
      </c>
      <c r="L300">
        <f>IF(B300="Pillar",Entity!$B$6&amp;"",IF(B300="Cluster",INDEX(Attributes!$I$3:$I$52,Q300)&amp;"",IF(B300="Supporting",INDEX(Values!$F$3:$F$502,P300)&amp;"","")))</f>
        <v/>
      </c>
      <c r="M300">
        <f>IF(B300="","",IF(L300&lt;&gt;"","Covered","Gap"))</f>
        <v/>
      </c>
      <c r="N300">
        <f>IF(B300="Pillar",SUMIFS(Values!$E$3:$E$502,Values!$I$3:$I$502,"Yes"),IF(B300="Cluster",SUMIFS(Values!$E$3:$E$502,Values!$A$3:$A$502,SUBSTITUTE(SUBSTITUTE(C300,"?","~?"),"*","~*"),Values!$I$3:$I$502,"Yes"),IF(B300="Supporting",N(INDEX(Values!$E$3:$E$502,P300)),"")))</f>
        <v/>
      </c>
      <c r="O300">
        <f>IF(B300="","",IF(B300="Pillar",100,IF(B300="Cluster",N(INDEX(Attributes!$E$3:$E$52,Q300))*25+IF(M300="Gap",10,0),N(INDEX(Attributes!$E$3:$E$52,Q300))*20+MIN(20,ROUND(LOG10(N(N300)+1)*5,0))+IF(M300="Gap",10,0)+IF(INDEX(Values!$D$3:$D$502,P300)="Yes",5,0))))</f>
        <v/>
      </c>
      <c r="P300">
        <f>IF(B300="Supporting",MATCH(A300-1-Entity!$B$14,Values!$J$3:$J$502,0),"")</f>
        <v/>
      </c>
      <c r="Q300">
        <f>IF(C300="","",MATCH(C300,Attributes!$A$3:$A$52,0))</f>
        <v/>
      </c>
      <c r="R300">
        <f>IF(B300="Pillar",SUBSTITUTE(Entity!$B$7,"{entity}",LOWER(Entity!$B$3)),IF(B300="Cluster",IF(INDEX(Attributes!$G$3:$G$52,Q300)&lt;&gt;"",INDEX(Attributes!$G$3:$G$52,Q300),SUBSTITUTE(SUBSTITUTE(Entity!$B$8,"{entity}",LOWER(Entity!$B$3)),"{attribute}",LOWER(C300))),IF(B300="Supporting",SUBSTITUTE(SUBSTITUTE(SUBSTITUTE(IF(INDEX(Attributes!$H$3:$H$52,Q300)&lt;&gt;"",INDEX(Attributes!$H$3:$H$52,Q300),Entity!$B$9),"{entity}",LOWER(Entity!$B$3)),"{value}",D300),"{attribute}",LOWER(C300)),"")))</f>
        <v/>
      </c>
    </row>
    <row r="301">
      <c r="A301">
        <f>ROW()-2</f>
        <v/>
      </c>
      <c r="B301">
        <f>IF(A301=1,"Pillar",IF(A301&lt;=1+Entity!$B$14,"Cluster",IF(A301&lt;=1+Entity!$B$14+Entity!$B$15,"Supporting","")))</f>
        <v/>
      </c>
      <c r="C301">
        <f>IF(B301="Cluster",INDEX(Attributes!$A$3:$A$52,MATCH(A301-1,Attributes!$P$3:$P$52,0)),IF(B301="Supporting",INDEX(Values!$A$3:$A$502,P301),""))</f>
        <v/>
      </c>
      <c r="D301">
        <f>IF(B301="Supporting",INDEX(Values!$B$3:$B$502,P301),"")</f>
        <v/>
      </c>
      <c r="E301">
        <f>IF(R301="","",UPPER(LEFT(R301,1))&amp;MID(R301,2,500))</f>
        <v/>
      </c>
      <c r="F301">
        <f>IF(E301="","",LOWER(SUBSTITUTE(SUBSTITUTE(SUBSTITUTE(SUBSTITUTE(SUBSTITUTE(SUBSTITUTE(SUBSTITUTE(TRIM(E301),":",""),",",""),"'",""),"&amp;","and"),"£",""),"  "," ")," ","-")))</f>
        <v/>
      </c>
      <c r="G301">
        <f>IF(B301="Cluster",$E$3,IF(B301="Supporting",INDEX($E$3:$E$553,MATCH(C301,$C$3:$C$553,0)),""))</f>
        <v/>
      </c>
      <c r="H301">
        <f>IF(B301="Supporting",IFERROR(INDEX($E$3:$E$553,1+Entity!$B$14+INDEX(Values!$O$3:$O$502,P301)),""),IF(B301="Cluster",IF(Entity!$B$14&lt;2,"",INDEX($E$3:$E$553,IF(A301-1=Entity!$B$14,2,A301+1))),""))</f>
        <v/>
      </c>
      <c r="I301">
        <f>IF(B301="Pillar",Entity!$B$14&amp;" cluster pages",IF(B301="Cluster",(COUNTIF($C$3:$C$553,SUBSTITUTE(SUBSTITUTE(C301,"?","~?"),"*","~*"))-1)&amp;" supporting pages",""))</f>
        <v/>
      </c>
      <c r="J301">
        <f>IF(B301="Pillar","Informational",IF(OR(B301="Cluster",B301="Supporting"),INDEX(Attributes!$D$3:$D$52,Q301)&amp;"",""))</f>
        <v/>
      </c>
      <c r="K301">
        <f>IF(B301="","",IF(B301="Pillar","Pillar guide (entity hub)",IF(B301="Cluster","Hub page for this attribute",IF(INDEX(Values!$C$3:$C$502,P301)="Yes","Entity page (profile of the sub-entity)",IFERROR(INDEX(Lists!$B$3:$B$6,MATCH(J301,Lists!$A$3:$A$6,0)),"Article")))))</f>
        <v/>
      </c>
      <c r="L301">
        <f>IF(B301="Pillar",Entity!$B$6&amp;"",IF(B301="Cluster",INDEX(Attributes!$I$3:$I$52,Q301)&amp;"",IF(B301="Supporting",INDEX(Values!$F$3:$F$502,P301)&amp;"","")))</f>
        <v/>
      </c>
      <c r="M301">
        <f>IF(B301="","",IF(L301&lt;&gt;"","Covered","Gap"))</f>
        <v/>
      </c>
      <c r="N301">
        <f>IF(B301="Pillar",SUMIFS(Values!$E$3:$E$502,Values!$I$3:$I$502,"Yes"),IF(B301="Cluster",SUMIFS(Values!$E$3:$E$502,Values!$A$3:$A$502,SUBSTITUTE(SUBSTITUTE(C301,"?","~?"),"*","~*"),Values!$I$3:$I$502,"Yes"),IF(B301="Supporting",N(INDEX(Values!$E$3:$E$502,P301)),"")))</f>
        <v/>
      </c>
      <c r="O301">
        <f>IF(B301="","",IF(B301="Pillar",100,IF(B301="Cluster",N(INDEX(Attributes!$E$3:$E$52,Q301))*25+IF(M301="Gap",10,0),N(INDEX(Attributes!$E$3:$E$52,Q301))*20+MIN(20,ROUND(LOG10(N(N301)+1)*5,0))+IF(M301="Gap",10,0)+IF(INDEX(Values!$D$3:$D$502,P301)="Yes",5,0))))</f>
        <v/>
      </c>
      <c r="P301">
        <f>IF(B301="Supporting",MATCH(A301-1-Entity!$B$14,Values!$J$3:$J$502,0),"")</f>
        <v/>
      </c>
      <c r="Q301">
        <f>IF(C301="","",MATCH(C301,Attributes!$A$3:$A$52,0))</f>
        <v/>
      </c>
      <c r="R301">
        <f>IF(B301="Pillar",SUBSTITUTE(Entity!$B$7,"{entity}",LOWER(Entity!$B$3)),IF(B301="Cluster",IF(INDEX(Attributes!$G$3:$G$52,Q301)&lt;&gt;"",INDEX(Attributes!$G$3:$G$52,Q301),SUBSTITUTE(SUBSTITUTE(Entity!$B$8,"{entity}",LOWER(Entity!$B$3)),"{attribute}",LOWER(C301))),IF(B301="Supporting",SUBSTITUTE(SUBSTITUTE(SUBSTITUTE(IF(INDEX(Attributes!$H$3:$H$52,Q301)&lt;&gt;"",INDEX(Attributes!$H$3:$H$52,Q301),Entity!$B$9),"{entity}",LOWER(Entity!$B$3)),"{value}",D301),"{attribute}",LOWER(C301)),"")))</f>
        <v/>
      </c>
    </row>
    <row r="302">
      <c r="A302">
        <f>ROW()-2</f>
        <v/>
      </c>
      <c r="B302">
        <f>IF(A302=1,"Pillar",IF(A302&lt;=1+Entity!$B$14,"Cluster",IF(A302&lt;=1+Entity!$B$14+Entity!$B$15,"Supporting","")))</f>
        <v/>
      </c>
      <c r="C302">
        <f>IF(B302="Cluster",INDEX(Attributes!$A$3:$A$52,MATCH(A302-1,Attributes!$P$3:$P$52,0)),IF(B302="Supporting",INDEX(Values!$A$3:$A$502,P302),""))</f>
        <v/>
      </c>
      <c r="D302">
        <f>IF(B302="Supporting",INDEX(Values!$B$3:$B$502,P302),"")</f>
        <v/>
      </c>
      <c r="E302">
        <f>IF(R302="","",UPPER(LEFT(R302,1))&amp;MID(R302,2,500))</f>
        <v/>
      </c>
      <c r="F302">
        <f>IF(E302="","",LOWER(SUBSTITUTE(SUBSTITUTE(SUBSTITUTE(SUBSTITUTE(SUBSTITUTE(SUBSTITUTE(SUBSTITUTE(TRIM(E302),":",""),",",""),"'",""),"&amp;","and"),"£",""),"  "," ")," ","-")))</f>
        <v/>
      </c>
      <c r="G302">
        <f>IF(B302="Cluster",$E$3,IF(B302="Supporting",INDEX($E$3:$E$553,MATCH(C302,$C$3:$C$553,0)),""))</f>
        <v/>
      </c>
      <c r="H302">
        <f>IF(B302="Supporting",IFERROR(INDEX($E$3:$E$553,1+Entity!$B$14+INDEX(Values!$O$3:$O$502,P302)),""),IF(B302="Cluster",IF(Entity!$B$14&lt;2,"",INDEX($E$3:$E$553,IF(A302-1=Entity!$B$14,2,A302+1))),""))</f>
        <v/>
      </c>
      <c r="I302">
        <f>IF(B302="Pillar",Entity!$B$14&amp;" cluster pages",IF(B302="Cluster",(COUNTIF($C$3:$C$553,SUBSTITUTE(SUBSTITUTE(C302,"?","~?"),"*","~*"))-1)&amp;" supporting pages",""))</f>
        <v/>
      </c>
      <c r="J302">
        <f>IF(B302="Pillar","Informational",IF(OR(B302="Cluster",B302="Supporting"),INDEX(Attributes!$D$3:$D$52,Q302)&amp;"",""))</f>
        <v/>
      </c>
      <c r="K302">
        <f>IF(B302="","",IF(B302="Pillar","Pillar guide (entity hub)",IF(B302="Cluster","Hub page for this attribute",IF(INDEX(Values!$C$3:$C$502,P302)="Yes","Entity page (profile of the sub-entity)",IFERROR(INDEX(Lists!$B$3:$B$6,MATCH(J302,Lists!$A$3:$A$6,0)),"Article")))))</f>
        <v/>
      </c>
      <c r="L302">
        <f>IF(B302="Pillar",Entity!$B$6&amp;"",IF(B302="Cluster",INDEX(Attributes!$I$3:$I$52,Q302)&amp;"",IF(B302="Supporting",INDEX(Values!$F$3:$F$502,P302)&amp;"","")))</f>
        <v/>
      </c>
      <c r="M302">
        <f>IF(B302="","",IF(L302&lt;&gt;"","Covered","Gap"))</f>
        <v/>
      </c>
      <c r="N302">
        <f>IF(B302="Pillar",SUMIFS(Values!$E$3:$E$502,Values!$I$3:$I$502,"Yes"),IF(B302="Cluster",SUMIFS(Values!$E$3:$E$502,Values!$A$3:$A$502,SUBSTITUTE(SUBSTITUTE(C302,"?","~?"),"*","~*"),Values!$I$3:$I$502,"Yes"),IF(B302="Supporting",N(INDEX(Values!$E$3:$E$502,P302)),"")))</f>
        <v/>
      </c>
      <c r="O302">
        <f>IF(B302="","",IF(B302="Pillar",100,IF(B302="Cluster",N(INDEX(Attributes!$E$3:$E$52,Q302))*25+IF(M302="Gap",10,0),N(INDEX(Attributes!$E$3:$E$52,Q302))*20+MIN(20,ROUND(LOG10(N(N302)+1)*5,0))+IF(M302="Gap",10,0)+IF(INDEX(Values!$D$3:$D$502,P302)="Yes",5,0))))</f>
        <v/>
      </c>
      <c r="P302">
        <f>IF(B302="Supporting",MATCH(A302-1-Entity!$B$14,Values!$J$3:$J$502,0),"")</f>
        <v/>
      </c>
      <c r="Q302">
        <f>IF(C302="","",MATCH(C302,Attributes!$A$3:$A$52,0))</f>
        <v/>
      </c>
      <c r="R302">
        <f>IF(B302="Pillar",SUBSTITUTE(Entity!$B$7,"{entity}",LOWER(Entity!$B$3)),IF(B302="Cluster",IF(INDEX(Attributes!$G$3:$G$52,Q302)&lt;&gt;"",INDEX(Attributes!$G$3:$G$52,Q302),SUBSTITUTE(SUBSTITUTE(Entity!$B$8,"{entity}",LOWER(Entity!$B$3)),"{attribute}",LOWER(C302))),IF(B302="Supporting",SUBSTITUTE(SUBSTITUTE(SUBSTITUTE(IF(INDEX(Attributes!$H$3:$H$52,Q302)&lt;&gt;"",INDEX(Attributes!$H$3:$H$52,Q302),Entity!$B$9),"{entity}",LOWER(Entity!$B$3)),"{value}",D302),"{attribute}",LOWER(C302)),"")))</f>
        <v/>
      </c>
    </row>
    <row r="303">
      <c r="A303">
        <f>ROW()-2</f>
        <v/>
      </c>
      <c r="B303">
        <f>IF(A303=1,"Pillar",IF(A303&lt;=1+Entity!$B$14,"Cluster",IF(A303&lt;=1+Entity!$B$14+Entity!$B$15,"Supporting","")))</f>
        <v/>
      </c>
      <c r="C303">
        <f>IF(B303="Cluster",INDEX(Attributes!$A$3:$A$52,MATCH(A303-1,Attributes!$P$3:$P$52,0)),IF(B303="Supporting",INDEX(Values!$A$3:$A$502,P303),""))</f>
        <v/>
      </c>
      <c r="D303">
        <f>IF(B303="Supporting",INDEX(Values!$B$3:$B$502,P303),"")</f>
        <v/>
      </c>
      <c r="E303">
        <f>IF(R303="","",UPPER(LEFT(R303,1))&amp;MID(R303,2,500))</f>
        <v/>
      </c>
      <c r="F303">
        <f>IF(E303="","",LOWER(SUBSTITUTE(SUBSTITUTE(SUBSTITUTE(SUBSTITUTE(SUBSTITUTE(SUBSTITUTE(SUBSTITUTE(TRIM(E303),":",""),",",""),"'",""),"&amp;","and"),"£",""),"  "," ")," ","-")))</f>
        <v/>
      </c>
      <c r="G303">
        <f>IF(B303="Cluster",$E$3,IF(B303="Supporting",INDEX($E$3:$E$553,MATCH(C303,$C$3:$C$553,0)),""))</f>
        <v/>
      </c>
      <c r="H303">
        <f>IF(B303="Supporting",IFERROR(INDEX($E$3:$E$553,1+Entity!$B$14+INDEX(Values!$O$3:$O$502,P303)),""),IF(B303="Cluster",IF(Entity!$B$14&lt;2,"",INDEX($E$3:$E$553,IF(A303-1=Entity!$B$14,2,A303+1))),""))</f>
        <v/>
      </c>
      <c r="I303">
        <f>IF(B303="Pillar",Entity!$B$14&amp;" cluster pages",IF(B303="Cluster",(COUNTIF($C$3:$C$553,SUBSTITUTE(SUBSTITUTE(C303,"?","~?"),"*","~*"))-1)&amp;" supporting pages",""))</f>
        <v/>
      </c>
      <c r="J303">
        <f>IF(B303="Pillar","Informational",IF(OR(B303="Cluster",B303="Supporting"),INDEX(Attributes!$D$3:$D$52,Q303)&amp;"",""))</f>
        <v/>
      </c>
      <c r="K303">
        <f>IF(B303="","",IF(B303="Pillar","Pillar guide (entity hub)",IF(B303="Cluster","Hub page for this attribute",IF(INDEX(Values!$C$3:$C$502,P303)="Yes","Entity page (profile of the sub-entity)",IFERROR(INDEX(Lists!$B$3:$B$6,MATCH(J303,Lists!$A$3:$A$6,0)),"Article")))))</f>
        <v/>
      </c>
      <c r="L303">
        <f>IF(B303="Pillar",Entity!$B$6&amp;"",IF(B303="Cluster",INDEX(Attributes!$I$3:$I$52,Q303)&amp;"",IF(B303="Supporting",INDEX(Values!$F$3:$F$502,P303)&amp;"","")))</f>
        <v/>
      </c>
      <c r="M303">
        <f>IF(B303="","",IF(L303&lt;&gt;"","Covered","Gap"))</f>
        <v/>
      </c>
      <c r="N303">
        <f>IF(B303="Pillar",SUMIFS(Values!$E$3:$E$502,Values!$I$3:$I$502,"Yes"),IF(B303="Cluster",SUMIFS(Values!$E$3:$E$502,Values!$A$3:$A$502,SUBSTITUTE(SUBSTITUTE(C303,"?","~?"),"*","~*"),Values!$I$3:$I$502,"Yes"),IF(B303="Supporting",N(INDEX(Values!$E$3:$E$502,P303)),"")))</f>
        <v/>
      </c>
      <c r="O303">
        <f>IF(B303="","",IF(B303="Pillar",100,IF(B303="Cluster",N(INDEX(Attributes!$E$3:$E$52,Q303))*25+IF(M303="Gap",10,0),N(INDEX(Attributes!$E$3:$E$52,Q303))*20+MIN(20,ROUND(LOG10(N(N303)+1)*5,0))+IF(M303="Gap",10,0)+IF(INDEX(Values!$D$3:$D$502,P303)="Yes",5,0))))</f>
        <v/>
      </c>
      <c r="P303">
        <f>IF(B303="Supporting",MATCH(A303-1-Entity!$B$14,Values!$J$3:$J$502,0),"")</f>
        <v/>
      </c>
      <c r="Q303">
        <f>IF(C303="","",MATCH(C303,Attributes!$A$3:$A$52,0))</f>
        <v/>
      </c>
      <c r="R303">
        <f>IF(B303="Pillar",SUBSTITUTE(Entity!$B$7,"{entity}",LOWER(Entity!$B$3)),IF(B303="Cluster",IF(INDEX(Attributes!$G$3:$G$52,Q303)&lt;&gt;"",INDEX(Attributes!$G$3:$G$52,Q303),SUBSTITUTE(SUBSTITUTE(Entity!$B$8,"{entity}",LOWER(Entity!$B$3)),"{attribute}",LOWER(C303))),IF(B303="Supporting",SUBSTITUTE(SUBSTITUTE(SUBSTITUTE(IF(INDEX(Attributes!$H$3:$H$52,Q303)&lt;&gt;"",INDEX(Attributes!$H$3:$H$52,Q303),Entity!$B$9),"{entity}",LOWER(Entity!$B$3)),"{value}",D303),"{attribute}",LOWER(C303)),"")))</f>
        <v/>
      </c>
    </row>
    <row r="304">
      <c r="A304">
        <f>ROW()-2</f>
        <v/>
      </c>
      <c r="B304">
        <f>IF(A304=1,"Pillar",IF(A304&lt;=1+Entity!$B$14,"Cluster",IF(A304&lt;=1+Entity!$B$14+Entity!$B$15,"Supporting","")))</f>
        <v/>
      </c>
      <c r="C304">
        <f>IF(B304="Cluster",INDEX(Attributes!$A$3:$A$52,MATCH(A304-1,Attributes!$P$3:$P$52,0)),IF(B304="Supporting",INDEX(Values!$A$3:$A$502,P304),""))</f>
        <v/>
      </c>
      <c r="D304">
        <f>IF(B304="Supporting",INDEX(Values!$B$3:$B$502,P304),"")</f>
        <v/>
      </c>
      <c r="E304">
        <f>IF(R304="","",UPPER(LEFT(R304,1))&amp;MID(R304,2,500))</f>
        <v/>
      </c>
      <c r="F304">
        <f>IF(E304="","",LOWER(SUBSTITUTE(SUBSTITUTE(SUBSTITUTE(SUBSTITUTE(SUBSTITUTE(SUBSTITUTE(SUBSTITUTE(TRIM(E304),":",""),",",""),"'",""),"&amp;","and"),"£",""),"  "," ")," ","-")))</f>
        <v/>
      </c>
      <c r="G304">
        <f>IF(B304="Cluster",$E$3,IF(B304="Supporting",INDEX($E$3:$E$553,MATCH(C304,$C$3:$C$553,0)),""))</f>
        <v/>
      </c>
      <c r="H304">
        <f>IF(B304="Supporting",IFERROR(INDEX($E$3:$E$553,1+Entity!$B$14+INDEX(Values!$O$3:$O$502,P304)),""),IF(B304="Cluster",IF(Entity!$B$14&lt;2,"",INDEX($E$3:$E$553,IF(A304-1=Entity!$B$14,2,A304+1))),""))</f>
        <v/>
      </c>
      <c r="I304">
        <f>IF(B304="Pillar",Entity!$B$14&amp;" cluster pages",IF(B304="Cluster",(COUNTIF($C$3:$C$553,SUBSTITUTE(SUBSTITUTE(C304,"?","~?"),"*","~*"))-1)&amp;" supporting pages",""))</f>
        <v/>
      </c>
      <c r="J304">
        <f>IF(B304="Pillar","Informational",IF(OR(B304="Cluster",B304="Supporting"),INDEX(Attributes!$D$3:$D$52,Q304)&amp;"",""))</f>
        <v/>
      </c>
      <c r="K304">
        <f>IF(B304="","",IF(B304="Pillar","Pillar guide (entity hub)",IF(B304="Cluster","Hub page for this attribute",IF(INDEX(Values!$C$3:$C$502,P304)="Yes","Entity page (profile of the sub-entity)",IFERROR(INDEX(Lists!$B$3:$B$6,MATCH(J304,Lists!$A$3:$A$6,0)),"Article")))))</f>
        <v/>
      </c>
      <c r="L304">
        <f>IF(B304="Pillar",Entity!$B$6&amp;"",IF(B304="Cluster",INDEX(Attributes!$I$3:$I$52,Q304)&amp;"",IF(B304="Supporting",INDEX(Values!$F$3:$F$502,P304)&amp;"","")))</f>
        <v/>
      </c>
      <c r="M304">
        <f>IF(B304="","",IF(L304&lt;&gt;"","Covered","Gap"))</f>
        <v/>
      </c>
      <c r="N304">
        <f>IF(B304="Pillar",SUMIFS(Values!$E$3:$E$502,Values!$I$3:$I$502,"Yes"),IF(B304="Cluster",SUMIFS(Values!$E$3:$E$502,Values!$A$3:$A$502,SUBSTITUTE(SUBSTITUTE(C304,"?","~?"),"*","~*"),Values!$I$3:$I$502,"Yes"),IF(B304="Supporting",N(INDEX(Values!$E$3:$E$502,P304)),"")))</f>
        <v/>
      </c>
      <c r="O304">
        <f>IF(B304="","",IF(B304="Pillar",100,IF(B304="Cluster",N(INDEX(Attributes!$E$3:$E$52,Q304))*25+IF(M304="Gap",10,0),N(INDEX(Attributes!$E$3:$E$52,Q304))*20+MIN(20,ROUND(LOG10(N(N304)+1)*5,0))+IF(M304="Gap",10,0)+IF(INDEX(Values!$D$3:$D$502,P304)="Yes",5,0))))</f>
        <v/>
      </c>
      <c r="P304">
        <f>IF(B304="Supporting",MATCH(A304-1-Entity!$B$14,Values!$J$3:$J$502,0),"")</f>
        <v/>
      </c>
      <c r="Q304">
        <f>IF(C304="","",MATCH(C304,Attributes!$A$3:$A$52,0))</f>
        <v/>
      </c>
      <c r="R304">
        <f>IF(B304="Pillar",SUBSTITUTE(Entity!$B$7,"{entity}",LOWER(Entity!$B$3)),IF(B304="Cluster",IF(INDEX(Attributes!$G$3:$G$52,Q304)&lt;&gt;"",INDEX(Attributes!$G$3:$G$52,Q304),SUBSTITUTE(SUBSTITUTE(Entity!$B$8,"{entity}",LOWER(Entity!$B$3)),"{attribute}",LOWER(C304))),IF(B304="Supporting",SUBSTITUTE(SUBSTITUTE(SUBSTITUTE(IF(INDEX(Attributes!$H$3:$H$52,Q304)&lt;&gt;"",INDEX(Attributes!$H$3:$H$52,Q304),Entity!$B$9),"{entity}",LOWER(Entity!$B$3)),"{value}",D304),"{attribute}",LOWER(C304)),"")))</f>
        <v/>
      </c>
    </row>
    <row r="305">
      <c r="A305">
        <f>ROW()-2</f>
        <v/>
      </c>
      <c r="B305">
        <f>IF(A305=1,"Pillar",IF(A305&lt;=1+Entity!$B$14,"Cluster",IF(A305&lt;=1+Entity!$B$14+Entity!$B$15,"Supporting","")))</f>
        <v/>
      </c>
      <c r="C305">
        <f>IF(B305="Cluster",INDEX(Attributes!$A$3:$A$52,MATCH(A305-1,Attributes!$P$3:$P$52,0)),IF(B305="Supporting",INDEX(Values!$A$3:$A$502,P305),""))</f>
        <v/>
      </c>
      <c r="D305">
        <f>IF(B305="Supporting",INDEX(Values!$B$3:$B$502,P305),"")</f>
        <v/>
      </c>
      <c r="E305">
        <f>IF(R305="","",UPPER(LEFT(R305,1))&amp;MID(R305,2,500))</f>
        <v/>
      </c>
      <c r="F305">
        <f>IF(E305="","",LOWER(SUBSTITUTE(SUBSTITUTE(SUBSTITUTE(SUBSTITUTE(SUBSTITUTE(SUBSTITUTE(SUBSTITUTE(TRIM(E305),":",""),",",""),"'",""),"&amp;","and"),"£",""),"  "," ")," ","-")))</f>
        <v/>
      </c>
      <c r="G305">
        <f>IF(B305="Cluster",$E$3,IF(B305="Supporting",INDEX($E$3:$E$553,MATCH(C305,$C$3:$C$553,0)),""))</f>
        <v/>
      </c>
      <c r="H305">
        <f>IF(B305="Supporting",IFERROR(INDEX($E$3:$E$553,1+Entity!$B$14+INDEX(Values!$O$3:$O$502,P305)),""),IF(B305="Cluster",IF(Entity!$B$14&lt;2,"",INDEX($E$3:$E$553,IF(A305-1=Entity!$B$14,2,A305+1))),""))</f>
        <v/>
      </c>
      <c r="I305">
        <f>IF(B305="Pillar",Entity!$B$14&amp;" cluster pages",IF(B305="Cluster",(COUNTIF($C$3:$C$553,SUBSTITUTE(SUBSTITUTE(C305,"?","~?"),"*","~*"))-1)&amp;" supporting pages",""))</f>
        <v/>
      </c>
      <c r="J305">
        <f>IF(B305="Pillar","Informational",IF(OR(B305="Cluster",B305="Supporting"),INDEX(Attributes!$D$3:$D$52,Q305)&amp;"",""))</f>
        <v/>
      </c>
      <c r="K305">
        <f>IF(B305="","",IF(B305="Pillar","Pillar guide (entity hub)",IF(B305="Cluster","Hub page for this attribute",IF(INDEX(Values!$C$3:$C$502,P305)="Yes","Entity page (profile of the sub-entity)",IFERROR(INDEX(Lists!$B$3:$B$6,MATCH(J305,Lists!$A$3:$A$6,0)),"Article")))))</f>
        <v/>
      </c>
      <c r="L305">
        <f>IF(B305="Pillar",Entity!$B$6&amp;"",IF(B305="Cluster",INDEX(Attributes!$I$3:$I$52,Q305)&amp;"",IF(B305="Supporting",INDEX(Values!$F$3:$F$502,P305)&amp;"","")))</f>
        <v/>
      </c>
      <c r="M305">
        <f>IF(B305="","",IF(L305&lt;&gt;"","Covered","Gap"))</f>
        <v/>
      </c>
      <c r="N305">
        <f>IF(B305="Pillar",SUMIFS(Values!$E$3:$E$502,Values!$I$3:$I$502,"Yes"),IF(B305="Cluster",SUMIFS(Values!$E$3:$E$502,Values!$A$3:$A$502,SUBSTITUTE(SUBSTITUTE(C305,"?","~?"),"*","~*"),Values!$I$3:$I$502,"Yes"),IF(B305="Supporting",N(INDEX(Values!$E$3:$E$502,P305)),"")))</f>
        <v/>
      </c>
      <c r="O305">
        <f>IF(B305="","",IF(B305="Pillar",100,IF(B305="Cluster",N(INDEX(Attributes!$E$3:$E$52,Q305))*25+IF(M305="Gap",10,0),N(INDEX(Attributes!$E$3:$E$52,Q305))*20+MIN(20,ROUND(LOG10(N(N305)+1)*5,0))+IF(M305="Gap",10,0)+IF(INDEX(Values!$D$3:$D$502,P305)="Yes",5,0))))</f>
        <v/>
      </c>
      <c r="P305">
        <f>IF(B305="Supporting",MATCH(A305-1-Entity!$B$14,Values!$J$3:$J$502,0),"")</f>
        <v/>
      </c>
      <c r="Q305">
        <f>IF(C305="","",MATCH(C305,Attributes!$A$3:$A$52,0))</f>
        <v/>
      </c>
      <c r="R305">
        <f>IF(B305="Pillar",SUBSTITUTE(Entity!$B$7,"{entity}",LOWER(Entity!$B$3)),IF(B305="Cluster",IF(INDEX(Attributes!$G$3:$G$52,Q305)&lt;&gt;"",INDEX(Attributes!$G$3:$G$52,Q305),SUBSTITUTE(SUBSTITUTE(Entity!$B$8,"{entity}",LOWER(Entity!$B$3)),"{attribute}",LOWER(C305))),IF(B305="Supporting",SUBSTITUTE(SUBSTITUTE(SUBSTITUTE(IF(INDEX(Attributes!$H$3:$H$52,Q305)&lt;&gt;"",INDEX(Attributes!$H$3:$H$52,Q305),Entity!$B$9),"{entity}",LOWER(Entity!$B$3)),"{value}",D305),"{attribute}",LOWER(C305)),"")))</f>
        <v/>
      </c>
    </row>
    <row r="306">
      <c r="A306">
        <f>ROW()-2</f>
        <v/>
      </c>
      <c r="B306">
        <f>IF(A306=1,"Pillar",IF(A306&lt;=1+Entity!$B$14,"Cluster",IF(A306&lt;=1+Entity!$B$14+Entity!$B$15,"Supporting","")))</f>
        <v/>
      </c>
      <c r="C306">
        <f>IF(B306="Cluster",INDEX(Attributes!$A$3:$A$52,MATCH(A306-1,Attributes!$P$3:$P$52,0)),IF(B306="Supporting",INDEX(Values!$A$3:$A$502,P306),""))</f>
        <v/>
      </c>
      <c r="D306">
        <f>IF(B306="Supporting",INDEX(Values!$B$3:$B$502,P306),"")</f>
        <v/>
      </c>
      <c r="E306">
        <f>IF(R306="","",UPPER(LEFT(R306,1))&amp;MID(R306,2,500))</f>
        <v/>
      </c>
      <c r="F306">
        <f>IF(E306="","",LOWER(SUBSTITUTE(SUBSTITUTE(SUBSTITUTE(SUBSTITUTE(SUBSTITUTE(SUBSTITUTE(SUBSTITUTE(TRIM(E306),":",""),",",""),"'",""),"&amp;","and"),"£",""),"  "," ")," ","-")))</f>
        <v/>
      </c>
      <c r="G306">
        <f>IF(B306="Cluster",$E$3,IF(B306="Supporting",INDEX($E$3:$E$553,MATCH(C306,$C$3:$C$553,0)),""))</f>
        <v/>
      </c>
      <c r="H306">
        <f>IF(B306="Supporting",IFERROR(INDEX($E$3:$E$553,1+Entity!$B$14+INDEX(Values!$O$3:$O$502,P306)),""),IF(B306="Cluster",IF(Entity!$B$14&lt;2,"",INDEX($E$3:$E$553,IF(A306-1=Entity!$B$14,2,A306+1))),""))</f>
        <v/>
      </c>
      <c r="I306">
        <f>IF(B306="Pillar",Entity!$B$14&amp;" cluster pages",IF(B306="Cluster",(COUNTIF($C$3:$C$553,SUBSTITUTE(SUBSTITUTE(C306,"?","~?"),"*","~*"))-1)&amp;" supporting pages",""))</f>
        <v/>
      </c>
      <c r="J306">
        <f>IF(B306="Pillar","Informational",IF(OR(B306="Cluster",B306="Supporting"),INDEX(Attributes!$D$3:$D$52,Q306)&amp;"",""))</f>
        <v/>
      </c>
      <c r="K306">
        <f>IF(B306="","",IF(B306="Pillar","Pillar guide (entity hub)",IF(B306="Cluster","Hub page for this attribute",IF(INDEX(Values!$C$3:$C$502,P306)="Yes","Entity page (profile of the sub-entity)",IFERROR(INDEX(Lists!$B$3:$B$6,MATCH(J306,Lists!$A$3:$A$6,0)),"Article")))))</f>
        <v/>
      </c>
      <c r="L306">
        <f>IF(B306="Pillar",Entity!$B$6&amp;"",IF(B306="Cluster",INDEX(Attributes!$I$3:$I$52,Q306)&amp;"",IF(B306="Supporting",INDEX(Values!$F$3:$F$502,P306)&amp;"","")))</f>
        <v/>
      </c>
      <c r="M306">
        <f>IF(B306="","",IF(L306&lt;&gt;"","Covered","Gap"))</f>
        <v/>
      </c>
      <c r="N306">
        <f>IF(B306="Pillar",SUMIFS(Values!$E$3:$E$502,Values!$I$3:$I$502,"Yes"),IF(B306="Cluster",SUMIFS(Values!$E$3:$E$502,Values!$A$3:$A$502,SUBSTITUTE(SUBSTITUTE(C306,"?","~?"),"*","~*"),Values!$I$3:$I$502,"Yes"),IF(B306="Supporting",N(INDEX(Values!$E$3:$E$502,P306)),"")))</f>
        <v/>
      </c>
      <c r="O306">
        <f>IF(B306="","",IF(B306="Pillar",100,IF(B306="Cluster",N(INDEX(Attributes!$E$3:$E$52,Q306))*25+IF(M306="Gap",10,0),N(INDEX(Attributes!$E$3:$E$52,Q306))*20+MIN(20,ROUND(LOG10(N(N306)+1)*5,0))+IF(M306="Gap",10,0)+IF(INDEX(Values!$D$3:$D$502,P306)="Yes",5,0))))</f>
        <v/>
      </c>
      <c r="P306">
        <f>IF(B306="Supporting",MATCH(A306-1-Entity!$B$14,Values!$J$3:$J$502,0),"")</f>
        <v/>
      </c>
      <c r="Q306">
        <f>IF(C306="","",MATCH(C306,Attributes!$A$3:$A$52,0))</f>
        <v/>
      </c>
      <c r="R306">
        <f>IF(B306="Pillar",SUBSTITUTE(Entity!$B$7,"{entity}",LOWER(Entity!$B$3)),IF(B306="Cluster",IF(INDEX(Attributes!$G$3:$G$52,Q306)&lt;&gt;"",INDEX(Attributes!$G$3:$G$52,Q306),SUBSTITUTE(SUBSTITUTE(Entity!$B$8,"{entity}",LOWER(Entity!$B$3)),"{attribute}",LOWER(C306))),IF(B306="Supporting",SUBSTITUTE(SUBSTITUTE(SUBSTITUTE(IF(INDEX(Attributes!$H$3:$H$52,Q306)&lt;&gt;"",INDEX(Attributes!$H$3:$H$52,Q306),Entity!$B$9),"{entity}",LOWER(Entity!$B$3)),"{value}",D306),"{attribute}",LOWER(C306)),"")))</f>
        <v/>
      </c>
    </row>
    <row r="307">
      <c r="A307">
        <f>ROW()-2</f>
        <v/>
      </c>
      <c r="B307">
        <f>IF(A307=1,"Pillar",IF(A307&lt;=1+Entity!$B$14,"Cluster",IF(A307&lt;=1+Entity!$B$14+Entity!$B$15,"Supporting","")))</f>
        <v/>
      </c>
      <c r="C307">
        <f>IF(B307="Cluster",INDEX(Attributes!$A$3:$A$52,MATCH(A307-1,Attributes!$P$3:$P$52,0)),IF(B307="Supporting",INDEX(Values!$A$3:$A$502,P307),""))</f>
        <v/>
      </c>
      <c r="D307">
        <f>IF(B307="Supporting",INDEX(Values!$B$3:$B$502,P307),"")</f>
        <v/>
      </c>
      <c r="E307">
        <f>IF(R307="","",UPPER(LEFT(R307,1))&amp;MID(R307,2,500))</f>
        <v/>
      </c>
      <c r="F307">
        <f>IF(E307="","",LOWER(SUBSTITUTE(SUBSTITUTE(SUBSTITUTE(SUBSTITUTE(SUBSTITUTE(SUBSTITUTE(SUBSTITUTE(TRIM(E307),":",""),",",""),"'",""),"&amp;","and"),"£",""),"  "," ")," ","-")))</f>
        <v/>
      </c>
      <c r="G307">
        <f>IF(B307="Cluster",$E$3,IF(B307="Supporting",INDEX($E$3:$E$553,MATCH(C307,$C$3:$C$553,0)),""))</f>
        <v/>
      </c>
      <c r="H307">
        <f>IF(B307="Supporting",IFERROR(INDEX($E$3:$E$553,1+Entity!$B$14+INDEX(Values!$O$3:$O$502,P307)),""),IF(B307="Cluster",IF(Entity!$B$14&lt;2,"",INDEX($E$3:$E$553,IF(A307-1=Entity!$B$14,2,A307+1))),""))</f>
        <v/>
      </c>
      <c r="I307">
        <f>IF(B307="Pillar",Entity!$B$14&amp;" cluster pages",IF(B307="Cluster",(COUNTIF($C$3:$C$553,SUBSTITUTE(SUBSTITUTE(C307,"?","~?"),"*","~*"))-1)&amp;" supporting pages",""))</f>
        <v/>
      </c>
      <c r="J307">
        <f>IF(B307="Pillar","Informational",IF(OR(B307="Cluster",B307="Supporting"),INDEX(Attributes!$D$3:$D$52,Q307)&amp;"",""))</f>
        <v/>
      </c>
      <c r="K307">
        <f>IF(B307="","",IF(B307="Pillar","Pillar guide (entity hub)",IF(B307="Cluster","Hub page for this attribute",IF(INDEX(Values!$C$3:$C$502,P307)="Yes","Entity page (profile of the sub-entity)",IFERROR(INDEX(Lists!$B$3:$B$6,MATCH(J307,Lists!$A$3:$A$6,0)),"Article")))))</f>
        <v/>
      </c>
      <c r="L307">
        <f>IF(B307="Pillar",Entity!$B$6&amp;"",IF(B307="Cluster",INDEX(Attributes!$I$3:$I$52,Q307)&amp;"",IF(B307="Supporting",INDEX(Values!$F$3:$F$502,P307)&amp;"","")))</f>
        <v/>
      </c>
      <c r="M307">
        <f>IF(B307="","",IF(L307&lt;&gt;"","Covered","Gap"))</f>
        <v/>
      </c>
      <c r="N307">
        <f>IF(B307="Pillar",SUMIFS(Values!$E$3:$E$502,Values!$I$3:$I$502,"Yes"),IF(B307="Cluster",SUMIFS(Values!$E$3:$E$502,Values!$A$3:$A$502,SUBSTITUTE(SUBSTITUTE(C307,"?","~?"),"*","~*"),Values!$I$3:$I$502,"Yes"),IF(B307="Supporting",N(INDEX(Values!$E$3:$E$502,P307)),"")))</f>
        <v/>
      </c>
      <c r="O307">
        <f>IF(B307="","",IF(B307="Pillar",100,IF(B307="Cluster",N(INDEX(Attributes!$E$3:$E$52,Q307))*25+IF(M307="Gap",10,0),N(INDEX(Attributes!$E$3:$E$52,Q307))*20+MIN(20,ROUND(LOG10(N(N307)+1)*5,0))+IF(M307="Gap",10,0)+IF(INDEX(Values!$D$3:$D$502,P307)="Yes",5,0))))</f>
        <v/>
      </c>
      <c r="P307">
        <f>IF(B307="Supporting",MATCH(A307-1-Entity!$B$14,Values!$J$3:$J$502,0),"")</f>
        <v/>
      </c>
      <c r="Q307">
        <f>IF(C307="","",MATCH(C307,Attributes!$A$3:$A$52,0))</f>
        <v/>
      </c>
      <c r="R307">
        <f>IF(B307="Pillar",SUBSTITUTE(Entity!$B$7,"{entity}",LOWER(Entity!$B$3)),IF(B307="Cluster",IF(INDEX(Attributes!$G$3:$G$52,Q307)&lt;&gt;"",INDEX(Attributes!$G$3:$G$52,Q307),SUBSTITUTE(SUBSTITUTE(Entity!$B$8,"{entity}",LOWER(Entity!$B$3)),"{attribute}",LOWER(C307))),IF(B307="Supporting",SUBSTITUTE(SUBSTITUTE(SUBSTITUTE(IF(INDEX(Attributes!$H$3:$H$52,Q307)&lt;&gt;"",INDEX(Attributes!$H$3:$H$52,Q307),Entity!$B$9),"{entity}",LOWER(Entity!$B$3)),"{value}",D307),"{attribute}",LOWER(C307)),"")))</f>
        <v/>
      </c>
    </row>
    <row r="308">
      <c r="A308">
        <f>ROW()-2</f>
        <v/>
      </c>
      <c r="B308">
        <f>IF(A308=1,"Pillar",IF(A308&lt;=1+Entity!$B$14,"Cluster",IF(A308&lt;=1+Entity!$B$14+Entity!$B$15,"Supporting","")))</f>
        <v/>
      </c>
      <c r="C308">
        <f>IF(B308="Cluster",INDEX(Attributes!$A$3:$A$52,MATCH(A308-1,Attributes!$P$3:$P$52,0)),IF(B308="Supporting",INDEX(Values!$A$3:$A$502,P308),""))</f>
        <v/>
      </c>
      <c r="D308">
        <f>IF(B308="Supporting",INDEX(Values!$B$3:$B$502,P308),"")</f>
        <v/>
      </c>
      <c r="E308">
        <f>IF(R308="","",UPPER(LEFT(R308,1))&amp;MID(R308,2,500))</f>
        <v/>
      </c>
      <c r="F308">
        <f>IF(E308="","",LOWER(SUBSTITUTE(SUBSTITUTE(SUBSTITUTE(SUBSTITUTE(SUBSTITUTE(SUBSTITUTE(SUBSTITUTE(TRIM(E308),":",""),",",""),"'",""),"&amp;","and"),"£",""),"  "," ")," ","-")))</f>
        <v/>
      </c>
      <c r="G308">
        <f>IF(B308="Cluster",$E$3,IF(B308="Supporting",INDEX($E$3:$E$553,MATCH(C308,$C$3:$C$553,0)),""))</f>
        <v/>
      </c>
      <c r="H308">
        <f>IF(B308="Supporting",IFERROR(INDEX($E$3:$E$553,1+Entity!$B$14+INDEX(Values!$O$3:$O$502,P308)),""),IF(B308="Cluster",IF(Entity!$B$14&lt;2,"",INDEX($E$3:$E$553,IF(A308-1=Entity!$B$14,2,A308+1))),""))</f>
        <v/>
      </c>
      <c r="I308">
        <f>IF(B308="Pillar",Entity!$B$14&amp;" cluster pages",IF(B308="Cluster",(COUNTIF($C$3:$C$553,SUBSTITUTE(SUBSTITUTE(C308,"?","~?"),"*","~*"))-1)&amp;" supporting pages",""))</f>
        <v/>
      </c>
      <c r="J308">
        <f>IF(B308="Pillar","Informational",IF(OR(B308="Cluster",B308="Supporting"),INDEX(Attributes!$D$3:$D$52,Q308)&amp;"",""))</f>
        <v/>
      </c>
      <c r="K308">
        <f>IF(B308="","",IF(B308="Pillar","Pillar guide (entity hub)",IF(B308="Cluster","Hub page for this attribute",IF(INDEX(Values!$C$3:$C$502,P308)="Yes","Entity page (profile of the sub-entity)",IFERROR(INDEX(Lists!$B$3:$B$6,MATCH(J308,Lists!$A$3:$A$6,0)),"Article")))))</f>
        <v/>
      </c>
      <c r="L308">
        <f>IF(B308="Pillar",Entity!$B$6&amp;"",IF(B308="Cluster",INDEX(Attributes!$I$3:$I$52,Q308)&amp;"",IF(B308="Supporting",INDEX(Values!$F$3:$F$502,P308)&amp;"","")))</f>
        <v/>
      </c>
      <c r="M308">
        <f>IF(B308="","",IF(L308&lt;&gt;"","Covered","Gap"))</f>
        <v/>
      </c>
      <c r="N308">
        <f>IF(B308="Pillar",SUMIFS(Values!$E$3:$E$502,Values!$I$3:$I$502,"Yes"),IF(B308="Cluster",SUMIFS(Values!$E$3:$E$502,Values!$A$3:$A$502,SUBSTITUTE(SUBSTITUTE(C308,"?","~?"),"*","~*"),Values!$I$3:$I$502,"Yes"),IF(B308="Supporting",N(INDEX(Values!$E$3:$E$502,P308)),"")))</f>
        <v/>
      </c>
      <c r="O308">
        <f>IF(B308="","",IF(B308="Pillar",100,IF(B308="Cluster",N(INDEX(Attributes!$E$3:$E$52,Q308))*25+IF(M308="Gap",10,0),N(INDEX(Attributes!$E$3:$E$52,Q308))*20+MIN(20,ROUND(LOG10(N(N308)+1)*5,0))+IF(M308="Gap",10,0)+IF(INDEX(Values!$D$3:$D$502,P308)="Yes",5,0))))</f>
        <v/>
      </c>
      <c r="P308">
        <f>IF(B308="Supporting",MATCH(A308-1-Entity!$B$14,Values!$J$3:$J$502,0),"")</f>
        <v/>
      </c>
      <c r="Q308">
        <f>IF(C308="","",MATCH(C308,Attributes!$A$3:$A$52,0))</f>
        <v/>
      </c>
      <c r="R308">
        <f>IF(B308="Pillar",SUBSTITUTE(Entity!$B$7,"{entity}",LOWER(Entity!$B$3)),IF(B308="Cluster",IF(INDEX(Attributes!$G$3:$G$52,Q308)&lt;&gt;"",INDEX(Attributes!$G$3:$G$52,Q308),SUBSTITUTE(SUBSTITUTE(Entity!$B$8,"{entity}",LOWER(Entity!$B$3)),"{attribute}",LOWER(C308))),IF(B308="Supporting",SUBSTITUTE(SUBSTITUTE(SUBSTITUTE(IF(INDEX(Attributes!$H$3:$H$52,Q308)&lt;&gt;"",INDEX(Attributes!$H$3:$H$52,Q308),Entity!$B$9),"{entity}",LOWER(Entity!$B$3)),"{value}",D308),"{attribute}",LOWER(C308)),"")))</f>
        <v/>
      </c>
    </row>
    <row r="309">
      <c r="A309">
        <f>ROW()-2</f>
        <v/>
      </c>
      <c r="B309">
        <f>IF(A309=1,"Pillar",IF(A309&lt;=1+Entity!$B$14,"Cluster",IF(A309&lt;=1+Entity!$B$14+Entity!$B$15,"Supporting","")))</f>
        <v/>
      </c>
      <c r="C309">
        <f>IF(B309="Cluster",INDEX(Attributes!$A$3:$A$52,MATCH(A309-1,Attributes!$P$3:$P$52,0)),IF(B309="Supporting",INDEX(Values!$A$3:$A$502,P309),""))</f>
        <v/>
      </c>
      <c r="D309">
        <f>IF(B309="Supporting",INDEX(Values!$B$3:$B$502,P309),"")</f>
        <v/>
      </c>
      <c r="E309">
        <f>IF(R309="","",UPPER(LEFT(R309,1))&amp;MID(R309,2,500))</f>
        <v/>
      </c>
      <c r="F309">
        <f>IF(E309="","",LOWER(SUBSTITUTE(SUBSTITUTE(SUBSTITUTE(SUBSTITUTE(SUBSTITUTE(SUBSTITUTE(SUBSTITUTE(TRIM(E309),":",""),",",""),"'",""),"&amp;","and"),"£",""),"  "," ")," ","-")))</f>
        <v/>
      </c>
      <c r="G309">
        <f>IF(B309="Cluster",$E$3,IF(B309="Supporting",INDEX($E$3:$E$553,MATCH(C309,$C$3:$C$553,0)),""))</f>
        <v/>
      </c>
      <c r="H309">
        <f>IF(B309="Supporting",IFERROR(INDEX($E$3:$E$553,1+Entity!$B$14+INDEX(Values!$O$3:$O$502,P309)),""),IF(B309="Cluster",IF(Entity!$B$14&lt;2,"",INDEX($E$3:$E$553,IF(A309-1=Entity!$B$14,2,A309+1))),""))</f>
        <v/>
      </c>
      <c r="I309">
        <f>IF(B309="Pillar",Entity!$B$14&amp;" cluster pages",IF(B309="Cluster",(COUNTIF($C$3:$C$553,SUBSTITUTE(SUBSTITUTE(C309,"?","~?"),"*","~*"))-1)&amp;" supporting pages",""))</f>
        <v/>
      </c>
      <c r="J309">
        <f>IF(B309="Pillar","Informational",IF(OR(B309="Cluster",B309="Supporting"),INDEX(Attributes!$D$3:$D$52,Q309)&amp;"",""))</f>
        <v/>
      </c>
      <c r="K309">
        <f>IF(B309="","",IF(B309="Pillar","Pillar guide (entity hub)",IF(B309="Cluster","Hub page for this attribute",IF(INDEX(Values!$C$3:$C$502,P309)="Yes","Entity page (profile of the sub-entity)",IFERROR(INDEX(Lists!$B$3:$B$6,MATCH(J309,Lists!$A$3:$A$6,0)),"Article")))))</f>
        <v/>
      </c>
      <c r="L309">
        <f>IF(B309="Pillar",Entity!$B$6&amp;"",IF(B309="Cluster",INDEX(Attributes!$I$3:$I$52,Q309)&amp;"",IF(B309="Supporting",INDEX(Values!$F$3:$F$502,P309)&amp;"","")))</f>
        <v/>
      </c>
      <c r="M309">
        <f>IF(B309="","",IF(L309&lt;&gt;"","Covered","Gap"))</f>
        <v/>
      </c>
      <c r="N309">
        <f>IF(B309="Pillar",SUMIFS(Values!$E$3:$E$502,Values!$I$3:$I$502,"Yes"),IF(B309="Cluster",SUMIFS(Values!$E$3:$E$502,Values!$A$3:$A$502,SUBSTITUTE(SUBSTITUTE(C309,"?","~?"),"*","~*"),Values!$I$3:$I$502,"Yes"),IF(B309="Supporting",N(INDEX(Values!$E$3:$E$502,P309)),"")))</f>
        <v/>
      </c>
      <c r="O309">
        <f>IF(B309="","",IF(B309="Pillar",100,IF(B309="Cluster",N(INDEX(Attributes!$E$3:$E$52,Q309))*25+IF(M309="Gap",10,0),N(INDEX(Attributes!$E$3:$E$52,Q309))*20+MIN(20,ROUND(LOG10(N(N309)+1)*5,0))+IF(M309="Gap",10,0)+IF(INDEX(Values!$D$3:$D$502,P309)="Yes",5,0))))</f>
        <v/>
      </c>
      <c r="P309">
        <f>IF(B309="Supporting",MATCH(A309-1-Entity!$B$14,Values!$J$3:$J$502,0),"")</f>
        <v/>
      </c>
      <c r="Q309">
        <f>IF(C309="","",MATCH(C309,Attributes!$A$3:$A$52,0))</f>
        <v/>
      </c>
      <c r="R309">
        <f>IF(B309="Pillar",SUBSTITUTE(Entity!$B$7,"{entity}",LOWER(Entity!$B$3)),IF(B309="Cluster",IF(INDEX(Attributes!$G$3:$G$52,Q309)&lt;&gt;"",INDEX(Attributes!$G$3:$G$52,Q309),SUBSTITUTE(SUBSTITUTE(Entity!$B$8,"{entity}",LOWER(Entity!$B$3)),"{attribute}",LOWER(C309))),IF(B309="Supporting",SUBSTITUTE(SUBSTITUTE(SUBSTITUTE(IF(INDEX(Attributes!$H$3:$H$52,Q309)&lt;&gt;"",INDEX(Attributes!$H$3:$H$52,Q309),Entity!$B$9),"{entity}",LOWER(Entity!$B$3)),"{value}",D309),"{attribute}",LOWER(C309)),"")))</f>
        <v/>
      </c>
    </row>
    <row r="310">
      <c r="A310">
        <f>ROW()-2</f>
        <v/>
      </c>
      <c r="B310">
        <f>IF(A310=1,"Pillar",IF(A310&lt;=1+Entity!$B$14,"Cluster",IF(A310&lt;=1+Entity!$B$14+Entity!$B$15,"Supporting","")))</f>
        <v/>
      </c>
      <c r="C310">
        <f>IF(B310="Cluster",INDEX(Attributes!$A$3:$A$52,MATCH(A310-1,Attributes!$P$3:$P$52,0)),IF(B310="Supporting",INDEX(Values!$A$3:$A$502,P310),""))</f>
        <v/>
      </c>
      <c r="D310">
        <f>IF(B310="Supporting",INDEX(Values!$B$3:$B$502,P310),"")</f>
        <v/>
      </c>
      <c r="E310">
        <f>IF(R310="","",UPPER(LEFT(R310,1))&amp;MID(R310,2,500))</f>
        <v/>
      </c>
      <c r="F310">
        <f>IF(E310="","",LOWER(SUBSTITUTE(SUBSTITUTE(SUBSTITUTE(SUBSTITUTE(SUBSTITUTE(SUBSTITUTE(SUBSTITUTE(TRIM(E310),":",""),",",""),"'",""),"&amp;","and"),"£",""),"  "," ")," ","-")))</f>
        <v/>
      </c>
      <c r="G310">
        <f>IF(B310="Cluster",$E$3,IF(B310="Supporting",INDEX($E$3:$E$553,MATCH(C310,$C$3:$C$553,0)),""))</f>
        <v/>
      </c>
      <c r="H310">
        <f>IF(B310="Supporting",IFERROR(INDEX($E$3:$E$553,1+Entity!$B$14+INDEX(Values!$O$3:$O$502,P310)),""),IF(B310="Cluster",IF(Entity!$B$14&lt;2,"",INDEX($E$3:$E$553,IF(A310-1=Entity!$B$14,2,A310+1))),""))</f>
        <v/>
      </c>
      <c r="I310">
        <f>IF(B310="Pillar",Entity!$B$14&amp;" cluster pages",IF(B310="Cluster",(COUNTIF($C$3:$C$553,SUBSTITUTE(SUBSTITUTE(C310,"?","~?"),"*","~*"))-1)&amp;" supporting pages",""))</f>
        <v/>
      </c>
      <c r="J310">
        <f>IF(B310="Pillar","Informational",IF(OR(B310="Cluster",B310="Supporting"),INDEX(Attributes!$D$3:$D$52,Q310)&amp;"",""))</f>
        <v/>
      </c>
      <c r="K310">
        <f>IF(B310="","",IF(B310="Pillar","Pillar guide (entity hub)",IF(B310="Cluster","Hub page for this attribute",IF(INDEX(Values!$C$3:$C$502,P310)="Yes","Entity page (profile of the sub-entity)",IFERROR(INDEX(Lists!$B$3:$B$6,MATCH(J310,Lists!$A$3:$A$6,0)),"Article")))))</f>
        <v/>
      </c>
      <c r="L310">
        <f>IF(B310="Pillar",Entity!$B$6&amp;"",IF(B310="Cluster",INDEX(Attributes!$I$3:$I$52,Q310)&amp;"",IF(B310="Supporting",INDEX(Values!$F$3:$F$502,P310)&amp;"","")))</f>
        <v/>
      </c>
      <c r="M310">
        <f>IF(B310="","",IF(L310&lt;&gt;"","Covered","Gap"))</f>
        <v/>
      </c>
      <c r="N310">
        <f>IF(B310="Pillar",SUMIFS(Values!$E$3:$E$502,Values!$I$3:$I$502,"Yes"),IF(B310="Cluster",SUMIFS(Values!$E$3:$E$502,Values!$A$3:$A$502,SUBSTITUTE(SUBSTITUTE(C310,"?","~?"),"*","~*"),Values!$I$3:$I$502,"Yes"),IF(B310="Supporting",N(INDEX(Values!$E$3:$E$502,P310)),"")))</f>
        <v/>
      </c>
      <c r="O310">
        <f>IF(B310="","",IF(B310="Pillar",100,IF(B310="Cluster",N(INDEX(Attributes!$E$3:$E$52,Q310))*25+IF(M310="Gap",10,0),N(INDEX(Attributes!$E$3:$E$52,Q310))*20+MIN(20,ROUND(LOG10(N(N310)+1)*5,0))+IF(M310="Gap",10,0)+IF(INDEX(Values!$D$3:$D$502,P310)="Yes",5,0))))</f>
        <v/>
      </c>
      <c r="P310">
        <f>IF(B310="Supporting",MATCH(A310-1-Entity!$B$14,Values!$J$3:$J$502,0),"")</f>
        <v/>
      </c>
      <c r="Q310">
        <f>IF(C310="","",MATCH(C310,Attributes!$A$3:$A$52,0))</f>
        <v/>
      </c>
      <c r="R310">
        <f>IF(B310="Pillar",SUBSTITUTE(Entity!$B$7,"{entity}",LOWER(Entity!$B$3)),IF(B310="Cluster",IF(INDEX(Attributes!$G$3:$G$52,Q310)&lt;&gt;"",INDEX(Attributes!$G$3:$G$52,Q310),SUBSTITUTE(SUBSTITUTE(Entity!$B$8,"{entity}",LOWER(Entity!$B$3)),"{attribute}",LOWER(C310))),IF(B310="Supporting",SUBSTITUTE(SUBSTITUTE(SUBSTITUTE(IF(INDEX(Attributes!$H$3:$H$52,Q310)&lt;&gt;"",INDEX(Attributes!$H$3:$H$52,Q310),Entity!$B$9),"{entity}",LOWER(Entity!$B$3)),"{value}",D310),"{attribute}",LOWER(C310)),"")))</f>
        <v/>
      </c>
    </row>
    <row r="311">
      <c r="A311">
        <f>ROW()-2</f>
        <v/>
      </c>
      <c r="B311">
        <f>IF(A311=1,"Pillar",IF(A311&lt;=1+Entity!$B$14,"Cluster",IF(A311&lt;=1+Entity!$B$14+Entity!$B$15,"Supporting","")))</f>
        <v/>
      </c>
      <c r="C311">
        <f>IF(B311="Cluster",INDEX(Attributes!$A$3:$A$52,MATCH(A311-1,Attributes!$P$3:$P$52,0)),IF(B311="Supporting",INDEX(Values!$A$3:$A$502,P311),""))</f>
        <v/>
      </c>
      <c r="D311">
        <f>IF(B311="Supporting",INDEX(Values!$B$3:$B$502,P311),"")</f>
        <v/>
      </c>
      <c r="E311">
        <f>IF(R311="","",UPPER(LEFT(R311,1))&amp;MID(R311,2,500))</f>
        <v/>
      </c>
      <c r="F311">
        <f>IF(E311="","",LOWER(SUBSTITUTE(SUBSTITUTE(SUBSTITUTE(SUBSTITUTE(SUBSTITUTE(SUBSTITUTE(SUBSTITUTE(TRIM(E311),":",""),",",""),"'",""),"&amp;","and"),"£",""),"  "," ")," ","-")))</f>
        <v/>
      </c>
      <c r="G311">
        <f>IF(B311="Cluster",$E$3,IF(B311="Supporting",INDEX($E$3:$E$553,MATCH(C311,$C$3:$C$553,0)),""))</f>
        <v/>
      </c>
      <c r="H311">
        <f>IF(B311="Supporting",IFERROR(INDEX($E$3:$E$553,1+Entity!$B$14+INDEX(Values!$O$3:$O$502,P311)),""),IF(B311="Cluster",IF(Entity!$B$14&lt;2,"",INDEX($E$3:$E$553,IF(A311-1=Entity!$B$14,2,A311+1))),""))</f>
        <v/>
      </c>
      <c r="I311">
        <f>IF(B311="Pillar",Entity!$B$14&amp;" cluster pages",IF(B311="Cluster",(COUNTIF($C$3:$C$553,SUBSTITUTE(SUBSTITUTE(C311,"?","~?"),"*","~*"))-1)&amp;" supporting pages",""))</f>
        <v/>
      </c>
      <c r="J311">
        <f>IF(B311="Pillar","Informational",IF(OR(B311="Cluster",B311="Supporting"),INDEX(Attributes!$D$3:$D$52,Q311)&amp;"",""))</f>
        <v/>
      </c>
      <c r="K311">
        <f>IF(B311="","",IF(B311="Pillar","Pillar guide (entity hub)",IF(B311="Cluster","Hub page for this attribute",IF(INDEX(Values!$C$3:$C$502,P311)="Yes","Entity page (profile of the sub-entity)",IFERROR(INDEX(Lists!$B$3:$B$6,MATCH(J311,Lists!$A$3:$A$6,0)),"Article")))))</f>
        <v/>
      </c>
      <c r="L311">
        <f>IF(B311="Pillar",Entity!$B$6&amp;"",IF(B311="Cluster",INDEX(Attributes!$I$3:$I$52,Q311)&amp;"",IF(B311="Supporting",INDEX(Values!$F$3:$F$502,P311)&amp;"","")))</f>
        <v/>
      </c>
      <c r="M311">
        <f>IF(B311="","",IF(L311&lt;&gt;"","Covered","Gap"))</f>
        <v/>
      </c>
      <c r="N311">
        <f>IF(B311="Pillar",SUMIFS(Values!$E$3:$E$502,Values!$I$3:$I$502,"Yes"),IF(B311="Cluster",SUMIFS(Values!$E$3:$E$502,Values!$A$3:$A$502,SUBSTITUTE(SUBSTITUTE(C311,"?","~?"),"*","~*"),Values!$I$3:$I$502,"Yes"),IF(B311="Supporting",N(INDEX(Values!$E$3:$E$502,P311)),"")))</f>
        <v/>
      </c>
      <c r="O311">
        <f>IF(B311="","",IF(B311="Pillar",100,IF(B311="Cluster",N(INDEX(Attributes!$E$3:$E$52,Q311))*25+IF(M311="Gap",10,0),N(INDEX(Attributes!$E$3:$E$52,Q311))*20+MIN(20,ROUND(LOG10(N(N311)+1)*5,0))+IF(M311="Gap",10,0)+IF(INDEX(Values!$D$3:$D$502,P311)="Yes",5,0))))</f>
        <v/>
      </c>
      <c r="P311">
        <f>IF(B311="Supporting",MATCH(A311-1-Entity!$B$14,Values!$J$3:$J$502,0),"")</f>
        <v/>
      </c>
      <c r="Q311">
        <f>IF(C311="","",MATCH(C311,Attributes!$A$3:$A$52,0))</f>
        <v/>
      </c>
      <c r="R311">
        <f>IF(B311="Pillar",SUBSTITUTE(Entity!$B$7,"{entity}",LOWER(Entity!$B$3)),IF(B311="Cluster",IF(INDEX(Attributes!$G$3:$G$52,Q311)&lt;&gt;"",INDEX(Attributes!$G$3:$G$52,Q311),SUBSTITUTE(SUBSTITUTE(Entity!$B$8,"{entity}",LOWER(Entity!$B$3)),"{attribute}",LOWER(C311))),IF(B311="Supporting",SUBSTITUTE(SUBSTITUTE(SUBSTITUTE(IF(INDEX(Attributes!$H$3:$H$52,Q311)&lt;&gt;"",INDEX(Attributes!$H$3:$H$52,Q311),Entity!$B$9),"{entity}",LOWER(Entity!$B$3)),"{value}",D311),"{attribute}",LOWER(C311)),"")))</f>
        <v/>
      </c>
    </row>
    <row r="312">
      <c r="A312">
        <f>ROW()-2</f>
        <v/>
      </c>
      <c r="B312">
        <f>IF(A312=1,"Pillar",IF(A312&lt;=1+Entity!$B$14,"Cluster",IF(A312&lt;=1+Entity!$B$14+Entity!$B$15,"Supporting","")))</f>
        <v/>
      </c>
      <c r="C312">
        <f>IF(B312="Cluster",INDEX(Attributes!$A$3:$A$52,MATCH(A312-1,Attributes!$P$3:$P$52,0)),IF(B312="Supporting",INDEX(Values!$A$3:$A$502,P312),""))</f>
        <v/>
      </c>
      <c r="D312">
        <f>IF(B312="Supporting",INDEX(Values!$B$3:$B$502,P312),"")</f>
        <v/>
      </c>
      <c r="E312">
        <f>IF(R312="","",UPPER(LEFT(R312,1))&amp;MID(R312,2,500))</f>
        <v/>
      </c>
      <c r="F312">
        <f>IF(E312="","",LOWER(SUBSTITUTE(SUBSTITUTE(SUBSTITUTE(SUBSTITUTE(SUBSTITUTE(SUBSTITUTE(SUBSTITUTE(TRIM(E312),":",""),",",""),"'",""),"&amp;","and"),"£",""),"  "," ")," ","-")))</f>
        <v/>
      </c>
      <c r="G312">
        <f>IF(B312="Cluster",$E$3,IF(B312="Supporting",INDEX($E$3:$E$553,MATCH(C312,$C$3:$C$553,0)),""))</f>
        <v/>
      </c>
      <c r="H312">
        <f>IF(B312="Supporting",IFERROR(INDEX($E$3:$E$553,1+Entity!$B$14+INDEX(Values!$O$3:$O$502,P312)),""),IF(B312="Cluster",IF(Entity!$B$14&lt;2,"",INDEX($E$3:$E$553,IF(A312-1=Entity!$B$14,2,A312+1))),""))</f>
        <v/>
      </c>
      <c r="I312">
        <f>IF(B312="Pillar",Entity!$B$14&amp;" cluster pages",IF(B312="Cluster",(COUNTIF($C$3:$C$553,SUBSTITUTE(SUBSTITUTE(C312,"?","~?"),"*","~*"))-1)&amp;" supporting pages",""))</f>
        <v/>
      </c>
      <c r="J312">
        <f>IF(B312="Pillar","Informational",IF(OR(B312="Cluster",B312="Supporting"),INDEX(Attributes!$D$3:$D$52,Q312)&amp;"",""))</f>
        <v/>
      </c>
      <c r="K312">
        <f>IF(B312="","",IF(B312="Pillar","Pillar guide (entity hub)",IF(B312="Cluster","Hub page for this attribute",IF(INDEX(Values!$C$3:$C$502,P312)="Yes","Entity page (profile of the sub-entity)",IFERROR(INDEX(Lists!$B$3:$B$6,MATCH(J312,Lists!$A$3:$A$6,0)),"Article")))))</f>
        <v/>
      </c>
      <c r="L312">
        <f>IF(B312="Pillar",Entity!$B$6&amp;"",IF(B312="Cluster",INDEX(Attributes!$I$3:$I$52,Q312)&amp;"",IF(B312="Supporting",INDEX(Values!$F$3:$F$502,P312)&amp;"","")))</f>
        <v/>
      </c>
      <c r="M312">
        <f>IF(B312="","",IF(L312&lt;&gt;"","Covered","Gap"))</f>
        <v/>
      </c>
      <c r="N312">
        <f>IF(B312="Pillar",SUMIFS(Values!$E$3:$E$502,Values!$I$3:$I$502,"Yes"),IF(B312="Cluster",SUMIFS(Values!$E$3:$E$502,Values!$A$3:$A$502,SUBSTITUTE(SUBSTITUTE(C312,"?","~?"),"*","~*"),Values!$I$3:$I$502,"Yes"),IF(B312="Supporting",N(INDEX(Values!$E$3:$E$502,P312)),"")))</f>
        <v/>
      </c>
      <c r="O312">
        <f>IF(B312="","",IF(B312="Pillar",100,IF(B312="Cluster",N(INDEX(Attributes!$E$3:$E$52,Q312))*25+IF(M312="Gap",10,0),N(INDEX(Attributes!$E$3:$E$52,Q312))*20+MIN(20,ROUND(LOG10(N(N312)+1)*5,0))+IF(M312="Gap",10,0)+IF(INDEX(Values!$D$3:$D$502,P312)="Yes",5,0))))</f>
        <v/>
      </c>
      <c r="P312">
        <f>IF(B312="Supporting",MATCH(A312-1-Entity!$B$14,Values!$J$3:$J$502,0),"")</f>
        <v/>
      </c>
      <c r="Q312">
        <f>IF(C312="","",MATCH(C312,Attributes!$A$3:$A$52,0))</f>
        <v/>
      </c>
      <c r="R312">
        <f>IF(B312="Pillar",SUBSTITUTE(Entity!$B$7,"{entity}",LOWER(Entity!$B$3)),IF(B312="Cluster",IF(INDEX(Attributes!$G$3:$G$52,Q312)&lt;&gt;"",INDEX(Attributes!$G$3:$G$52,Q312),SUBSTITUTE(SUBSTITUTE(Entity!$B$8,"{entity}",LOWER(Entity!$B$3)),"{attribute}",LOWER(C312))),IF(B312="Supporting",SUBSTITUTE(SUBSTITUTE(SUBSTITUTE(IF(INDEX(Attributes!$H$3:$H$52,Q312)&lt;&gt;"",INDEX(Attributes!$H$3:$H$52,Q312),Entity!$B$9),"{entity}",LOWER(Entity!$B$3)),"{value}",D312),"{attribute}",LOWER(C312)),"")))</f>
        <v/>
      </c>
    </row>
    <row r="313">
      <c r="A313">
        <f>ROW()-2</f>
        <v/>
      </c>
      <c r="B313">
        <f>IF(A313=1,"Pillar",IF(A313&lt;=1+Entity!$B$14,"Cluster",IF(A313&lt;=1+Entity!$B$14+Entity!$B$15,"Supporting","")))</f>
        <v/>
      </c>
      <c r="C313">
        <f>IF(B313="Cluster",INDEX(Attributes!$A$3:$A$52,MATCH(A313-1,Attributes!$P$3:$P$52,0)),IF(B313="Supporting",INDEX(Values!$A$3:$A$502,P313),""))</f>
        <v/>
      </c>
      <c r="D313">
        <f>IF(B313="Supporting",INDEX(Values!$B$3:$B$502,P313),"")</f>
        <v/>
      </c>
      <c r="E313">
        <f>IF(R313="","",UPPER(LEFT(R313,1))&amp;MID(R313,2,500))</f>
        <v/>
      </c>
      <c r="F313">
        <f>IF(E313="","",LOWER(SUBSTITUTE(SUBSTITUTE(SUBSTITUTE(SUBSTITUTE(SUBSTITUTE(SUBSTITUTE(SUBSTITUTE(TRIM(E313),":",""),",",""),"'",""),"&amp;","and"),"£",""),"  "," ")," ","-")))</f>
        <v/>
      </c>
      <c r="G313">
        <f>IF(B313="Cluster",$E$3,IF(B313="Supporting",INDEX($E$3:$E$553,MATCH(C313,$C$3:$C$553,0)),""))</f>
        <v/>
      </c>
      <c r="H313">
        <f>IF(B313="Supporting",IFERROR(INDEX($E$3:$E$553,1+Entity!$B$14+INDEX(Values!$O$3:$O$502,P313)),""),IF(B313="Cluster",IF(Entity!$B$14&lt;2,"",INDEX($E$3:$E$553,IF(A313-1=Entity!$B$14,2,A313+1))),""))</f>
        <v/>
      </c>
      <c r="I313">
        <f>IF(B313="Pillar",Entity!$B$14&amp;" cluster pages",IF(B313="Cluster",(COUNTIF($C$3:$C$553,SUBSTITUTE(SUBSTITUTE(C313,"?","~?"),"*","~*"))-1)&amp;" supporting pages",""))</f>
        <v/>
      </c>
      <c r="J313">
        <f>IF(B313="Pillar","Informational",IF(OR(B313="Cluster",B313="Supporting"),INDEX(Attributes!$D$3:$D$52,Q313)&amp;"",""))</f>
        <v/>
      </c>
      <c r="K313">
        <f>IF(B313="","",IF(B313="Pillar","Pillar guide (entity hub)",IF(B313="Cluster","Hub page for this attribute",IF(INDEX(Values!$C$3:$C$502,P313)="Yes","Entity page (profile of the sub-entity)",IFERROR(INDEX(Lists!$B$3:$B$6,MATCH(J313,Lists!$A$3:$A$6,0)),"Article")))))</f>
        <v/>
      </c>
      <c r="L313">
        <f>IF(B313="Pillar",Entity!$B$6&amp;"",IF(B313="Cluster",INDEX(Attributes!$I$3:$I$52,Q313)&amp;"",IF(B313="Supporting",INDEX(Values!$F$3:$F$502,P313)&amp;"","")))</f>
        <v/>
      </c>
      <c r="M313">
        <f>IF(B313="","",IF(L313&lt;&gt;"","Covered","Gap"))</f>
        <v/>
      </c>
      <c r="N313">
        <f>IF(B313="Pillar",SUMIFS(Values!$E$3:$E$502,Values!$I$3:$I$502,"Yes"),IF(B313="Cluster",SUMIFS(Values!$E$3:$E$502,Values!$A$3:$A$502,SUBSTITUTE(SUBSTITUTE(C313,"?","~?"),"*","~*"),Values!$I$3:$I$502,"Yes"),IF(B313="Supporting",N(INDEX(Values!$E$3:$E$502,P313)),"")))</f>
        <v/>
      </c>
      <c r="O313">
        <f>IF(B313="","",IF(B313="Pillar",100,IF(B313="Cluster",N(INDEX(Attributes!$E$3:$E$52,Q313))*25+IF(M313="Gap",10,0),N(INDEX(Attributes!$E$3:$E$52,Q313))*20+MIN(20,ROUND(LOG10(N(N313)+1)*5,0))+IF(M313="Gap",10,0)+IF(INDEX(Values!$D$3:$D$502,P313)="Yes",5,0))))</f>
        <v/>
      </c>
      <c r="P313">
        <f>IF(B313="Supporting",MATCH(A313-1-Entity!$B$14,Values!$J$3:$J$502,0),"")</f>
        <v/>
      </c>
      <c r="Q313">
        <f>IF(C313="","",MATCH(C313,Attributes!$A$3:$A$52,0))</f>
        <v/>
      </c>
      <c r="R313">
        <f>IF(B313="Pillar",SUBSTITUTE(Entity!$B$7,"{entity}",LOWER(Entity!$B$3)),IF(B313="Cluster",IF(INDEX(Attributes!$G$3:$G$52,Q313)&lt;&gt;"",INDEX(Attributes!$G$3:$G$52,Q313),SUBSTITUTE(SUBSTITUTE(Entity!$B$8,"{entity}",LOWER(Entity!$B$3)),"{attribute}",LOWER(C313))),IF(B313="Supporting",SUBSTITUTE(SUBSTITUTE(SUBSTITUTE(IF(INDEX(Attributes!$H$3:$H$52,Q313)&lt;&gt;"",INDEX(Attributes!$H$3:$H$52,Q313),Entity!$B$9),"{entity}",LOWER(Entity!$B$3)),"{value}",D313),"{attribute}",LOWER(C313)),"")))</f>
        <v/>
      </c>
    </row>
    <row r="314">
      <c r="A314">
        <f>ROW()-2</f>
        <v/>
      </c>
      <c r="B314">
        <f>IF(A314=1,"Pillar",IF(A314&lt;=1+Entity!$B$14,"Cluster",IF(A314&lt;=1+Entity!$B$14+Entity!$B$15,"Supporting","")))</f>
        <v/>
      </c>
      <c r="C314">
        <f>IF(B314="Cluster",INDEX(Attributes!$A$3:$A$52,MATCH(A314-1,Attributes!$P$3:$P$52,0)),IF(B314="Supporting",INDEX(Values!$A$3:$A$502,P314),""))</f>
        <v/>
      </c>
      <c r="D314">
        <f>IF(B314="Supporting",INDEX(Values!$B$3:$B$502,P314),"")</f>
        <v/>
      </c>
      <c r="E314">
        <f>IF(R314="","",UPPER(LEFT(R314,1))&amp;MID(R314,2,500))</f>
        <v/>
      </c>
      <c r="F314">
        <f>IF(E314="","",LOWER(SUBSTITUTE(SUBSTITUTE(SUBSTITUTE(SUBSTITUTE(SUBSTITUTE(SUBSTITUTE(SUBSTITUTE(TRIM(E314),":",""),",",""),"'",""),"&amp;","and"),"£",""),"  "," ")," ","-")))</f>
        <v/>
      </c>
      <c r="G314">
        <f>IF(B314="Cluster",$E$3,IF(B314="Supporting",INDEX($E$3:$E$553,MATCH(C314,$C$3:$C$553,0)),""))</f>
        <v/>
      </c>
      <c r="H314">
        <f>IF(B314="Supporting",IFERROR(INDEX($E$3:$E$553,1+Entity!$B$14+INDEX(Values!$O$3:$O$502,P314)),""),IF(B314="Cluster",IF(Entity!$B$14&lt;2,"",INDEX($E$3:$E$553,IF(A314-1=Entity!$B$14,2,A314+1))),""))</f>
        <v/>
      </c>
      <c r="I314">
        <f>IF(B314="Pillar",Entity!$B$14&amp;" cluster pages",IF(B314="Cluster",(COUNTIF($C$3:$C$553,SUBSTITUTE(SUBSTITUTE(C314,"?","~?"),"*","~*"))-1)&amp;" supporting pages",""))</f>
        <v/>
      </c>
      <c r="J314">
        <f>IF(B314="Pillar","Informational",IF(OR(B314="Cluster",B314="Supporting"),INDEX(Attributes!$D$3:$D$52,Q314)&amp;"",""))</f>
        <v/>
      </c>
      <c r="K314">
        <f>IF(B314="","",IF(B314="Pillar","Pillar guide (entity hub)",IF(B314="Cluster","Hub page for this attribute",IF(INDEX(Values!$C$3:$C$502,P314)="Yes","Entity page (profile of the sub-entity)",IFERROR(INDEX(Lists!$B$3:$B$6,MATCH(J314,Lists!$A$3:$A$6,0)),"Article")))))</f>
        <v/>
      </c>
      <c r="L314">
        <f>IF(B314="Pillar",Entity!$B$6&amp;"",IF(B314="Cluster",INDEX(Attributes!$I$3:$I$52,Q314)&amp;"",IF(B314="Supporting",INDEX(Values!$F$3:$F$502,P314)&amp;"","")))</f>
        <v/>
      </c>
      <c r="M314">
        <f>IF(B314="","",IF(L314&lt;&gt;"","Covered","Gap"))</f>
        <v/>
      </c>
      <c r="N314">
        <f>IF(B314="Pillar",SUMIFS(Values!$E$3:$E$502,Values!$I$3:$I$502,"Yes"),IF(B314="Cluster",SUMIFS(Values!$E$3:$E$502,Values!$A$3:$A$502,SUBSTITUTE(SUBSTITUTE(C314,"?","~?"),"*","~*"),Values!$I$3:$I$502,"Yes"),IF(B314="Supporting",N(INDEX(Values!$E$3:$E$502,P314)),"")))</f>
        <v/>
      </c>
      <c r="O314">
        <f>IF(B314="","",IF(B314="Pillar",100,IF(B314="Cluster",N(INDEX(Attributes!$E$3:$E$52,Q314))*25+IF(M314="Gap",10,0),N(INDEX(Attributes!$E$3:$E$52,Q314))*20+MIN(20,ROUND(LOG10(N(N314)+1)*5,0))+IF(M314="Gap",10,0)+IF(INDEX(Values!$D$3:$D$502,P314)="Yes",5,0))))</f>
        <v/>
      </c>
      <c r="P314">
        <f>IF(B314="Supporting",MATCH(A314-1-Entity!$B$14,Values!$J$3:$J$502,0),"")</f>
        <v/>
      </c>
      <c r="Q314">
        <f>IF(C314="","",MATCH(C314,Attributes!$A$3:$A$52,0))</f>
        <v/>
      </c>
      <c r="R314">
        <f>IF(B314="Pillar",SUBSTITUTE(Entity!$B$7,"{entity}",LOWER(Entity!$B$3)),IF(B314="Cluster",IF(INDEX(Attributes!$G$3:$G$52,Q314)&lt;&gt;"",INDEX(Attributes!$G$3:$G$52,Q314),SUBSTITUTE(SUBSTITUTE(Entity!$B$8,"{entity}",LOWER(Entity!$B$3)),"{attribute}",LOWER(C314))),IF(B314="Supporting",SUBSTITUTE(SUBSTITUTE(SUBSTITUTE(IF(INDEX(Attributes!$H$3:$H$52,Q314)&lt;&gt;"",INDEX(Attributes!$H$3:$H$52,Q314),Entity!$B$9),"{entity}",LOWER(Entity!$B$3)),"{value}",D314),"{attribute}",LOWER(C314)),"")))</f>
        <v/>
      </c>
    </row>
    <row r="315">
      <c r="A315">
        <f>ROW()-2</f>
        <v/>
      </c>
      <c r="B315">
        <f>IF(A315=1,"Pillar",IF(A315&lt;=1+Entity!$B$14,"Cluster",IF(A315&lt;=1+Entity!$B$14+Entity!$B$15,"Supporting","")))</f>
        <v/>
      </c>
      <c r="C315">
        <f>IF(B315="Cluster",INDEX(Attributes!$A$3:$A$52,MATCH(A315-1,Attributes!$P$3:$P$52,0)),IF(B315="Supporting",INDEX(Values!$A$3:$A$502,P315),""))</f>
        <v/>
      </c>
      <c r="D315">
        <f>IF(B315="Supporting",INDEX(Values!$B$3:$B$502,P315),"")</f>
        <v/>
      </c>
      <c r="E315">
        <f>IF(R315="","",UPPER(LEFT(R315,1))&amp;MID(R315,2,500))</f>
        <v/>
      </c>
      <c r="F315">
        <f>IF(E315="","",LOWER(SUBSTITUTE(SUBSTITUTE(SUBSTITUTE(SUBSTITUTE(SUBSTITUTE(SUBSTITUTE(SUBSTITUTE(TRIM(E315),":",""),",",""),"'",""),"&amp;","and"),"£",""),"  "," ")," ","-")))</f>
        <v/>
      </c>
      <c r="G315">
        <f>IF(B315="Cluster",$E$3,IF(B315="Supporting",INDEX($E$3:$E$553,MATCH(C315,$C$3:$C$553,0)),""))</f>
        <v/>
      </c>
      <c r="H315">
        <f>IF(B315="Supporting",IFERROR(INDEX($E$3:$E$553,1+Entity!$B$14+INDEX(Values!$O$3:$O$502,P315)),""),IF(B315="Cluster",IF(Entity!$B$14&lt;2,"",INDEX($E$3:$E$553,IF(A315-1=Entity!$B$14,2,A315+1))),""))</f>
        <v/>
      </c>
      <c r="I315">
        <f>IF(B315="Pillar",Entity!$B$14&amp;" cluster pages",IF(B315="Cluster",(COUNTIF($C$3:$C$553,SUBSTITUTE(SUBSTITUTE(C315,"?","~?"),"*","~*"))-1)&amp;" supporting pages",""))</f>
        <v/>
      </c>
      <c r="J315">
        <f>IF(B315="Pillar","Informational",IF(OR(B315="Cluster",B315="Supporting"),INDEX(Attributes!$D$3:$D$52,Q315)&amp;"",""))</f>
        <v/>
      </c>
      <c r="K315">
        <f>IF(B315="","",IF(B315="Pillar","Pillar guide (entity hub)",IF(B315="Cluster","Hub page for this attribute",IF(INDEX(Values!$C$3:$C$502,P315)="Yes","Entity page (profile of the sub-entity)",IFERROR(INDEX(Lists!$B$3:$B$6,MATCH(J315,Lists!$A$3:$A$6,0)),"Article")))))</f>
        <v/>
      </c>
      <c r="L315">
        <f>IF(B315="Pillar",Entity!$B$6&amp;"",IF(B315="Cluster",INDEX(Attributes!$I$3:$I$52,Q315)&amp;"",IF(B315="Supporting",INDEX(Values!$F$3:$F$502,P315)&amp;"","")))</f>
        <v/>
      </c>
      <c r="M315">
        <f>IF(B315="","",IF(L315&lt;&gt;"","Covered","Gap"))</f>
        <v/>
      </c>
      <c r="N315">
        <f>IF(B315="Pillar",SUMIFS(Values!$E$3:$E$502,Values!$I$3:$I$502,"Yes"),IF(B315="Cluster",SUMIFS(Values!$E$3:$E$502,Values!$A$3:$A$502,SUBSTITUTE(SUBSTITUTE(C315,"?","~?"),"*","~*"),Values!$I$3:$I$502,"Yes"),IF(B315="Supporting",N(INDEX(Values!$E$3:$E$502,P315)),"")))</f>
        <v/>
      </c>
      <c r="O315">
        <f>IF(B315="","",IF(B315="Pillar",100,IF(B315="Cluster",N(INDEX(Attributes!$E$3:$E$52,Q315))*25+IF(M315="Gap",10,0),N(INDEX(Attributes!$E$3:$E$52,Q315))*20+MIN(20,ROUND(LOG10(N(N315)+1)*5,0))+IF(M315="Gap",10,0)+IF(INDEX(Values!$D$3:$D$502,P315)="Yes",5,0))))</f>
        <v/>
      </c>
      <c r="P315">
        <f>IF(B315="Supporting",MATCH(A315-1-Entity!$B$14,Values!$J$3:$J$502,0),"")</f>
        <v/>
      </c>
      <c r="Q315">
        <f>IF(C315="","",MATCH(C315,Attributes!$A$3:$A$52,0))</f>
        <v/>
      </c>
      <c r="R315">
        <f>IF(B315="Pillar",SUBSTITUTE(Entity!$B$7,"{entity}",LOWER(Entity!$B$3)),IF(B315="Cluster",IF(INDEX(Attributes!$G$3:$G$52,Q315)&lt;&gt;"",INDEX(Attributes!$G$3:$G$52,Q315),SUBSTITUTE(SUBSTITUTE(Entity!$B$8,"{entity}",LOWER(Entity!$B$3)),"{attribute}",LOWER(C315))),IF(B315="Supporting",SUBSTITUTE(SUBSTITUTE(SUBSTITUTE(IF(INDEX(Attributes!$H$3:$H$52,Q315)&lt;&gt;"",INDEX(Attributes!$H$3:$H$52,Q315),Entity!$B$9),"{entity}",LOWER(Entity!$B$3)),"{value}",D315),"{attribute}",LOWER(C315)),"")))</f>
        <v/>
      </c>
    </row>
    <row r="316">
      <c r="A316">
        <f>ROW()-2</f>
        <v/>
      </c>
      <c r="B316">
        <f>IF(A316=1,"Pillar",IF(A316&lt;=1+Entity!$B$14,"Cluster",IF(A316&lt;=1+Entity!$B$14+Entity!$B$15,"Supporting","")))</f>
        <v/>
      </c>
      <c r="C316">
        <f>IF(B316="Cluster",INDEX(Attributes!$A$3:$A$52,MATCH(A316-1,Attributes!$P$3:$P$52,0)),IF(B316="Supporting",INDEX(Values!$A$3:$A$502,P316),""))</f>
        <v/>
      </c>
      <c r="D316">
        <f>IF(B316="Supporting",INDEX(Values!$B$3:$B$502,P316),"")</f>
        <v/>
      </c>
      <c r="E316">
        <f>IF(R316="","",UPPER(LEFT(R316,1))&amp;MID(R316,2,500))</f>
        <v/>
      </c>
      <c r="F316">
        <f>IF(E316="","",LOWER(SUBSTITUTE(SUBSTITUTE(SUBSTITUTE(SUBSTITUTE(SUBSTITUTE(SUBSTITUTE(SUBSTITUTE(TRIM(E316),":",""),",",""),"'",""),"&amp;","and"),"£",""),"  "," ")," ","-")))</f>
        <v/>
      </c>
      <c r="G316">
        <f>IF(B316="Cluster",$E$3,IF(B316="Supporting",INDEX($E$3:$E$553,MATCH(C316,$C$3:$C$553,0)),""))</f>
        <v/>
      </c>
      <c r="H316">
        <f>IF(B316="Supporting",IFERROR(INDEX($E$3:$E$553,1+Entity!$B$14+INDEX(Values!$O$3:$O$502,P316)),""),IF(B316="Cluster",IF(Entity!$B$14&lt;2,"",INDEX($E$3:$E$553,IF(A316-1=Entity!$B$14,2,A316+1))),""))</f>
        <v/>
      </c>
      <c r="I316">
        <f>IF(B316="Pillar",Entity!$B$14&amp;" cluster pages",IF(B316="Cluster",(COUNTIF($C$3:$C$553,SUBSTITUTE(SUBSTITUTE(C316,"?","~?"),"*","~*"))-1)&amp;" supporting pages",""))</f>
        <v/>
      </c>
      <c r="J316">
        <f>IF(B316="Pillar","Informational",IF(OR(B316="Cluster",B316="Supporting"),INDEX(Attributes!$D$3:$D$52,Q316)&amp;"",""))</f>
        <v/>
      </c>
      <c r="K316">
        <f>IF(B316="","",IF(B316="Pillar","Pillar guide (entity hub)",IF(B316="Cluster","Hub page for this attribute",IF(INDEX(Values!$C$3:$C$502,P316)="Yes","Entity page (profile of the sub-entity)",IFERROR(INDEX(Lists!$B$3:$B$6,MATCH(J316,Lists!$A$3:$A$6,0)),"Article")))))</f>
        <v/>
      </c>
      <c r="L316">
        <f>IF(B316="Pillar",Entity!$B$6&amp;"",IF(B316="Cluster",INDEX(Attributes!$I$3:$I$52,Q316)&amp;"",IF(B316="Supporting",INDEX(Values!$F$3:$F$502,P316)&amp;"","")))</f>
        <v/>
      </c>
      <c r="M316">
        <f>IF(B316="","",IF(L316&lt;&gt;"","Covered","Gap"))</f>
        <v/>
      </c>
      <c r="N316">
        <f>IF(B316="Pillar",SUMIFS(Values!$E$3:$E$502,Values!$I$3:$I$502,"Yes"),IF(B316="Cluster",SUMIFS(Values!$E$3:$E$502,Values!$A$3:$A$502,SUBSTITUTE(SUBSTITUTE(C316,"?","~?"),"*","~*"),Values!$I$3:$I$502,"Yes"),IF(B316="Supporting",N(INDEX(Values!$E$3:$E$502,P316)),"")))</f>
        <v/>
      </c>
      <c r="O316">
        <f>IF(B316="","",IF(B316="Pillar",100,IF(B316="Cluster",N(INDEX(Attributes!$E$3:$E$52,Q316))*25+IF(M316="Gap",10,0),N(INDEX(Attributes!$E$3:$E$52,Q316))*20+MIN(20,ROUND(LOG10(N(N316)+1)*5,0))+IF(M316="Gap",10,0)+IF(INDEX(Values!$D$3:$D$502,P316)="Yes",5,0))))</f>
        <v/>
      </c>
      <c r="P316">
        <f>IF(B316="Supporting",MATCH(A316-1-Entity!$B$14,Values!$J$3:$J$502,0),"")</f>
        <v/>
      </c>
      <c r="Q316">
        <f>IF(C316="","",MATCH(C316,Attributes!$A$3:$A$52,0))</f>
        <v/>
      </c>
      <c r="R316">
        <f>IF(B316="Pillar",SUBSTITUTE(Entity!$B$7,"{entity}",LOWER(Entity!$B$3)),IF(B316="Cluster",IF(INDEX(Attributes!$G$3:$G$52,Q316)&lt;&gt;"",INDEX(Attributes!$G$3:$G$52,Q316),SUBSTITUTE(SUBSTITUTE(Entity!$B$8,"{entity}",LOWER(Entity!$B$3)),"{attribute}",LOWER(C316))),IF(B316="Supporting",SUBSTITUTE(SUBSTITUTE(SUBSTITUTE(IF(INDEX(Attributes!$H$3:$H$52,Q316)&lt;&gt;"",INDEX(Attributes!$H$3:$H$52,Q316),Entity!$B$9),"{entity}",LOWER(Entity!$B$3)),"{value}",D316),"{attribute}",LOWER(C316)),"")))</f>
        <v/>
      </c>
    </row>
    <row r="317">
      <c r="A317">
        <f>ROW()-2</f>
        <v/>
      </c>
      <c r="B317">
        <f>IF(A317=1,"Pillar",IF(A317&lt;=1+Entity!$B$14,"Cluster",IF(A317&lt;=1+Entity!$B$14+Entity!$B$15,"Supporting","")))</f>
        <v/>
      </c>
      <c r="C317">
        <f>IF(B317="Cluster",INDEX(Attributes!$A$3:$A$52,MATCH(A317-1,Attributes!$P$3:$P$52,0)),IF(B317="Supporting",INDEX(Values!$A$3:$A$502,P317),""))</f>
        <v/>
      </c>
      <c r="D317">
        <f>IF(B317="Supporting",INDEX(Values!$B$3:$B$502,P317),"")</f>
        <v/>
      </c>
      <c r="E317">
        <f>IF(R317="","",UPPER(LEFT(R317,1))&amp;MID(R317,2,500))</f>
        <v/>
      </c>
      <c r="F317">
        <f>IF(E317="","",LOWER(SUBSTITUTE(SUBSTITUTE(SUBSTITUTE(SUBSTITUTE(SUBSTITUTE(SUBSTITUTE(SUBSTITUTE(TRIM(E317),":",""),",",""),"'",""),"&amp;","and"),"£",""),"  "," ")," ","-")))</f>
        <v/>
      </c>
      <c r="G317">
        <f>IF(B317="Cluster",$E$3,IF(B317="Supporting",INDEX($E$3:$E$553,MATCH(C317,$C$3:$C$553,0)),""))</f>
        <v/>
      </c>
      <c r="H317">
        <f>IF(B317="Supporting",IFERROR(INDEX($E$3:$E$553,1+Entity!$B$14+INDEX(Values!$O$3:$O$502,P317)),""),IF(B317="Cluster",IF(Entity!$B$14&lt;2,"",INDEX($E$3:$E$553,IF(A317-1=Entity!$B$14,2,A317+1))),""))</f>
        <v/>
      </c>
      <c r="I317">
        <f>IF(B317="Pillar",Entity!$B$14&amp;" cluster pages",IF(B317="Cluster",(COUNTIF($C$3:$C$553,SUBSTITUTE(SUBSTITUTE(C317,"?","~?"),"*","~*"))-1)&amp;" supporting pages",""))</f>
        <v/>
      </c>
      <c r="J317">
        <f>IF(B317="Pillar","Informational",IF(OR(B317="Cluster",B317="Supporting"),INDEX(Attributes!$D$3:$D$52,Q317)&amp;"",""))</f>
        <v/>
      </c>
      <c r="K317">
        <f>IF(B317="","",IF(B317="Pillar","Pillar guide (entity hub)",IF(B317="Cluster","Hub page for this attribute",IF(INDEX(Values!$C$3:$C$502,P317)="Yes","Entity page (profile of the sub-entity)",IFERROR(INDEX(Lists!$B$3:$B$6,MATCH(J317,Lists!$A$3:$A$6,0)),"Article")))))</f>
        <v/>
      </c>
      <c r="L317">
        <f>IF(B317="Pillar",Entity!$B$6&amp;"",IF(B317="Cluster",INDEX(Attributes!$I$3:$I$52,Q317)&amp;"",IF(B317="Supporting",INDEX(Values!$F$3:$F$502,P317)&amp;"","")))</f>
        <v/>
      </c>
      <c r="M317">
        <f>IF(B317="","",IF(L317&lt;&gt;"","Covered","Gap"))</f>
        <v/>
      </c>
      <c r="N317">
        <f>IF(B317="Pillar",SUMIFS(Values!$E$3:$E$502,Values!$I$3:$I$502,"Yes"),IF(B317="Cluster",SUMIFS(Values!$E$3:$E$502,Values!$A$3:$A$502,SUBSTITUTE(SUBSTITUTE(C317,"?","~?"),"*","~*"),Values!$I$3:$I$502,"Yes"),IF(B317="Supporting",N(INDEX(Values!$E$3:$E$502,P317)),"")))</f>
        <v/>
      </c>
      <c r="O317">
        <f>IF(B317="","",IF(B317="Pillar",100,IF(B317="Cluster",N(INDEX(Attributes!$E$3:$E$52,Q317))*25+IF(M317="Gap",10,0),N(INDEX(Attributes!$E$3:$E$52,Q317))*20+MIN(20,ROUND(LOG10(N(N317)+1)*5,0))+IF(M317="Gap",10,0)+IF(INDEX(Values!$D$3:$D$502,P317)="Yes",5,0))))</f>
        <v/>
      </c>
      <c r="P317">
        <f>IF(B317="Supporting",MATCH(A317-1-Entity!$B$14,Values!$J$3:$J$502,0),"")</f>
        <v/>
      </c>
      <c r="Q317">
        <f>IF(C317="","",MATCH(C317,Attributes!$A$3:$A$52,0))</f>
        <v/>
      </c>
      <c r="R317">
        <f>IF(B317="Pillar",SUBSTITUTE(Entity!$B$7,"{entity}",LOWER(Entity!$B$3)),IF(B317="Cluster",IF(INDEX(Attributes!$G$3:$G$52,Q317)&lt;&gt;"",INDEX(Attributes!$G$3:$G$52,Q317),SUBSTITUTE(SUBSTITUTE(Entity!$B$8,"{entity}",LOWER(Entity!$B$3)),"{attribute}",LOWER(C317))),IF(B317="Supporting",SUBSTITUTE(SUBSTITUTE(SUBSTITUTE(IF(INDEX(Attributes!$H$3:$H$52,Q317)&lt;&gt;"",INDEX(Attributes!$H$3:$H$52,Q317),Entity!$B$9),"{entity}",LOWER(Entity!$B$3)),"{value}",D317),"{attribute}",LOWER(C317)),"")))</f>
        <v/>
      </c>
    </row>
    <row r="318">
      <c r="A318">
        <f>ROW()-2</f>
        <v/>
      </c>
      <c r="B318">
        <f>IF(A318=1,"Pillar",IF(A318&lt;=1+Entity!$B$14,"Cluster",IF(A318&lt;=1+Entity!$B$14+Entity!$B$15,"Supporting","")))</f>
        <v/>
      </c>
      <c r="C318">
        <f>IF(B318="Cluster",INDEX(Attributes!$A$3:$A$52,MATCH(A318-1,Attributes!$P$3:$P$52,0)),IF(B318="Supporting",INDEX(Values!$A$3:$A$502,P318),""))</f>
        <v/>
      </c>
      <c r="D318">
        <f>IF(B318="Supporting",INDEX(Values!$B$3:$B$502,P318),"")</f>
        <v/>
      </c>
      <c r="E318">
        <f>IF(R318="","",UPPER(LEFT(R318,1))&amp;MID(R318,2,500))</f>
        <v/>
      </c>
      <c r="F318">
        <f>IF(E318="","",LOWER(SUBSTITUTE(SUBSTITUTE(SUBSTITUTE(SUBSTITUTE(SUBSTITUTE(SUBSTITUTE(SUBSTITUTE(TRIM(E318),":",""),",",""),"'",""),"&amp;","and"),"£",""),"  "," ")," ","-")))</f>
        <v/>
      </c>
      <c r="G318">
        <f>IF(B318="Cluster",$E$3,IF(B318="Supporting",INDEX($E$3:$E$553,MATCH(C318,$C$3:$C$553,0)),""))</f>
        <v/>
      </c>
      <c r="H318">
        <f>IF(B318="Supporting",IFERROR(INDEX($E$3:$E$553,1+Entity!$B$14+INDEX(Values!$O$3:$O$502,P318)),""),IF(B318="Cluster",IF(Entity!$B$14&lt;2,"",INDEX($E$3:$E$553,IF(A318-1=Entity!$B$14,2,A318+1))),""))</f>
        <v/>
      </c>
      <c r="I318">
        <f>IF(B318="Pillar",Entity!$B$14&amp;" cluster pages",IF(B318="Cluster",(COUNTIF($C$3:$C$553,SUBSTITUTE(SUBSTITUTE(C318,"?","~?"),"*","~*"))-1)&amp;" supporting pages",""))</f>
        <v/>
      </c>
      <c r="J318">
        <f>IF(B318="Pillar","Informational",IF(OR(B318="Cluster",B318="Supporting"),INDEX(Attributes!$D$3:$D$52,Q318)&amp;"",""))</f>
        <v/>
      </c>
      <c r="K318">
        <f>IF(B318="","",IF(B318="Pillar","Pillar guide (entity hub)",IF(B318="Cluster","Hub page for this attribute",IF(INDEX(Values!$C$3:$C$502,P318)="Yes","Entity page (profile of the sub-entity)",IFERROR(INDEX(Lists!$B$3:$B$6,MATCH(J318,Lists!$A$3:$A$6,0)),"Article")))))</f>
        <v/>
      </c>
      <c r="L318">
        <f>IF(B318="Pillar",Entity!$B$6&amp;"",IF(B318="Cluster",INDEX(Attributes!$I$3:$I$52,Q318)&amp;"",IF(B318="Supporting",INDEX(Values!$F$3:$F$502,P318)&amp;"","")))</f>
        <v/>
      </c>
      <c r="M318">
        <f>IF(B318="","",IF(L318&lt;&gt;"","Covered","Gap"))</f>
        <v/>
      </c>
      <c r="N318">
        <f>IF(B318="Pillar",SUMIFS(Values!$E$3:$E$502,Values!$I$3:$I$502,"Yes"),IF(B318="Cluster",SUMIFS(Values!$E$3:$E$502,Values!$A$3:$A$502,SUBSTITUTE(SUBSTITUTE(C318,"?","~?"),"*","~*"),Values!$I$3:$I$502,"Yes"),IF(B318="Supporting",N(INDEX(Values!$E$3:$E$502,P318)),"")))</f>
        <v/>
      </c>
      <c r="O318">
        <f>IF(B318="","",IF(B318="Pillar",100,IF(B318="Cluster",N(INDEX(Attributes!$E$3:$E$52,Q318))*25+IF(M318="Gap",10,0),N(INDEX(Attributes!$E$3:$E$52,Q318))*20+MIN(20,ROUND(LOG10(N(N318)+1)*5,0))+IF(M318="Gap",10,0)+IF(INDEX(Values!$D$3:$D$502,P318)="Yes",5,0))))</f>
        <v/>
      </c>
      <c r="P318">
        <f>IF(B318="Supporting",MATCH(A318-1-Entity!$B$14,Values!$J$3:$J$502,0),"")</f>
        <v/>
      </c>
      <c r="Q318">
        <f>IF(C318="","",MATCH(C318,Attributes!$A$3:$A$52,0))</f>
        <v/>
      </c>
      <c r="R318">
        <f>IF(B318="Pillar",SUBSTITUTE(Entity!$B$7,"{entity}",LOWER(Entity!$B$3)),IF(B318="Cluster",IF(INDEX(Attributes!$G$3:$G$52,Q318)&lt;&gt;"",INDEX(Attributes!$G$3:$G$52,Q318),SUBSTITUTE(SUBSTITUTE(Entity!$B$8,"{entity}",LOWER(Entity!$B$3)),"{attribute}",LOWER(C318))),IF(B318="Supporting",SUBSTITUTE(SUBSTITUTE(SUBSTITUTE(IF(INDEX(Attributes!$H$3:$H$52,Q318)&lt;&gt;"",INDEX(Attributes!$H$3:$H$52,Q318),Entity!$B$9),"{entity}",LOWER(Entity!$B$3)),"{value}",D318),"{attribute}",LOWER(C318)),"")))</f>
        <v/>
      </c>
    </row>
    <row r="319">
      <c r="A319">
        <f>ROW()-2</f>
        <v/>
      </c>
      <c r="B319">
        <f>IF(A319=1,"Pillar",IF(A319&lt;=1+Entity!$B$14,"Cluster",IF(A319&lt;=1+Entity!$B$14+Entity!$B$15,"Supporting","")))</f>
        <v/>
      </c>
      <c r="C319">
        <f>IF(B319="Cluster",INDEX(Attributes!$A$3:$A$52,MATCH(A319-1,Attributes!$P$3:$P$52,0)),IF(B319="Supporting",INDEX(Values!$A$3:$A$502,P319),""))</f>
        <v/>
      </c>
      <c r="D319">
        <f>IF(B319="Supporting",INDEX(Values!$B$3:$B$502,P319),"")</f>
        <v/>
      </c>
      <c r="E319">
        <f>IF(R319="","",UPPER(LEFT(R319,1))&amp;MID(R319,2,500))</f>
        <v/>
      </c>
      <c r="F319">
        <f>IF(E319="","",LOWER(SUBSTITUTE(SUBSTITUTE(SUBSTITUTE(SUBSTITUTE(SUBSTITUTE(SUBSTITUTE(SUBSTITUTE(TRIM(E319),":",""),",",""),"'",""),"&amp;","and"),"£",""),"  "," ")," ","-")))</f>
        <v/>
      </c>
      <c r="G319">
        <f>IF(B319="Cluster",$E$3,IF(B319="Supporting",INDEX($E$3:$E$553,MATCH(C319,$C$3:$C$553,0)),""))</f>
        <v/>
      </c>
      <c r="H319">
        <f>IF(B319="Supporting",IFERROR(INDEX($E$3:$E$553,1+Entity!$B$14+INDEX(Values!$O$3:$O$502,P319)),""),IF(B319="Cluster",IF(Entity!$B$14&lt;2,"",INDEX($E$3:$E$553,IF(A319-1=Entity!$B$14,2,A319+1))),""))</f>
        <v/>
      </c>
      <c r="I319">
        <f>IF(B319="Pillar",Entity!$B$14&amp;" cluster pages",IF(B319="Cluster",(COUNTIF($C$3:$C$553,SUBSTITUTE(SUBSTITUTE(C319,"?","~?"),"*","~*"))-1)&amp;" supporting pages",""))</f>
        <v/>
      </c>
      <c r="J319">
        <f>IF(B319="Pillar","Informational",IF(OR(B319="Cluster",B319="Supporting"),INDEX(Attributes!$D$3:$D$52,Q319)&amp;"",""))</f>
        <v/>
      </c>
      <c r="K319">
        <f>IF(B319="","",IF(B319="Pillar","Pillar guide (entity hub)",IF(B319="Cluster","Hub page for this attribute",IF(INDEX(Values!$C$3:$C$502,P319)="Yes","Entity page (profile of the sub-entity)",IFERROR(INDEX(Lists!$B$3:$B$6,MATCH(J319,Lists!$A$3:$A$6,0)),"Article")))))</f>
        <v/>
      </c>
      <c r="L319">
        <f>IF(B319="Pillar",Entity!$B$6&amp;"",IF(B319="Cluster",INDEX(Attributes!$I$3:$I$52,Q319)&amp;"",IF(B319="Supporting",INDEX(Values!$F$3:$F$502,P319)&amp;"","")))</f>
        <v/>
      </c>
      <c r="M319">
        <f>IF(B319="","",IF(L319&lt;&gt;"","Covered","Gap"))</f>
        <v/>
      </c>
      <c r="N319">
        <f>IF(B319="Pillar",SUMIFS(Values!$E$3:$E$502,Values!$I$3:$I$502,"Yes"),IF(B319="Cluster",SUMIFS(Values!$E$3:$E$502,Values!$A$3:$A$502,SUBSTITUTE(SUBSTITUTE(C319,"?","~?"),"*","~*"),Values!$I$3:$I$502,"Yes"),IF(B319="Supporting",N(INDEX(Values!$E$3:$E$502,P319)),"")))</f>
        <v/>
      </c>
      <c r="O319">
        <f>IF(B319="","",IF(B319="Pillar",100,IF(B319="Cluster",N(INDEX(Attributes!$E$3:$E$52,Q319))*25+IF(M319="Gap",10,0),N(INDEX(Attributes!$E$3:$E$52,Q319))*20+MIN(20,ROUND(LOG10(N(N319)+1)*5,0))+IF(M319="Gap",10,0)+IF(INDEX(Values!$D$3:$D$502,P319)="Yes",5,0))))</f>
        <v/>
      </c>
      <c r="P319">
        <f>IF(B319="Supporting",MATCH(A319-1-Entity!$B$14,Values!$J$3:$J$502,0),"")</f>
        <v/>
      </c>
      <c r="Q319">
        <f>IF(C319="","",MATCH(C319,Attributes!$A$3:$A$52,0))</f>
        <v/>
      </c>
      <c r="R319">
        <f>IF(B319="Pillar",SUBSTITUTE(Entity!$B$7,"{entity}",LOWER(Entity!$B$3)),IF(B319="Cluster",IF(INDEX(Attributes!$G$3:$G$52,Q319)&lt;&gt;"",INDEX(Attributes!$G$3:$G$52,Q319),SUBSTITUTE(SUBSTITUTE(Entity!$B$8,"{entity}",LOWER(Entity!$B$3)),"{attribute}",LOWER(C319))),IF(B319="Supporting",SUBSTITUTE(SUBSTITUTE(SUBSTITUTE(IF(INDEX(Attributes!$H$3:$H$52,Q319)&lt;&gt;"",INDEX(Attributes!$H$3:$H$52,Q319),Entity!$B$9),"{entity}",LOWER(Entity!$B$3)),"{value}",D319),"{attribute}",LOWER(C319)),"")))</f>
        <v/>
      </c>
    </row>
    <row r="320">
      <c r="A320">
        <f>ROW()-2</f>
        <v/>
      </c>
      <c r="B320">
        <f>IF(A320=1,"Pillar",IF(A320&lt;=1+Entity!$B$14,"Cluster",IF(A320&lt;=1+Entity!$B$14+Entity!$B$15,"Supporting","")))</f>
        <v/>
      </c>
      <c r="C320">
        <f>IF(B320="Cluster",INDEX(Attributes!$A$3:$A$52,MATCH(A320-1,Attributes!$P$3:$P$52,0)),IF(B320="Supporting",INDEX(Values!$A$3:$A$502,P320),""))</f>
        <v/>
      </c>
      <c r="D320">
        <f>IF(B320="Supporting",INDEX(Values!$B$3:$B$502,P320),"")</f>
        <v/>
      </c>
      <c r="E320">
        <f>IF(R320="","",UPPER(LEFT(R320,1))&amp;MID(R320,2,500))</f>
        <v/>
      </c>
      <c r="F320">
        <f>IF(E320="","",LOWER(SUBSTITUTE(SUBSTITUTE(SUBSTITUTE(SUBSTITUTE(SUBSTITUTE(SUBSTITUTE(SUBSTITUTE(TRIM(E320),":",""),",",""),"'",""),"&amp;","and"),"£",""),"  "," ")," ","-")))</f>
        <v/>
      </c>
      <c r="G320">
        <f>IF(B320="Cluster",$E$3,IF(B320="Supporting",INDEX($E$3:$E$553,MATCH(C320,$C$3:$C$553,0)),""))</f>
        <v/>
      </c>
      <c r="H320">
        <f>IF(B320="Supporting",IFERROR(INDEX($E$3:$E$553,1+Entity!$B$14+INDEX(Values!$O$3:$O$502,P320)),""),IF(B320="Cluster",IF(Entity!$B$14&lt;2,"",INDEX($E$3:$E$553,IF(A320-1=Entity!$B$14,2,A320+1))),""))</f>
        <v/>
      </c>
      <c r="I320">
        <f>IF(B320="Pillar",Entity!$B$14&amp;" cluster pages",IF(B320="Cluster",(COUNTIF($C$3:$C$553,SUBSTITUTE(SUBSTITUTE(C320,"?","~?"),"*","~*"))-1)&amp;" supporting pages",""))</f>
        <v/>
      </c>
      <c r="J320">
        <f>IF(B320="Pillar","Informational",IF(OR(B320="Cluster",B320="Supporting"),INDEX(Attributes!$D$3:$D$52,Q320)&amp;"",""))</f>
        <v/>
      </c>
      <c r="K320">
        <f>IF(B320="","",IF(B320="Pillar","Pillar guide (entity hub)",IF(B320="Cluster","Hub page for this attribute",IF(INDEX(Values!$C$3:$C$502,P320)="Yes","Entity page (profile of the sub-entity)",IFERROR(INDEX(Lists!$B$3:$B$6,MATCH(J320,Lists!$A$3:$A$6,0)),"Article")))))</f>
        <v/>
      </c>
      <c r="L320">
        <f>IF(B320="Pillar",Entity!$B$6&amp;"",IF(B320="Cluster",INDEX(Attributes!$I$3:$I$52,Q320)&amp;"",IF(B320="Supporting",INDEX(Values!$F$3:$F$502,P320)&amp;"","")))</f>
        <v/>
      </c>
      <c r="M320">
        <f>IF(B320="","",IF(L320&lt;&gt;"","Covered","Gap"))</f>
        <v/>
      </c>
      <c r="N320">
        <f>IF(B320="Pillar",SUMIFS(Values!$E$3:$E$502,Values!$I$3:$I$502,"Yes"),IF(B320="Cluster",SUMIFS(Values!$E$3:$E$502,Values!$A$3:$A$502,SUBSTITUTE(SUBSTITUTE(C320,"?","~?"),"*","~*"),Values!$I$3:$I$502,"Yes"),IF(B320="Supporting",N(INDEX(Values!$E$3:$E$502,P320)),"")))</f>
        <v/>
      </c>
      <c r="O320">
        <f>IF(B320="","",IF(B320="Pillar",100,IF(B320="Cluster",N(INDEX(Attributes!$E$3:$E$52,Q320))*25+IF(M320="Gap",10,0),N(INDEX(Attributes!$E$3:$E$52,Q320))*20+MIN(20,ROUND(LOG10(N(N320)+1)*5,0))+IF(M320="Gap",10,0)+IF(INDEX(Values!$D$3:$D$502,P320)="Yes",5,0))))</f>
        <v/>
      </c>
      <c r="P320">
        <f>IF(B320="Supporting",MATCH(A320-1-Entity!$B$14,Values!$J$3:$J$502,0),"")</f>
        <v/>
      </c>
      <c r="Q320">
        <f>IF(C320="","",MATCH(C320,Attributes!$A$3:$A$52,0))</f>
        <v/>
      </c>
      <c r="R320">
        <f>IF(B320="Pillar",SUBSTITUTE(Entity!$B$7,"{entity}",LOWER(Entity!$B$3)),IF(B320="Cluster",IF(INDEX(Attributes!$G$3:$G$52,Q320)&lt;&gt;"",INDEX(Attributes!$G$3:$G$52,Q320),SUBSTITUTE(SUBSTITUTE(Entity!$B$8,"{entity}",LOWER(Entity!$B$3)),"{attribute}",LOWER(C320))),IF(B320="Supporting",SUBSTITUTE(SUBSTITUTE(SUBSTITUTE(IF(INDEX(Attributes!$H$3:$H$52,Q320)&lt;&gt;"",INDEX(Attributes!$H$3:$H$52,Q320),Entity!$B$9),"{entity}",LOWER(Entity!$B$3)),"{value}",D320),"{attribute}",LOWER(C320)),"")))</f>
        <v/>
      </c>
    </row>
    <row r="321">
      <c r="A321">
        <f>ROW()-2</f>
        <v/>
      </c>
      <c r="B321">
        <f>IF(A321=1,"Pillar",IF(A321&lt;=1+Entity!$B$14,"Cluster",IF(A321&lt;=1+Entity!$B$14+Entity!$B$15,"Supporting","")))</f>
        <v/>
      </c>
      <c r="C321">
        <f>IF(B321="Cluster",INDEX(Attributes!$A$3:$A$52,MATCH(A321-1,Attributes!$P$3:$P$52,0)),IF(B321="Supporting",INDEX(Values!$A$3:$A$502,P321),""))</f>
        <v/>
      </c>
      <c r="D321">
        <f>IF(B321="Supporting",INDEX(Values!$B$3:$B$502,P321),"")</f>
        <v/>
      </c>
      <c r="E321">
        <f>IF(R321="","",UPPER(LEFT(R321,1))&amp;MID(R321,2,500))</f>
        <v/>
      </c>
      <c r="F321">
        <f>IF(E321="","",LOWER(SUBSTITUTE(SUBSTITUTE(SUBSTITUTE(SUBSTITUTE(SUBSTITUTE(SUBSTITUTE(SUBSTITUTE(TRIM(E321),":",""),",",""),"'",""),"&amp;","and"),"£",""),"  "," ")," ","-")))</f>
        <v/>
      </c>
      <c r="G321">
        <f>IF(B321="Cluster",$E$3,IF(B321="Supporting",INDEX($E$3:$E$553,MATCH(C321,$C$3:$C$553,0)),""))</f>
        <v/>
      </c>
      <c r="H321">
        <f>IF(B321="Supporting",IFERROR(INDEX($E$3:$E$553,1+Entity!$B$14+INDEX(Values!$O$3:$O$502,P321)),""),IF(B321="Cluster",IF(Entity!$B$14&lt;2,"",INDEX($E$3:$E$553,IF(A321-1=Entity!$B$14,2,A321+1))),""))</f>
        <v/>
      </c>
      <c r="I321">
        <f>IF(B321="Pillar",Entity!$B$14&amp;" cluster pages",IF(B321="Cluster",(COUNTIF($C$3:$C$553,SUBSTITUTE(SUBSTITUTE(C321,"?","~?"),"*","~*"))-1)&amp;" supporting pages",""))</f>
        <v/>
      </c>
      <c r="J321">
        <f>IF(B321="Pillar","Informational",IF(OR(B321="Cluster",B321="Supporting"),INDEX(Attributes!$D$3:$D$52,Q321)&amp;"",""))</f>
        <v/>
      </c>
      <c r="K321">
        <f>IF(B321="","",IF(B321="Pillar","Pillar guide (entity hub)",IF(B321="Cluster","Hub page for this attribute",IF(INDEX(Values!$C$3:$C$502,P321)="Yes","Entity page (profile of the sub-entity)",IFERROR(INDEX(Lists!$B$3:$B$6,MATCH(J321,Lists!$A$3:$A$6,0)),"Article")))))</f>
        <v/>
      </c>
      <c r="L321">
        <f>IF(B321="Pillar",Entity!$B$6&amp;"",IF(B321="Cluster",INDEX(Attributes!$I$3:$I$52,Q321)&amp;"",IF(B321="Supporting",INDEX(Values!$F$3:$F$502,P321)&amp;"","")))</f>
        <v/>
      </c>
      <c r="M321">
        <f>IF(B321="","",IF(L321&lt;&gt;"","Covered","Gap"))</f>
        <v/>
      </c>
      <c r="N321">
        <f>IF(B321="Pillar",SUMIFS(Values!$E$3:$E$502,Values!$I$3:$I$502,"Yes"),IF(B321="Cluster",SUMIFS(Values!$E$3:$E$502,Values!$A$3:$A$502,SUBSTITUTE(SUBSTITUTE(C321,"?","~?"),"*","~*"),Values!$I$3:$I$502,"Yes"),IF(B321="Supporting",N(INDEX(Values!$E$3:$E$502,P321)),"")))</f>
        <v/>
      </c>
      <c r="O321">
        <f>IF(B321="","",IF(B321="Pillar",100,IF(B321="Cluster",N(INDEX(Attributes!$E$3:$E$52,Q321))*25+IF(M321="Gap",10,0),N(INDEX(Attributes!$E$3:$E$52,Q321))*20+MIN(20,ROUND(LOG10(N(N321)+1)*5,0))+IF(M321="Gap",10,0)+IF(INDEX(Values!$D$3:$D$502,P321)="Yes",5,0))))</f>
        <v/>
      </c>
      <c r="P321">
        <f>IF(B321="Supporting",MATCH(A321-1-Entity!$B$14,Values!$J$3:$J$502,0),"")</f>
        <v/>
      </c>
      <c r="Q321">
        <f>IF(C321="","",MATCH(C321,Attributes!$A$3:$A$52,0))</f>
        <v/>
      </c>
      <c r="R321">
        <f>IF(B321="Pillar",SUBSTITUTE(Entity!$B$7,"{entity}",LOWER(Entity!$B$3)),IF(B321="Cluster",IF(INDEX(Attributes!$G$3:$G$52,Q321)&lt;&gt;"",INDEX(Attributes!$G$3:$G$52,Q321),SUBSTITUTE(SUBSTITUTE(Entity!$B$8,"{entity}",LOWER(Entity!$B$3)),"{attribute}",LOWER(C321))),IF(B321="Supporting",SUBSTITUTE(SUBSTITUTE(SUBSTITUTE(IF(INDEX(Attributes!$H$3:$H$52,Q321)&lt;&gt;"",INDEX(Attributes!$H$3:$H$52,Q321),Entity!$B$9),"{entity}",LOWER(Entity!$B$3)),"{value}",D321),"{attribute}",LOWER(C321)),"")))</f>
        <v/>
      </c>
    </row>
    <row r="322">
      <c r="A322">
        <f>ROW()-2</f>
        <v/>
      </c>
      <c r="B322">
        <f>IF(A322=1,"Pillar",IF(A322&lt;=1+Entity!$B$14,"Cluster",IF(A322&lt;=1+Entity!$B$14+Entity!$B$15,"Supporting","")))</f>
        <v/>
      </c>
      <c r="C322">
        <f>IF(B322="Cluster",INDEX(Attributes!$A$3:$A$52,MATCH(A322-1,Attributes!$P$3:$P$52,0)),IF(B322="Supporting",INDEX(Values!$A$3:$A$502,P322),""))</f>
        <v/>
      </c>
      <c r="D322">
        <f>IF(B322="Supporting",INDEX(Values!$B$3:$B$502,P322),"")</f>
        <v/>
      </c>
      <c r="E322">
        <f>IF(R322="","",UPPER(LEFT(R322,1))&amp;MID(R322,2,500))</f>
        <v/>
      </c>
      <c r="F322">
        <f>IF(E322="","",LOWER(SUBSTITUTE(SUBSTITUTE(SUBSTITUTE(SUBSTITUTE(SUBSTITUTE(SUBSTITUTE(SUBSTITUTE(TRIM(E322),":",""),",",""),"'",""),"&amp;","and"),"£",""),"  "," ")," ","-")))</f>
        <v/>
      </c>
      <c r="G322">
        <f>IF(B322="Cluster",$E$3,IF(B322="Supporting",INDEX($E$3:$E$553,MATCH(C322,$C$3:$C$553,0)),""))</f>
        <v/>
      </c>
      <c r="H322">
        <f>IF(B322="Supporting",IFERROR(INDEX($E$3:$E$553,1+Entity!$B$14+INDEX(Values!$O$3:$O$502,P322)),""),IF(B322="Cluster",IF(Entity!$B$14&lt;2,"",INDEX($E$3:$E$553,IF(A322-1=Entity!$B$14,2,A322+1))),""))</f>
        <v/>
      </c>
      <c r="I322">
        <f>IF(B322="Pillar",Entity!$B$14&amp;" cluster pages",IF(B322="Cluster",(COUNTIF($C$3:$C$553,SUBSTITUTE(SUBSTITUTE(C322,"?","~?"),"*","~*"))-1)&amp;" supporting pages",""))</f>
        <v/>
      </c>
      <c r="J322">
        <f>IF(B322="Pillar","Informational",IF(OR(B322="Cluster",B322="Supporting"),INDEX(Attributes!$D$3:$D$52,Q322)&amp;"",""))</f>
        <v/>
      </c>
      <c r="K322">
        <f>IF(B322="","",IF(B322="Pillar","Pillar guide (entity hub)",IF(B322="Cluster","Hub page for this attribute",IF(INDEX(Values!$C$3:$C$502,P322)="Yes","Entity page (profile of the sub-entity)",IFERROR(INDEX(Lists!$B$3:$B$6,MATCH(J322,Lists!$A$3:$A$6,0)),"Article")))))</f>
        <v/>
      </c>
      <c r="L322">
        <f>IF(B322="Pillar",Entity!$B$6&amp;"",IF(B322="Cluster",INDEX(Attributes!$I$3:$I$52,Q322)&amp;"",IF(B322="Supporting",INDEX(Values!$F$3:$F$502,P322)&amp;"","")))</f>
        <v/>
      </c>
      <c r="M322">
        <f>IF(B322="","",IF(L322&lt;&gt;"","Covered","Gap"))</f>
        <v/>
      </c>
      <c r="N322">
        <f>IF(B322="Pillar",SUMIFS(Values!$E$3:$E$502,Values!$I$3:$I$502,"Yes"),IF(B322="Cluster",SUMIFS(Values!$E$3:$E$502,Values!$A$3:$A$502,SUBSTITUTE(SUBSTITUTE(C322,"?","~?"),"*","~*"),Values!$I$3:$I$502,"Yes"),IF(B322="Supporting",N(INDEX(Values!$E$3:$E$502,P322)),"")))</f>
        <v/>
      </c>
      <c r="O322">
        <f>IF(B322="","",IF(B322="Pillar",100,IF(B322="Cluster",N(INDEX(Attributes!$E$3:$E$52,Q322))*25+IF(M322="Gap",10,0),N(INDEX(Attributes!$E$3:$E$52,Q322))*20+MIN(20,ROUND(LOG10(N(N322)+1)*5,0))+IF(M322="Gap",10,0)+IF(INDEX(Values!$D$3:$D$502,P322)="Yes",5,0))))</f>
        <v/>
      </c>
      <c r="P322">
        <f>IF(B322="Supporting",MATCH(A322-1-Entity!$B$14,Values!$J$3:$J$502,0),"")</f>
        <v/>
      </c>
      <c r="Q322">
        <f>IF(C322="","",MATCH(C322,Attributes!$A$3:$A$52,0))</f>
        <v/>
      </c>
      <c r="R322">
        <f>IF(B322="Pillar",SUBSTITUTE(Entity!$B$7,"{entity}",LOWER(Entity!$B$3)),IF(B322="Cluster",IF(INDEX(Attributes!$G$3:$G$52,Q322)&lt;&gt;"",INDEX(Attributes!$G$3:$G$52,Q322),SUBSTITUTE(SUBSTITUTE(Entity!$B$8,"{entity}",LOWER(Entity!$B$3)),"{attribute}",LOWER(C322))),IF(B322="Supporting",SUBSTITUTE(SUBSTITUTE(SUBSTITUTE(IF(INDEX(Attributes!$H$3:$H$52,Q322)&lt;&gt;"",INDEX(Attributes!$H$3:$H$52,Q322),Entity!$B$9),"{entity}",LOWER(Entity!$B$3)),"{value}",D322),"{attribute}",LOWER(C322)),"")))</f>
        <v/>
      </c>
    </row>
    <row r="323">
      <c r="A323">
        <f>ROW()-2</f>
        <v/>
      </c>
      <c r="B323">
        <f>IF(A323=1,"Pillar",IF(A323&lt;=1+Entity!$B$14,"Cluster",IF(A323&lt;=1+Entity!$B$14+Entity!$B$15,"Supporting","")))</f>
        <v/>
      </c>
      <c r="C323">
        <f>IF(B323="Cluster",INDEX(Attributes!$A$3:$A$52,MATCH(A323-1,Attributes!$P$3:$P$52,0)),IF(B323="Supporting",INDEX(Values!$A$3:$A$502,P323),""))</f>
        <v/>
      </c>
      <c r="D323">
        <f>IF(B323="Supporting",INDEX(Values!$B$3:$B$502,P323),"")</f>
        <v/>
      </c>
      <c r="E323">
        <f>IF(R323="","",UPPER(LEFT(R323,1))&amp;MID(R323,2,500))</f>
        <v/>
      </c>
      <c r="F323">
        <f>IF(E323="","",LOWER(SUBSTITUTE(SUBSTITUTE(SUBSTITUTE(SUBSTITUTE(SUBSTITUTE(SUBSTITUTE(SUBSTITUTE(TRIM(E323),":",""),",",""),"'",""),"&amp;","and"),"£",""),"  "," ")," ","-")))</f>
        <v/>
      </c>
      <c r="G323">
        <f>IF(B323="Cluster",$E$3,IF(B323="Supporting",INDEX($E$3:$E$553,MATCH(C323,$C$3:$C$553,0)),""))</f>
        <v/>
      </c>
      <c r="H323">
        <f>IF(B323="Supporting",IFERROR(INDEX($E$3:$E$553,1+Entity!$B$14+INDEX(Values!$O$3:$O$502,P323)),""),IF(B323="Cluster",IF(Entity!$B$14&lt;2,"",INDEX($E$3:$E$553,IF(A323-1=Entity!$B$14,2,A323+1))),""))</f>
        <v/>
      </c>
      <c r="I323">
        <f>IF(B323="Pillar",Entity!$B$14&amp;" cluster pages",IF(B323="Cluster",(COUNTIF($C$3:$C$553,SUBSTITUTE(SUBSTITUTE(C323,"?","~?"),"*","~*"))-1)&amp;" supporting pages",""))</f>
        <v/>
      </c>
      <c r="J323">
        <f>IF(B323="Pillar","Informational",IF(OR(B323="Cluster",B323="Supporting"),INDEX(Attributes!$D$3:$D$52,Q323)&amp;"",""))</f>
        <v/>
      </c>
      <c r="K323">
        <f>IF(B323="","",IF(B323="Pillar","Pillar guide (entity hub)",IF(B323="Cluster","Hub page for this attribute",IF(INDEX(Values!$C$3:$C$502,P323)="Yes","Entity page (profile of the sub-entity)",IFERROR(INDEX(Lists!$B$3:$B$6,MATCH(J323,Lists!$A$3:$A$6,0)),"Article")))))</f>
        <v/>
      </c>
      <c r="L323">
        <f>IF(B323="Pillar",Entity!$B$6&amp;"",IF(B323="Cluster",INDEX(Attributes!$I$3:$I$52,Q323)&amp;"",IF(B323="Supporting",INDEX(Values!$F$3:$F$502,P323)&amp;"","")))</f>
        <v/>
      </c>
      <c r="M323">
        <f>IF(B323="","",IF(L323&lt;&gt;"","Covered","Gap"))</f>
        <v/>
      </c>
      <c r="N323">
        <f>IF(B323="Pillar",SUMIFS(Values!$E$3:$E$502,Values!$I$3:$I$502,"Yes"),IF(B323="Cluster",SUMIFS(Values!$E$3:$E$502,Values!$A$3:$A$502,SUBSTITUTE(SUBSTITUTE(C323,"?","~?"),"*","~*"),Values!$I$3:$I$502,"Yes"),IF(B323="Supporting",N(INDEX(Values!$E$3:$E$502,P323)),"")))</f>
        <v/>
      </c>
      <c r="O323">
        <f>IF(B323="","",IF(B323="Pillar",100,IF(B323="Cluster",N(INDEX(Attributes!$E$3:$E$52,Q323))*25+IF(M323="Gap",10,0),N(INDEX(Attributes!$E$3:$E$52,Q323))*20+MIN(20,ROUND(LOG10(N(N323)+1)*5,0))+IF(M323="Gap",10,0)+IF(INDEX(Values!$D$3:$D$502,P323)="Yes",5,0))))</f>
        <v/>
      </c>
      <c r="P323">
        <f>IF(B323="Supporting",MATCH(A323-1-Entity!$B$14,Values!$J$3:$J$502,0),"")</f>
        <v/>
      </c>
      <c r="Q323">
        <f>IF(C323="","",MATCH(C323,Attributes!$A$3:$A$52,0))</f>
        <v/>
      </c>
      <c r="R323">
        <f>IF(B323="Pillar",SUBSTITUTE(Entity!$B$7,"{entity}",LOWER(Entity!$B$3)),IF(B323="Cluster",IF(INDEX(Attributes!$G$3:$G$52,Q323)&lt;&gt;"",INDEX(Attributes!$G$3:$G$52,Q323),SUBSTITUTE(SUBSTITUTE(Entity!$B$8,"{entity}",LOWER(Entity!$B$3)),"{attribute}",LOWER(C323))),IF(B323="Supporting",SUBSTITUTE(SUBSTITUTE(SUBSTITUTE(IF(INDEX(Attributes!$H$3:$H$52,Q323)&lt;&gt;"",INDEX(Attributes!$H$3:$H$52,Q323),Entity!$B$9),"{entity}",LOWER(Entity!$B$3)),"{value}",D323),"{attribute}",LOWER(C323)),"")))</f>
        <v/>
      </c>
    </row>
    <row r="324">
      <c r="A324">
        <f>ROW()-2</f>
        <v/>
      </c>
      <c r="B324">
        <f>IF(A324=1,"Pillar",IF(A324&lt;=1+Entity!$B$14,"Cluster",IF(A324&lt;=1+Entity!$B$14+Entity!$B$15,"Supporting","")))</f>
        <v/>
      </c>
      <c r="C324">
        <f>IF(B324="Cluster",INDEX(Attributes!$A$3:$A$52,MATCH(A324-1,Attributes!$P$3:$P$52,0)),IF(B324="Supporting",INDEX(Values!$A$3:$A$502,P324),""))</f>
        <v/>
      </c>
      <c r="D324">
        <f>IF(B324="Supporting",INDEX(Values!$B$3:$B$502,P324),"")</f>
        <v/>
      </c>
      <c r="E324">
        <f>IF(R324="","",UPPER(LEFT(R324,1))&amp;MID(R324,2,500))</f>
        <v/>
      </c>
      <c r="F324">
        <f>IF(E324="","",LOWER(SUBSTITUTE(SUBSTITUTE(SUBSTITUTE(SUBSTITUTE(SUBSTITUTE(SUBSTITUTE(SUBSTITUTE(TRIM(E324),":",""),",",""),"'",""),"&amp;","and"),"£",""),"  "," ")," ","-")))</f>
        <v/>
      </c>
      <c r="G324">
        <f>IF(B324="Cluster",$E$3,IF(B324="Supporting",INDEX($E$3:$E$553,MATCH(C324,$C$3:$C$553,0)),""))</f>
        <v/>
      </c>
      <c r="H324">
        <f>IF(B324="Supporting",IFERROR(INDEX($E$3:$E$553,1+Entity!$B$14+INDEX(Values!$O$3:$O$502,P324)),""),IF(B324="Cluster",IF(Entity!$B$14&lt;2,"",INDEX($E$3:$E$553,IF(A324-1=Entity!$B$14,2,A324+1))),""))</f>
        <v/>
      </c>
      <c r="I324">
        <f>IF(B324="Pillar",Entity!$B$14&amp;" cluster pages",IF(B324="Cluster",(COUNTIF($C$3:$C$553,SUBSTITUTE(SUBSTITUTE(C324,"?","~?"),"*","~*"))-1)&amp;" supporting pages",""))</f>
        <v/>
      </c>
      <c r="J324">
        <f>IF(B324="Pillar","Informational",IF(OR(B324="Cluster",B324="Supporting"),INDEX(Attributes!$D$3:$D$52,Q324)&amp;"",""))</f>
        <v/>
      </c>
      <c r="K324">
        <f>IF(B324="","",IF(B324="Pillar","Pillar guide (entity hub)",IF(B324="Cluster","Hub page for this attribute",IF(INDEX(Values!$C$3:$C$502,P324)="Yes","Entity page (profile of the sub-entity)",IFERROR(INDEX(Lists!$B$3:$B$6,MATCH(J324,Lists!$A$3:$A$6,0)),"Article")))))</f>
        <v/>
      </c>
      <c r="L324">
        <f>IF(B324="Pillar",Entity!$B$6&amp;"",IF(B324="Cluster",INDEX(Attributes!$I$3:$I$52,Q324)&amp;"",IF(B324="Supporting",INDEX(Values!$F$3:$F$502,P324)&amp;"","")))</f>
        <v/>
      </c>
      <c r="M324">
        <f>IF(B324="","",IF(L324&lt;&gt;"","Covered","Gap"))</f>
        <v/>
      </c>
      <c r="N324">
        <f>IF(B324="Pillar",SUMIFS(Values!$E$3:$E$502,Values!$I$3:$I$502,"Yes"),IF(B324="Cluster",SUMIFS(Values!$E$3:$E$502,Values!$A$3:$A$502,SUBSTITUTE(SUBSTITUTE(C324,"?","~?"),"*","~*"),Values!$I$3:$I$502,"Yes"),IF(B324="Supporting",N(INDEX(Values!$E$3:$E$502,P324)),"")))</f>
        <v/>
      </c>
      <c r="O324">
        <f>IF(B324="","",IF(B324="Pillar",100,IF(B324="Cluster",N(INDEX(Attributes!$E$3:$E$52,Q324))*25+IF(M324="Gap",10,0),N(INDEX(Attributes!$E$3:$E$52,Q324))*20+MIN(20,ROUND(LOG10(N(N324)+1)*5,0))+IF(M324="Gap",10,0)+IF(INDEX(Values!$D$3:$D$502,P324)="Yes",5,0))))</f>
        <v/>
      </c>
      <c r="P324">
        <f>IF(B324="Supporting",MATCH(A324-1-Entity!$B$14,Values!$J$3:$J$502,0),"")</f>
        <v/>
      </c>
      <c r="Q324">
        <f>IF(C324="","",MATCH(C324,Attributes!$A$3:$A$52,0))</f>
        <v/>
      </c>
      <c r="R324">
        <f>IF(B324="Pillar",SUBSTITUTE(Entity!$B$7,"{entity}",LOWER(Entity!$B$3)),IF(B324="Cluster",IF(INDEX(Attributes!$G$3:$G$52,Q324)&lt;&gt;"",INDEX(Attributes!$G$3:$G$52,Q324),SUBSTITUTE(SUBSTITUTE(Entity!$B$8,"{entity}",LOWER(Entity!$B$3)),"{attribute}",LOWER(C324))),IF(B324="Supporting",SUBSTITUTE(SUBSTITUTE(SUBSTITUTE(IF(INDEX(Attributes!$H$3:$H$52,Q324)&lt;&gt;"",INDEX(Attributes!$H$3:$H$52,Q324),Entity!$B$9),"{entity}",LOWER(Entity!$B$3)),"{value}",D324),"{attribute}",LOWER(C324)),"")))</f>
        <v/>
      </c>
    </row>
    <row r="325">
      <c r="A325">
        <f>ROW()-2</f>
        <v/>
      </c>
      <c r="B325">
        <f>IF(A325=1,"Pillar",IF(A325&lt;=1+Entity!$B$14,"Cluster",IF(A325&lt;=1+Entity!$B$14+Entity!$B$15,"Supporting","")))</f>
        <v/>
      </c>
      <c r="C325">
        <f>IF(B325="Cluster",INDEX(Attributes!$A$3:$A$52,MATCH(A325-1,Attributes!$P$3:$P$52,0)),IF(B325="Supporting",INDEX(Values!$A$3:$A$502,P325),""))</f>
        <v/>
      </c>
      <c r="D325">
        <f>IF(B325="Supporting",INDEX(Values!$B$3:$B$502,P325),"")</f>
        <v/>
      </c>
      <c r="E325">
        <f>IF(R325="","",UPPER(LEFT(R325,1))&amp;MID(R325,2,500))</f>
        <v/>
      </c>
      <c r="F325">
        <f>IF(E325="","",LOWER(SUBSTITUTE(SUBSTITUTE(SUBSTITUTE(SUBSTITUTE(SUBSTITUTE(SUBSTITUTE(SUBSTITUTE(TRIM(E325),":",""),",",""),"'",""),"&amp;","and"),"£",""),"  "," ")," ","-")))</f>
        <v/>
      </c>
      <c r="G325">
        <f>IF(B325="Cluster",$E$3,IF(B325="Supporting",INDEX($E$3:$E$553,MATCH(C325,$C$3:$C$553,0)),""))</f>
        <v/>
      </c>
      <c r="H325">
        <f>IF(B325="Supporting",IFERROR(INDEX($E$3:$E$553,1+Entity!$B$14+INDEX(Values!$O$3:$O$502,P325)),""),IF(B325="Cluster",IF(Entity!$B$14&lt;2,"",INDEX($E$3:$E$553,IF(A325-1=Entity!$B$14,2,A325+1))),""))</f>
        <v/>
      </c>
      <c r="I325">
        <f>IF(B325="Pillar",Entity!$B$14&amp;" cluster pages",IF(B325="Cluster",(COUNTIF($C$3:$C$553,SUBSTITUTE(SUBSTITUTE(C325,"?","~?"),"*","~*"))-1)&amp;" supporting pages",""))</f>
        <v/>
      </c>
      <c r="J325">
        <f>IF(B325="Pillar","Informational",IF(OR(B325="Cluster",B325="Supporting"),INDEX(Attributes!$D$3:$D$52,Q325)&amp;"",""))</f>
        <v/>
      </c>
      <c r="K325">
        <f>IF(B325="","",IF(B325="Pillar","Pillar guide (entity hub)",IF(B325="Cluster","Hub page for this attribute",IF(INDEX(Values!$C$3:$C$502,P325)="Yes","Entity page (profile of the sub-entity)",IFERROR(INDEX(Lists!$B$3:$B$6,MATCH(J325,Lists!$A$3:$A$6,0)),"Article")))))</f>
        <v/>
      </c>
      <c r="L325">
        <f>IF(B325="Pillar",Entity!$B$6&amp;"",IF(B325="Cluster",INDEX(Attributes!$I$3:$I$52,Q325)&amp;"",IF(B325="Supporting",INDEX(Values!$F$3:$F$502,P325)&amp;"","")))</f>
        <v/>
      </c>
      <c r="M325">
        <f>IF(B325="","",IF(L325&lt;&gt;"","Covered","Gap"))</f>
        <v/>
      </c>
      <c r="N325">
        <f>IF(B325="Pillar",SUMIFS(Values!$E$3:$E$502,Values!$I$3:$I$502,"Yes"),IF(B325="Cluster",SUMIFS(Values!$E$3:$E$502,Values!$A$3:$A$502,SUBSTITUTE(SUBSTITUTE(C325,"?","~?"),"*","~*"),Values!$I$3:$I$502,"Yes"),IF(B325="Supporting",N(INDEX(Values!$E$3:$E$502,P325)),"")))</f>
        <v/>
      </c>
      <c r="O325">
        <f>IF(B325="","",IF(B325="Pillar",100,IF(B325="Cluster",N(INDEX(Attributes!$E$3:$E$52,Q325))*25+IF(M325="Gap",10,0),N(INDEX(Attributes!$E$3:$E$52,Q325))*20+MIN(20,ROUND(LOG10(N(N325)+1)*5,0))+IF(M325="Gap",10,0)+IF(INDEX(Values!$D$3:$D$502,P325)="Yes",5,0))))</f>
        <v/>
      </c>
      <c r="P325">
        <f>IF(B325="Supporting",MATCH(A325-1-Entity!$B$14,Values!$J$3:$J$502,0),"")</f>
        <v/>
      </c>
      <c r="Q325">
        <f>IF(C325="","",MATCH(C325,Attributes!$A$3:$A$52,0))</f>
        <v/>
      </c>
      <c r="R325">
        <f>IF(B325="Pillar",SUBSTITUTE(Entity!$B$7,"{entity}",LOWER(Entity!$B$3)),IF(B325="Cluster",IF(INDEX(Attributes!$G$3:$G$52,Q325)&lt;&gt;"",INDEX(Attributes!$G$3:$G$52,Q325),SUBSTITUTE(SUBSTITUTE(Entity!$B$8,"{entity}",LOWER(Entity!$B$3)),"{attribute}",LOWER(C325))),IF(B325="Supporting",SUBSTITUTE(SUBSTITUTE(SUBSTITUTE(IF(INDEX(Attributes!$H$3:$H$52,Q325)&lt;&gt;"",INDEX(Attributes!$H$3:$H$52,Q325),Entity!$B$9),"{entity}",LOWER(Entity!$B$3)),"{value}",D325),"{attribute}",LOWER(C325)),"")))</f>
        <v/>
      </c>
    </row>
    <row r="326">
      <c r="A326">
        <f>ROW()-2</f>
        <v/>
      </c>
      <c r="B326">
        <f>IF(A326=1,"Pillar",IF(A326&lt;=1+Entity!$B$14,"Cluster",IF(A326&lt;=1+Entity!$B$14+Entity!$B$15,"Supporting","")))</f>
        <v/>
      </c>
      <c r="C326">
        <f>IF(B326="Cluster",INDEX(Attributes!$A$3:$A$52,MATCH(A326-1,Attributes!$P$3:$P$52,0)),IF(B326="Supporting",INDEX(Values!$A$3:$A$502,P326),""))</f>
        <v/>
      </c>
      <c r="D326">
        <f>IF(B326="Supporting",INDEX(Values!$B$3:$B$502,P326),"")</f>
        <v/>
      </c>
      <c r="E326">
        <f>IF(R326="","",UPPER(LEFT(R326,1))&amp;MID(R326,2,500))</f>
        <v/>
      </c>
      <c r="F326">
        <f>IF(E326="","",LOWER(SUBSTITUTE(SUBSTITUTE(SUBSTITUTE(SUBSTITUTE(SUBSTITUTE(SUBSTITUTE(SUBSTITUTE(TRIM(E326),":",""),",",""),"'",""),"&amp;","and"),"£",""),"  "," ")," ","-")))</f>
        <v/>
      </c>
      <c r="G326">
        <f>IF(B326="Cluster",$E$3,IF(B326="Supporting",INDEX($E$3:$E$553,MATCH(C326,$C$3:$C$553,0)),""))</f>
        <v/>
      </c>
      <c r="H326">
        <f>IF(B326="Supporting",IFERROR(INDEX($E$3:$E$553,1+Entity!$B$14+INDEX(Values!$O$3:$O$502,P326)),""),IF(B326="Cluster",IF(Entity!$B$14&lt;2,"",INDEX($E$3:$E$553,IF(A326-1=Entity!$B$14,2,A326+1))),""))</f>
        <v/>
      </c>
      <c r="I326">
        <f>IF(B326="Pillar",Entity!$B$14&amp;" cluster pages",IF(B326="Cluster",(COUNTIF($C$3:$C$553,SUBSTITUTE(SUBSTITUTE(C326,"?","~?"),"*","~*"))-1)&amp;" supporting pages",""))</f>
        <v/>
      </c>
      <c r="J326">
        <f>IF(B326="Pillar","Informational",IF(OR(B326="Cluster",B326="Supporting"),INDEX(Attributes!$D$3:$D$52,Q326)&amp;"",""))</f>
        <v/>
      </c>
      <c r="K326">
        <f>IF(B326="","",IF(B326="Pillar","Pillar guide (entity hub)",IF(B326="Cluster","Hub page for this attribute",IF(INDEX(Values!$C$3:$C$502,P326)="Yes","Entity page (profile of the sub-entity)",IFERROR(INDEX(Lists!$B$3:$B$6,MATCH(J326,Lists!$A$3:$A$6,0)),"Article")))))</f>
        <v/>
      </c>
      <c r="L326">
        <f>IF(B326="Pillar",Entity!$B$6&amp;"",IF(B326="Cluster",INDEX(Attributes!$I$3:$I$52,Q326)&amp;"",IF(B326="Supporting",INDEX(Values!$F$3:$F$502,P326)&amp;"","")))</f>
        <v/>
      </c>
      <c r="M326">
        <f>IF(B326="","",IF(L326&lt;&gt;"","Covered","Gap"))</f>
        <v/>
      </c>
      <c r="N326">
        <f>IF(B326="Pillar",SUMIFS(Values!$E$3:$E$502,Values!$I$3:$I$502,"Yes"),IF(B326="Cluster",SUMIFS(Values!$E$3:$E$502,Values!$A$3:$A$502,SUBSTITUTE(SUBSTITUTE(C326,"?","~?"),"*","~*"),Values!$I$3:$I$502,"Yes"),IF(B326="Supporting",N(INDEX(Values!$E$3:$E$502,P326)),"")))</f>
        <v/>
      </c>
      <c r="O326">
        <f>IF(B326="","",IF(B326="Pillar",100,IF(B326="Cluster",N(INDEX(Attributes!$E$3:$E$52,Q326))*25+IF(M326="Gap",10,0),N(INDEX(Attributes!$E$3:$E$52,Q326))*20+MIN(20,ROUND(LOG10(N(N326)+1)*5,0))+IF(M326="Gap",10,0)+IF(INDEX(Values!$D$3:$D$502,P326)="Yes",5,0))))</f>
        <v/>
      </c>
      <c r="P326">
        <f>IF(B326="Supporting",MATCH(A326-1-Entity!$B$14,Values!$J$3:$J$502,0),"")</f>
        <v/>
      </c>
      <c r="Q326">
        <f>IF(C326="","",MATCH(C326,Attributes!$A$3:$A$52,0))</f>
        <v/>
      </c>
      <c r="R326">
        <f>IF(B326="Pillar",SUBSTITUTE(Entity!$B$7,"{entity}",LOWER(Entity!$B$3)),IF(B326="Cluster",IF(INDEX(Attributes!$G$3:$G$52,Q326)&lt;&gt;"",INDEX(Attributes!$G$3:$G$52,Q326),SUBSTITUTE(SUBSTITUTE(Entity!$B$8,"{entity}",LOWER(Entity!$B$3)),"{attribute}",LOWER(C326))),IF(B326="Supporting",SUBSTITUTE(SUBSTITUTE(SUBSTITUTE(IF(INDEX(Attributes!$H$3:$H$52,Q326)&lt;&gt;"",INDEX(Attributes!$H$3:$H$52,Q326),Entity!$B$9),"{entity}",LOWER(Entity!$B$3)),"{value}",D326),"{attribute}",LOWER(C326)),"")))</f>
        <v/>
      </c>
    </row>
    <row r="327">
      <c r="A327">
        <f>ROW()-2</f>
        <v/>
      </c>
      <c r="B327">
        <f>IF(A327=1,"Pillar",IF(A327&lt;=1+Entity!$B$14,"Cluster",IF(A327&lt;=1+Entity!$B$14+Entity!$B$15,"Supporting","")))</f>
        <v/>
      </c>
      <c r="C327">
        <f>IF(B327="Cluster",INDEX(Attributes!$A$3:$A$52,MATCH(A327-1,Attributes!$P$3:$P$52,0)),IF(B327="Supporting",INDEX(Values!$A$3:$A$502,P327),""))</f>
        <v/>
      </c>
      <c r="D327">
        <f>IF(B327="Supporting",INDEX(Values!$B$3:$B$502,P327),"")</f>
        <v/>
      </c>
      <c r="E327">
        <f>IF(R327="","",UPPER(LEFT(R327,1))&amp;MID(R327,2,500))</f>
        <v/>
      </c>
      <c r="F327">
        <f>IF(E327="","",LOWER(SUBSTITUTE(SUBSTITUTE(SUBSTITUTE(SUBSTITUTE(SUBSTITUTE(SUBSTITUTE(SUBSTITUTE(TRIM(E327),":",""),",",""),"'",""),"&amp;","and"),"£",""),"  "," ")," ","-")))</f>
        <v/>
      </c>
      <c r="G327">
        <f>IF(B327="Cluster",$E$3,IF(B327="Supporting",INDEX($E$3:$E$553,MATCH(C327,$C$3:$C$553,0)),""))</f>
        <v/>
      </c>
      <c r="H327">
        <f>IF(B327="Supporting",IFERROR(INDEX($E$3:$E$553,1+Entity!$B$14+INDEX(Values!$O$3:$O$502,P327)),""),IF(B327="Cluster",IF(Entity!$B$14&lt;2,"",INDEX($E$3:$E$553,IF(A327-1=Entity!$B$14,2,A327+1))),""))</f>
        <v/>
      </c>
      <c r="I327">
        <f>IF(B327="Pillar",Entity!$B$14&amp;" cluster pages",IF(B327="Cluster",(COUNTIF($C$3:$C$553,SUBSTITUTE(SUBSTITUTE(C327,"?","~?"),"*","~*"))-1)&amp;" supporting pages",""))</f>
        <v/>
      </c>
      <c r="J327">
        <f>IF(B327="Pillar","Informational",IF(OR(B327="Cluster",B327="Supporting"),INDEX(Attributes!$D$3:$D$52,Q327)&amp;"",""))</f>
        <v/>
      </c>
      <c r="K327">
        <f>IF(B327="","",IF(B327="Pillar","Pillar guide (entity hub)",IF(B327="Cluster","Hub page for this attribute",IF(INDEX(Values!$C$3:$C$502,P327)="Yes","Entity page (profile of the sub-entity)",IFERROR(INDEX(Lists!$B$3:$B$6,MATCH(J327,Lists!$A$3:$A$6,0)),"Article")))))</f>
        <v/>
      </c>
      <c r="L327">
        <f>IF(B327="Pillar",Entity!$B$6&amp;"",IF(B327="Cluster",INDEX(Attributes!$I$3:$I$52,Q327)&amp;"",IF(B327="Supporting",INDEX(Values!$F$3:$F$502,P327)&amp;"","")))</f>
        <v/>
      </c>
      <c r="M327">
        <f>IF(B327="","",IF(L327&lt;&gt;"","Covered","Gap"))</f>
        <v/>
      </c>
      <c r="N327">
        <f>IF(B327="Pillar",SUMIFS(Values!$E$3:$E$502,Values!$I$3:$I$502,"Yes"),IF(B327="Cluster",SUMIFS(Values!$E$3:$E$502,Values!$A$3:$A$502,SUBSTITUTE(SUBSTITUTE(C327,"?","~?"),"*","~*"),Values!$I$3:$I$502,"Yes"),IF(B327="Supporting",N(INDEX(Values!$E$3:$E$502,P327)),"")))</f>
        <v/>
      </c>
      <c r="O327">
        <f>IF(B327="","",IF(B327="Pillar",100,IF(B327="Cluster",N(INDEX(Attributes!$E$3:$E$52,Q327))*25+IF(M327="Gap",10,0),N(INDEX(Attributes!$E$3:$E$52,Q327))*20+MIN(20,ROUND(LOG10(N(N327)+1)*5,0))+IF(M327="Gap",10,0)+IF(INDEX(Values!$D$3:$D$502,P327)="Yes",5,0))))</f>
        <v/>
      </c>
      <c r="P327">
        <f>IF(B327="Supporting",MATCH(A327-1-Entity!$B$14,Values!$J$3:$J$502,0),"")</f>
        <v/>
      </c>
      <c r="Q327">
        <f>IF(C327="","",MATCH(C327,Attributes!$A$3:$A$52,0))</f>
        <v/>
      </c>
      <c r="R327">
        <f>IF(B327="Pillar",SUBSTITUTE(Entity!$B$7,"{entity}",LOWER(Entity!$B$3)),IF(B327="Cluster",IF(INDEX(Attributes!$G$3:$G$52,Q327)&lt;&gt;"",INDEX(Attributes!$G$3:$G$52,Q327),SUBSTITUTE(SUBSTITUTE(Entity!$B$8,"{entity}",LOWER(Entity!$B$3)),"{attribute}",LOWER(C327))),IF(B327="Supporting",SUBSTITUTE(SUBSTITUTE(SUBSTITUTE(IF(INDEX(Attributes!$H$3:$H$52,Q327)&lt;&gt;"",INDEX(Attributes!$H$3:$H$52,Q327),Entity!$B$9),"{entity}",LOWER(Entity!$B$3)),"{value}",D327),"{attribute}",LOWER(C327)),"")))</f>
        <v/>
      </c>
    </row>
    <row r="328">
      <c r="A328">
        <f>ROW()-2</f>
        <v/>
      </c>
      <c r="B328">
        <f>IF(A328=1,"Pillar",IF(A328&lt;=1+Entity!$B$14,"Cluster",IF(A328&lt;=1+Entity!$B$14+Entity!$B$15,"Supporting","")))</f>
        <v/>
      </c>
      <c r="C328">
        <f>IF(B328="Cluster",INDEX(Attributes!$A$3:$A$52,MATCH(A328-1,Attributes!$P$3:$P$52,0)),IF(B328="Supporting",INDEX(Values!$A$3:$A$502,P328),""))</f>
        <v/>
      </c>
      <c r="D328">
        <f>IF(B328="Supporting",INDEX(Values!$B$3:$B$502,P328),"")</f>
        <v/>
      </c>
      <c r="E328">
        <f>IF(R328="","",UPPER(LEFT(R328,1))&amp;MID(R328,2,500))</f>
        <v/>
      </c>
      <c r="F328">
        <f>IF(E328="","",LOWER(SUBSTITUTE(SUBSTITUTE(SUBSTITUTE(SUBSTITUTE(SUBSTITUTE(SUBSTITUTE(SUBSTITUTE(TRIM(E328),":",""),",",""),"'",""),"&amp;","and"),"£",""),"  "," ")," ","-")))</f>
        <v/>
      </c>
      <c r="G328">
        <f>IF(B328="Cluster",$E$3,IF(B328="Supporting",INDEX($E$3:$E$553,MATCH(C328,$C$3:$C$553,0)),""))</f>
        <v/>
      </c>
      <c r="H328">
        <f>IF(B328="Supporting",IFERROR(INDEX($E$3:$E$553,1+Entity!$B$14+INDEX(Values!$O$3:$O$502,P328)),""),IF(B328="Cluster",IF(Entity!$B$14&lt;2,"",INDEX($E$3:$E$553,IF(A328-1=Entity!$B$14,2,A328+1))),""))</f>
        <v/>
      </c>
      <c r="I328">
        <f>IF(B328="Pillar",Entity!$B$14&amp;" cluster pages",IF(B328="Cluster",(COUNTIF($C$3:$C$553,SUBSTITUTE(SUBSTITUTE(C328,"?","~?"),"*","~*"))-1)&amp;" supporting pages",""))</f>
        <v/>
      </c>
      <c r="J328">
        <f>IF(B328="Pillar","Informational",IF(OR(B328="Cluster",B328="Supporting"),INDEX(Attributes!$D$3:$D$52,Q328)&amp;"",""))</f>
        <v/>
      </c>
      <c r="K328">
        <f>IF(B328="","",IF(B328="Pillar","Pillar guide (entity hub)",IF(B328="Cluster","Hub page for this attribute",IF(INDEX(Values!$C$3:$C$502,P328)="Yes","Entity page (profile of the sub-entity)",IFERROR(INDEX(Lists!$B$3:$B$6,MATCH(J328,Lists!$A$3:$A$6,0)),"Article")))))</f>
        <v/>
      </c>
      <c r="L328">
        <f>IF(B328="Pillar",Entity!$B$6&amp;"",IF(B328="Cluster",INDEX(Attributes!$I$3:$I$52,Q328)&amp;"",IF(B328="Supporting",INDEX(Values!$F$3:$F$502,P328)&amp;"","")))</f>
        <v/>
      </c>
      <c r="M328">
        <f>IF(B328="","",IF(L328&lt;&gt;"","Covered","Gap"))</f>
        <v/>
      </c>
      <c r="N328">
        <f>IF(B328="Pillar",SUMIFS(Values!$E$3:$E$502,Values!$I$3:$I$502,"Yes"),IF(B328="Cluster",SUMIFS(Values!$E$3:$E$502,Values!$A$3:$A$502,SUBSTITUTE(SUBSTITUTE(C328,"?","~?"),"*","~*"),Values!$I$3:$I$502,"Yes"),IF(B328="Supporting",N(INDEX(Values!$E$3:$E$502,P328)),"")))</f>
        <v/>
      </c>
      <c r="O328">
        <f>IF(B328="","",IF(B328="Pillar",100,IF(B328="Cluster",N(INDEX(Attributes!$E$3:$E$52,Q328))*25+IF(M328="Gap",10,0),N(INDEX(Attributes!$E$3:$E$52,Q328))*20+MIN(20,ROUND(LOG10(N(N328)+1)*5,0))+IF(M328="Gap",10,0)+IF(INDEX(Values!$D$3:$D$502,P328)="Yes",5,0))))</f>
        <v/>
      </c>
      <c r="P328">
        <f>IF(B328="Supporting",MATCH(A328-1-Entity!$B$14,Values!$J$3:$J$502,0),"")</f>
        <v/>
      </c>
      <c r="Q328">
        <f>IF(C328="","",MATCH(C328,Attributes!$A$3:$A$52,0))</f>
        <v/>
      </c>
      <c r="R328">
        <f>IF(B328="Pillar",SUBSTITUTE(Entity!$B$7,"{entity}",LOWER(Entity!$B$3)),IF(B328="Cluster",IF(INDEX(Attributes!$G$3:$G$52,Q328)&lt;&gt;"",INDEX(Attributes!$G$3:$G$52,Q328),SUBSTITUTE(SUBSTITUTE(Entity!$B$8,"{entity}",LOWER(Entity!$B$3)),"{attribute}",LOWER(C328))),IF(B328="Supporting",SUBSTITUTE(SUBSTITUTE(SUBSTITUTE(IF(INDEX(Attributes!$H$3:$H$52,Q328)&lt;&gt;"",INDEX(Attributes!$H$3:$H$52,Q328),Entity!$B$9),"{entity}",LOWER(Entity!$B$3)),"{value}",D328),"{attribute}",LOWER(C328)),"")))</f>
        <v/>
      </c>
    </row>
    <row r="329">
      <c r="A329">
        <f>ROW()-2</f>
        <v/>
      </c>
      <c r="B329">
        <f>IF(A329=1,"Pillar",IF(A329&lt;=1+Entity!$B$14,"Cluster",IF(A329&lt;=1+Entity!$B$14+Entity!$B$15,"Supporting","")))</f>
        <v/>
      </c>
      <c r="C329">
        <f>IF(B329="Cluster",INDEX(Attributes!$A$3:$A$52,MATCH(A329-1,Attributes!$P$3:$P$52,0)),IF(B329="Supporting",INDEX(Values!$A$3:$A$502,P329),""))</f>
        <v/>
      </c>
      <c r="D329">
        <f>IF(B329="Supporting",INDEX(Values!$B$3:$B$502,P329),"")</f>
        <v/>
      </c>
      <c r="E329">
        <f>IF(R329="","",UPPER(LEFT(R329,1))&amp;MID(R329,2,500))</f>
        <v/>
      </c>
      <c r="F329">
        <f>IF(E329="","",LOWER(SUBSTITUTE(SUBSTITUTE(SUBSTITUTE(SUBSTITUTE(SUBSTITUTE(SUBSTITUTE(SUBSTITUTE(TRIM(E329),":",""),",",""),"'",""),"&amp;","and"),"£",""),"  "," ")," ","-")))</f>
        <v/>
      </c>
      <c r="G329">
        <f>IF(B329="Cluster",$E$3,IF(B329="Supporting",INDEX($E$3:$E$553,MATCH(C329,$C$3:$C$553,0)),""))</f>
        <v/>
      </c>
      <c r="H329">
        <f>IF(B329="Supporting",IFERROR(INDEX($E$3:$E$553,1+Entity!$B$14+INDEX(Values!$O$3:$O$502,P329)),""),IF(B329="Cluster",IF(Entity!$B$14&lt;2,"",INDEX($E$3:$E$553,IF(A329-1=Entity!$B$14,2,A329+1))),""))</f>
        <v/>
      </c>
      <c r="I329">
        <f>IF(B329="Pillar",Entity!$B$14&amp;" cluster pages",IF(B329="Cluster",(COUNTIF($C$3:$C$553,SUBSTITUTE(SUBSTITUTE(C329,"?","~?"),"*","~*"))-1)&amp;" supporting pages",""))</f>
        <v/>
      </c>
      <c r="J329">
        <f>IF(B329="Pillar","Informational",IF(OR(B329="Cluster",B329="Supporting"),INDEX(Attributes!$D$3:$D$52,Q329)&amp;"",""))</f>
        <v/>
      </c>
      <c r="K329">
        <f>IF(B329="","",IF(B329="Pillar","Pillar guide (entity hub)",IF(B329="Cluster","Hub page for this attribute",IF(INDEX(Values!$C$3:$C$502,P329)="Yes","Entity page (profile of the sub-entity)",IFERROR(INDEX(Lists!$B$3:$B$6,MATCH(J329,Lists!$A$3:$A$6,0)),"Article")))))</f>
        <v/>
      </c>
      <c r="L329">
        <f>IF(B329="Pillar",Entity!$B$6&amp;"",IF(B329="Cluster",INDEX(Attributes!$I$3:$I$52,Q329)&amp;"",IF(B329="Supporting",INDEX(Values!$F$3:$F$502,P329)&amp;"","")))</f>
        <v/>
      </c>
      <c r="M329">
        <f>IF(B329="","",IF(L329&lt;&gt;"","Covered","Gap"))</f>
        <v/>
      </c>
      <c r="N329">
        <f>IF(B329="Pillar",SUMIFS(Values!$E$3:$E$502,Values!$I$3:$I$502,"Yes"),IF(B329="Cluster",SUMIFS(Values!$E$3:$E$502,Values!$A$3:$A$502,SUBSTITUTE(SUBSTITUTE(C329,"?","~?"),"*","~*"),Values!$I$3:$I$502,"Yes"),IF(B329="Supporting",N(INDEX(Values!$E$3:$E$502,P329)),"")))</f>
        <v/>
      </c>
      <c r="O329">
        <f>IF(B329="","",IF(B329="Pillar",100,IF(B329="Cluster",N(INDEX(Attributes!$E$3:$E$52,Q329))*25+IF(M329="Gap",10,0),N(INDEX(Attributes!$E$3:$E$52,Q329))*20+MIN(20,ROUND(LOG10(N(N329)+1)*5,0))+IF(M329="Gap",10,0)+IF(INDEX(Values!$D$3:$D$502,P329)="Yes",5,0))))</f>
        <v/>
      </c>
      <c r="P329">
        <f>IF(B329="Supporting",MATCH(A329-1-Entity!$B$14,Values!$J$3:$J$502,0),"")</f>
        <v/>
      </c>
      <c r="Q329">
        <f>IF(C329="","",MATCH(C329,Attributes!$A$3:$A$52,0))</f>
        <v/>
      </c>
      <c r="R329">
        <f>IF(B329="Pillar",SUBSTITUTE(Entity!$B$7,"{entity}",LOWER(Entity!$B$3)),IF(B329="Cluster",IF(INDEX(Attributes!$G$3:$G$52,Q329)&lt;&gt;"",INDEX(Attributes!$G$3:$G$52,Q329),SUBSTITUTE(SUBSTITUTE(Entity!$B$8,"{entity}",LOWER(Entity!$B$3)),"{attribute}",LOWER(C329))),IF(B329="Supporting",SUBSTITUTE(SUBSTITUTE(SUBSTITUTE(IF(INDEX(Attributes!$H$3:$H$52,Q329)&lt;&gt;"",INDEX(Attributes!$H$3:$H$52,Q329),Entity!$B$9),"{entity}",LOWER(Entity!$B$3)),"{value}",D329),"{attribute}",LOWER(C329)),"")))</f>
        <v/>
      </c>
    </row>
    <row r="330">
      <c r="A330">
        <f>ROW()-2</f>
        <v/>
      </c>
      <c r="B330">
        <f>IF(A330=1,"Pillar",IF(A330&lt;=1+Entity!$B$14,"Cluster",IF(A330&lt;=1+Entity!$B$14+Entity!$B$15,"Supporting","")))</f>
        <v/>
      </c>
      <c r="C330">
        <f>IF(B330="Cluster",INDEX(Attributes!$A$3:$A$52,MATCH(A330-1,Attributes!$P$3:$P$52,0)),IF(B330="Supporting",INDEX(Values!$A$3:$A$502,P330),""))</f>
        <v/>
      </c>
      <c r="D330">
        <f>IF(B330="Supporting",INDEX(Values!$B$3:$B$502,P330),"")</f>
        <v/>
      </c>
      <c r="E330">
        <f>IF(R330="","",UPPER(LEFT(R330,1))&amp;MID(R330,2,500))</f>
        <v/>
      </c>
      <c r="F330">
        <f>IF(E330="","",LOWER(SUBSTITUTE(SUBSTITUTE(SUBSTITUTE(SUBSTITUTE(SUBSTITUTE(SUBSTITUTE(SUBSTITUTE(TRIM(E330),":",""),",",""),"'",""),"&amp;","and"),"£",""),"  "," ")," ","-")))</f>
        <v/>
      </c>
      <c r="G330">
        <f>IF(B330="Cluster",$E$3,IF(B330="Supporting",INDEX($E$3:$E$553,MATCH(C330,$C$3:$C$553,0)),""))</f>
        <v/>
      </c>
      <c r="H330">
        <f>IF(B330="Supporting",IFERROR(INDEX($E$3:$E$553,1+Entity!$B$14+INDEX(Values!$O$3:$O$502,P330)),""),IF(B330="Cluster",IF(Entity!$B$14&lt;2,"",INDEX($E$3:$E$553,IF(A330-1=Entity!$B$14,2,A330+1))),""))</f>
        <v/>
      </c>
      <c r="I330">
        <f>IF(B330="Pillar",Entity!$B$14&amp;" cluster pages",IF(B330="Cluster",(COUNTIF($C$3:$C$553,SUBSTITUTE(SUBSTITUTE(C330,"?","~?"),"*","~*"))-1)&amp;" supporting pages",""))</f>
        <v/>
      </c>
      <c r="J330">
        <f>IF(B330="Pillar","Informational",IF(OR(B330="Cluster",B330="Supporting"),INDEX(Attributes!$D$3:$D$52,Q330)&amp;"",""))</f>
        <v/>
      </c>
      <c r="K330">
        <f>IF(B330="","",IF(B330="Pillar","Pillar guide (entity hub)",IF(B330="Cluster","Hub page for this attribute",IF(INDEX(Values!$C$3:$C$502,P330)="Yes","Entity page (profile of the sub-entity)",IFERROR(INDEX(Lists!$B$3:$B$6,MATCH(J330,Lists!$A$3:$A$6,0)),"Article")))))</f>
        <v/>
      </c>
      <c r="L330">
        <f>IF(B330="Pillar",Entity!$B$6&amp;"",IF(B330="Cluster",INDEX(Attributes!$I$3:$I$52,Q330)&amp;"",IF(B330="Supporting",INDEX(Values!$F$3:$F$502,P330)&amp;"","")))</f>
        <v/>
      </c>
      <c r="M330">
        <f>IF(B330="","",IF(L330&lt;&gt;"","Covered","Gap"))</f>
        <v/>
      </c>
      <c r="N330">
        <f>IF(B330="Pillar",SUMIFS(Values!$E$3:$E$502,Values!$I$3:$I$502,"Yes"),IF(B330="Cluster",SUMIFS(Values!$E$3:$E$502,Values!$A$3:$A$502,SUBSTITUTE(SUBSTITUTE(C330,"?","~?"),"*","~*"),Values!$I$3:$I$502,"Yes"),IF(B330="Supporting",N(INDEX(Values!$E$3:$E$502,P330)),"")))</f>
        <v/>
      </c>
      <c r="O330">
        <f>IF(B330="","",IF(B330="Pillar",100,IF(B330="Cluster",N(INDEX(Attributes!$E$3:$E$52,Q330))*25+IF(M330="Gap",10,0),N(INDEX(Attributes!$E$3:$E$52,Q330))*20+MIN(20,ROUND(LOG10(N(N330)+1)*5,0))+IF(M330="Gap",10,0)+IF(INDEX(Values!$D$3:$D$502,P330)="Yes",5,0))))</f>
        <v/>
      </c>
      <c r="P330">
        <f>IF(B330="Supporting",MATCH(A330-1-Entity!$B$14,Values!$J$3:$J$502,0),"")</f>
        <v/>
      </c>
      <c r="Q330">
        <f>IF(C330="","",MATCH(C330,Attributes!$A$3:$A$52,0))</f>
        <v/>
      </c>
      <c r="R330">
        <f>IF(B330="Pillar",SUBSTITUTE(Entity!$B$7,"{entity}",LOWER(Entity!$B$3)),IF(B330="Cluster",IF(INDEX(Attributes!$G$3:$G$52,Q330)&lt;&gt;"",INDEX(Attributes!$G$3:$G$52,Q330),SUBSTITUTE(SUBSTITUTE(Entity!$B$8,"{entity}",LOWER(Entity!$B$3)),"{attribute}",LOWER(C330))),IF(B330="Supporting",SUBSTITUTE(SUBSTITUTE(SUBSTITUTE(IF(INDEX(Attributes!$H$3:$H$52,Q330)&lt;&gt;"",INDEX(Attributes!$H$3:$H$52,Q330),Entity!$B$9),"{entity}",LOWER(Entity!$B$3)),"{value}",D330),"{attribute}",LOWER(C330)),"")))</f>
        <v/>
      </c>
    </row>
    <row r="331">
      <c r="A331">
        <f>ROW()-2</f>
        <v/>
      </c>
      <c r="B331">
        <f>IF(A331=1,"Pillar",IF(A331&lt;=1+Entity!$B$14,"Cluster",IF(A331&lt;=1+Entity!$B$14+Entity!$B$15,"Supporting","")))</f>
        <v/>
      </c>
      <c r="C331">
        <f>IF(B331="Cluster",INDEX(Attributes!$A$3:$A$52,MATCH(A331-1,Attributes!$P$3:$P$52,0)),IF(B331="Supporting",INDEX(Values!$A$3:$A$502,P331),""))</f>
        <v/>
      </c>
      <c r="D331">
        <f>IF(B331="Supporting",INDEX(Values!$B$3:$B$502,P331),"")</f>
        <v/>
      </c>
      <c r="E331">
        <f>IF(R331="","",UPPER(LEFT(R331,1))&amp;MID(R331,2,500))</f>
        <v/>
      </c>
      <c r="F331">
        <f>IF(E331="","",LOWER(SUBSTITUTE(SUBSTITUTE(SUBSTITUTE(SUBSTITUTE(SUBSTITUTE(SUBSTITUTE(SUBSTITUTE(TRIM(E331),":",""),",",""),"'",""),"&amp;","and"),"£",""),"  "," ")," ","-")))</f>
        <v/>
      </c>
      <c r="G331">
        <f>IF(B331="Cluster",$E$3,IF(B331="Supporting",INDEX($E$3:$E$553,MATCH(C331,$C$3:$C$553,0)),""))</f>
        <v/>
      </c>
      <c r="H331">
        <f>IF(B331="Supporting",IFERROR(INDEX($E$3:$E$553,1+Entity!$B$14+INDEX(Values!$O$3:$O$502,P331)),""),IF(B331="Cluster",IF(Entity!$B$14&lt;2,"",INDEX($E$3:$E$553,IF(A331-1=Entity!$B$14,2,A331+1))),""))</f>
        <v/>
      </c>
      <c r="I331">
        <f>IF(B331="Pillar",Entity!$B$14&amp;" cluster pages",IF(B331="Cluster",(COUNTIF($C$3:$C$553,SUBSTITUTE(SUBSTITUTE(C331,"?","~?"),"*","~*"))-1)&amp;" supporting pages",""))</f>
        <v/>
      </c>
      <c r="J331">
        <f>IF(B331="Pillar","Informational",IF(OR(B331="Cluster",B331="Supporting"),INDEX(Attributes!$D$3:$D$52,Q331)&amp;"",""))</f>
        <v/>
      </c>
      <c r="K331">
        <f>IF(B331="","",IF(B331="Pillar","Pillar guide (entity hub)",IF(B331="Cluster","Hub page for this attribute",IF(INDEX(Values!$C$3:$C$502,P331)="Yes","Entity page (profile of the sub-entity)",IFERROR(INDEX(Lists!$B$3:$B$6,MATCH(J331,Lists!$A$3:$A$6,0)),"Article")))))</f>
        <v/>
      </c>
      <c r="L331">
        <f>IF(B331="Pillar",Entity!$B$6&amp;"",IF(B331="Cluster",INDEX(Attributes!$I$3:$I$52,Q331)&amp;"",IF(B331="Supporting",INDEX(Values!$F$3:$F$502,P331)&amp;"","")))</f>
        <v/>
      </c>
      <c r="M331">
        <f>IF(B331="","",IF(L331&lt;&gt;"","Covered","Gap"))</f>
        <v/>
      </c>
      <c r="N331">
        <f>IF(B331="Pillar",SUMIFS(Values!$E$3:$E$502,Values!$I$3:$I$502,"Yes"),IF(B331="Cluster",SUMIFS(Values!$E$3:$E$502,Values!$A$3:$A$502,SUBSTITUTE(SUBSTITUTE(C331,"?","~?"),"*","~*"),Values!$I$3:$I$502,"Yes"),IF(B331="Supporting",N(INDEX(Values!$E$3:$E$502,P331)),"")))</f>
        <v/>
      </c>
      <c r="O331">
        <f>IF(B331="","",IF(B331="Pillar",100,IF(B331="Cluster",N(INDEX(Attributes!$E$3:$E$52,Q331))*25+IF(M331="Gap",10,0),N(INDEX(Attributes!$E$3:$E$52,Q331))*20+MIN(20,ROUND(LOG10(N(N331)+1)*5,0))+IF(M331="Gap",10,0)+IF(INDEX(Values!$D$3:$D$502,P331)="Yes",5,0))))</f>
        <v/>
      </c>
      <c r="P331">
        <f>IF(B331="Supporting",MATCH(A331-1-Entity!$B$14,Values!$J$3:$J$502,0),"")</f>
        <v/>
      </c>
      <c r="Q331">
        <f>IF(C331="","",MATCH(C331,Attributes!$A$3:$A$52,0))</f>
        <v/>
      </c>
      <c r="R331">
        <f>IF(B331="Pillar",SUBSTITUTE(Entity!$B$7,"{entity}",LOWER(Entity!$B$3)),IF(B331="Cluster",IF(INDEX(Attributes!$G$3:$G$52,Q331)&lt;&gt;"",INDEX(Attributes!$G$3:$G$52,Q331),SUBSTITUTE(SUBSTITUTE(Entity!$B$8,"{entity}",LOWER(Entity!$B$3)),"{attribute}",LOWER(C331))),IF(B331="Supporting",SUBSTITUTE(SUBSTITUTE(SUBSTITUTE(IF(INDEX(Attributes!$H$3:$H$52,Q331)&lt;&gt;"",INDEX(Attributes!$H$3:$H$52,Q331),Entity!$B$9),"{entity}",LOWER(Entity!$B$3)),"{value}",D331),"{attribute}",LOWER(C331)),"")))</f>
        <v/>
      </c>
    </row>
    <row r="332">
      <c r="A332">
        <f>ROW()-2</f>
        <v/>
      </c>
      <c r="B332">
        <f>IF(A332=1,"Pillar",IF(A332&lt;=1+Entity!$B$14,"Cluster",IF(A332&lt;=1+Entity!$B$14+Entity!$B$15,"Supporting","")))</f>
        <v/>
      </c>
      <c r="C332">
        <f>IF(B332="Cluster",INDEX(Attributes!$A$3:$A$52,MATCH(A332-1,Attributes!$P$3:$P$52,0)),IF(B332="Supporting",INDEX(Values!$A$3:$A$502,P332),""))</f>
        <v/>
      </c>
      <c r="D332">
        <f>IF(B332="Supporting",INDEX(Values!$B$3:$B$502,P332),"")</f>
        <v/>
      </c>
      <c r="E332">
        <f>IF(R332="","",UPPER(LEFT(R332,1))&amp;MID(R332,2,500))</f>
        <v/>
      </c>
      <c r="F332">
        <f>IF(E332="","",LOWER(SUBSTITUTE(SUBSTITUTE(SUBSTITUTE(SUBSTITUTE(SUBSTITUTE(SUBSTITUTE(SUBSTITUTE(TRIM(E332),":",""),",",""),"'",""),"&amp;","and"),"£",""),"  "," ")," ","-")))</f>
        <v/>
      </c>
      <c r="G332">
        <f>IF(B332="Cluster",$E$3,IF(B332="Supporting",INDEX($E$3:$E$553,MATCH(C332,$C$3:$C$553,0)),""))</f>
        <v/>
      </c>
      <c r="H332">
        <f>IF(B332="Supporting",IFERROR(INDEX($E$3:$E$553,1+Entity!$B$14+INDEX(Values!$O$3:$O$502,P332)),""),IF(B332="Cluster",IF(Entity!$B$14&lt;2,"",INDEX($E$3:$E$553,IF(A332-1=Entity!$B$14,2,A332+1))),""))</f>
        <v/>
      </c>
      <c r="I332">
        <f>IF(B332="Pillar",Entity!$B$14&amp;" cluster pages",IF(B332="Cluster",(COUNTIF($C$3:$C$553,SUBSTITUTE(SUBSTITUTE(C332,"?","~?"),"*","~*"))-1)&amp;" supporting pages",""))</f>
        <v/>
      </c>
      <c r="J332">
        <f>IF(B332="Pillar","Informational",IF(OR(B332="Cluster",B332="Supporting"),INDEX(Attributes!$D$3:$D$52,Q332)&amp;"",""))</f>
        <v/>
      </c>
      <c r="K332">
        <f>IF(B332="","",IF(B332="Pillar","Pillar guide (entity hub)",IF(B332="Cluster","Hub page for this attribute",IF(INDEX(Values!$C$3:$C$502,P332)="Yes","Entity page (profile of the sub-entity)",IFERROR(INDEX(Lists!$B$3:$B$6,MATCH(J332,Lists!$A$3:$A$6,0)),"Article")))))</f>
        <v/>
      </c>
      <c r="L332">
        <f>IF(B332="Pillar",Entity!$B$6&amp;"",IF(B332="Cluster",INDEX(Attributes!$I$3:$I$52,Q332)&amp;"",IF(B332="Supporting",INDEX(Values!$F$3:$F$502,P332)&amp;"","")))</f>
        <v/>
      </c>
      <c r="M332">
        <f>IF(B332="","",IF(L332&lt;&gt;"","Covered","Gap"))</f>
        <v/>
      </c>
      <c r="N332">
        <f>IF(B332="Pillar",SUMIFS(Values!$E$3:$E$502,Values!$I$3:$I$502,"Yes"),IF(B332="Cluster",SUMIFS(Values!$E$3:$E$502,Values!$A$3:$A$502,SUBSTITUTE(SUBSTITUTE(C332,"?","~?"),"*","~*"),Values!$I$3:$I$502,"Yes"),IF(B332="Supporting",N(INDEX(Values!$E$3:$E$502,P332)),"")))</f>
        <v/>
      </c>
      <c r="O332">
        <f>IF(B332="","",IF(B332="Pillar",100,IF(B332="Cluster",N(INDEX(Attributes!$E$3:$E$52,Q332))*25+IF(M332="Gap",10,0),N(INDEX(Attributes!$E$3:$E$52,Q332))*20+MIN(20,ROUND(LOG10(N(N332)+1)*5,0))+IF(M332="Gap",10,0)+IF(INDEX(Values!$D$3:$D$502,P332)="Yes",5,0))))</f>
        <v/>
      </c>
      <c r="P332">
        <f>IF(B332="Supporting",MATCH(A332-1-Entity!$B$14,Values!$J$3:$J$502,0),"")</f>
        <v/>
      </c>
      <c r="Q332">
        <f>IF(C332="","",MATCH(C332,Attributes!$A$3:$A$52,0))</f>
        <v/>
      </c>
      <c r="R332">
        <f>IF(B332="Pillar",SUBSTITUTE(Entity!$B$7,"{entity}",LOWER(Entity!$B$3)),IF(B332="Cluster",IF(INDEX(Attributes!$G$3:$G$52,Q332)&lt;&gt;"",INDEX(Attributes!$G$3:$G$52,Q332),SUBSTITUTE(SUBSTITUTE(Entity!$B$8,"{entity}",LOWER(Entity!$B$3)),"{attribute}",LOWER(C332))),IF(B332="Supporting",SUBSTITUTE(SUBSTITUTE(SUBSTITUTE(IF(INDEX(Attributes!$H$3:$H$52,Q332)&lt;&gt;"",INDEX(Attributes!$H$3:$H$52,Q332),Entity!$B$9),"{entity}",LOWER(Entity!$B$3)),"{value}",D332),"{attribute}",LOWER(C332)),"")))</f>
        <v/>
      </c>
    </row>
    <row r="333">
      <c r="A333">
        <f>ROW()-2</f>
        <v/>
      </c>
      <c r="B333">
        <f>IF(A333=1,"Pillar",IF(A333&lt;=1+Entity!$B$14,"Cluster",IF(A333&lt;=1+Entity!$B$14+Entity!$B$15,"Supporting","")))</f>
        <v/>
      </c>
      <c r="C333">
        <f>IF(B333="Cluster",INDEX(Attributes!$A$3:$A$52,MATCH(A333-1,Attributes!$P$3:$P$52,0)),IF(B333="Supporting",INDEX(Values!$A$3:$A$502,P333),""))</f>
        <v/>
      </c>
      <c r="D333">
        <f>IF(B333="Supporting",INDEX(Values!$B$3:$B$502,P333),"")</f>
        <v/>
      </c>
      <c r="E333">
        <f>IF(R333="","",UPPER(LEFT(R333,1))&amp;MID(R333,2,500))</f>
        <v/>
      </c>
      <c r="F333">
        <f>IF(E333="","",LOWER(SUBSTITUTE(SUBSTITUTE(SUBSTITUTE(SUBSTITUTE(SUBSTITUTE(SUBSTITUTE(SUBSTITUTE(TRIM(E333),":",""),",",""),"'",""),"&amp;","and"),"£",""),"  "," ")," ","-")))</f>
        <v/>
      </c>
      <c r="G333">
        <f>IF(B333="Cluster",$E$3,IF(B333="Supporting",INDEX($E$3:$E$553,MATCH(C333,$C$3:$C$553,0)),""))</f>
        <v/>
      </c>
      <c r="H333">
        <f>IF(B333="Supporting",IFERROR(INDEX($E$3:$E$553,1+Entity!$B$14+INDEX(Values!$O$3:$O$502,P333)),""),IF(B333="Cluster",IF(Entity!$B$14&lt;2,"",INDEX($E$3:$E$553,IF(A333-1=Entity!$B$14,2,A333+1))),""))</f>
        <v/>
      </c>
      <c r="I333">
        <f>IF(B333="Pillar",Entity!$B$14&amp;" cluster pages",IF(B333="Cluster",(COUNTIF($C$3:$C$553,SUBSTITUTE(SUBSTITUTE(C333,"?","~?"),"*","~*"))-1)&amp;" supporting pages",""))</f>
        <v/>
      </c>
      <c r="J333">
        <f>IF(B333="Pillar","Informational",IF(OR(B333="Cluster",B333="Supporting"),INDEX(Attributes!$D$3:$D$52,Q333)&amp;"",""))</f>
        <v/>
      </c>
      <c r="K333">
        <f>IF(B333="","",IF(B333="Pillar","Pillar guide (entity hub)",IF(B333="Cluster","Hub page for this attribute",IF(INDEX(Values!$C$3:$C$502,P333)="Yes","Entity page (profile of the sub-entity)",IFERROR(INDEX(Lists!$B$3:$B$6,MATCH(J333,Lists!$A$3:$A$6,0)),"Article")))))</f>
        <v/>
      </c>
      <c r="L333">
        <f>IF(B333="Pillar",Entity!$B$6&amp;"",IF(B333="Cluster",INDEX(Attributes!$I$3:$I$52,Q333)&amp;"",IF(B333="Supporting",INDEX(Values!$F$3:$F$502,P333)&amp;"","")))</f>
        <v/>
      </c>
      <c r="M333">
        <f>IF(B333="","",IF(L333&lt;&gt;"","Covered","Gap"))</f>
        <v/>
      </c>
      <c r="N333">
        <f>IF(B333="Pillar",SUMIFS(Values!$E$3:$E$502,Values!$I$3:$I$502,"Yes"),IF(B333="Cluster",SUMIFS(Values!$E$3:$E$502,Values!$A$3:$A$502,SUBSTITUTE(SUBSTITUTE(C333,"?","~?"),"*","~*"),Values!$I$3:$I$502,"Yes"),IF(B333="Supporting",N(INDEX(Values!$E$3:$E$502,P333)),"")))</f>
        <v/>
      </c>
      <c r="O333">
        <f>IF(B333="","",IF(B333="Pillar",100,IF(B333="Cluster",N(INDEX(Attributes!$E$3:$E$52,Q333))*25+IF(M333="Gap",10,0),N(INDEX(Attributes!$E$3:$E$52,Q333))*20+MIN(20,ROUND(LOG10(N(N333)+1)*5,0))+IF(M333="Gap",10,0)+IF(INDEX(Values!$D$3:$D$502,P333)="Yes",5,0))))</f>
        <v/>
      </c>
      <c r="P333">
        <f>IF(B333="Supporting",MATCH(A333-1-Entity!$B$14,Values!$J$3:$J$502,0),"")</f>
        <v/>
      </c>
      <c r="Q333">
        <f>IF(C333="","",MATCH(C333,Attributes!$A$3:$A$52,0))</f>
        <v/>
      </c>
      <c r="R333">
        <f>IF(B333="Pillar",SUBSTITUTE(Entity!$B$7,"{entity}",LOWER(Entity!$B$3)),IF(B333="Cluster",IF(INDEX(Attributes!$G$3:$G$52,Q333)&lt;&gt;"",INDEX(Attributes!$G$3:$G$52,Q333),SUBSTITUTE(SUBSTITUTE(Entity!$B$8,"{entity}",LOWER(Entity!$B$3)),"{attribute}",LOWER(C333))),IF(B333="Supporting",SUBSTITUTE(SUBSTITUTE(SUBSTITUTE(IF(INDEX(Attributes!$H$3:$H$52,Q333)&lt;&gt;"",INDEX(Attributes!$H$3:$H$52,Q333),Entity!$B$9),"{entity}",LOWER(Entity!$B$3)),"{value}",D333),"{attribute}",LOWER(C333)),"")))</f>
        <v/>
      </c>
    </row>
    <row r="334">
      <c r="A334">
        <f>ROW()-2</f>
        <v/>
      </c>
      <c r="B334">
        <f>IF(A334=1,"Pillar",IF(A334&lt;=1+Entity!$B$14,"Cluster",IF(A334&lt;=1+Entity!$B$14+Entity!$B$15,"Supporting","")))</f>
        <v/>
      </c>
      <c r="C334">
        <f>IF(B334="Cluster",INDEX(Attributes!$A$3:$A$52,MATCH(A334-1,Attributes!$P$3:$P$52,0)),IF(B334="Supporting",INDEX(Values!$A$3:$A$502,P334),""))</f>
        <v/>
      </c>
      <c r="D334">
        <f>IF(B334="Supporting",INDEX(Values!$B$3:$B$502,P334),"")</f>
        <v/>
      </c>
      <c r="E334">
        <f>IF(R334="","",UPPER(LEFT(R334,1))&amp;MID(R334,2,500))</f>
        <v/>
      </c>
      <c r="F334">
        <f>IF(E334="","",LOWER(SUBSTITUTE(SUBSTITUTE(SUBSTITUTE(SUBSTITUTE(SUBSTITUTE(SUBSTITUTE(SUBSTITUTE(TRIM(E334),":",""),",",""),"'",""),"&amp;","and"),"£",""),"  "," ")," ","-")))</f>
        <v/>
      </c>
      <c r="G334">
        <f>IF(B334="Cluster",$E$3,IF(B334="Supporting",INDEX($E$3:$E$553,MATCH(C334,$C$3:$C$553,0)),""))</f>
        <v/>
      </c>
      <c r="H334">
        <f>IF(B334="Supporting",IFERROR(INDEX($E$3:$E$553,1+Entity!$B$14+INDEX(Values!$O$3:$O$502,P334)),""),IF(B334="Cluster",IF(Entity!$B$14&lt;2,"",INDEX($E$3:$E$553,IF(A334-1=Entity!$B$14,2,A334+1))),""))</f>
        <v/>
      </c>
      <c r="I334">
        <f>IF(B334="Pillar",Entity!$B$14&amp;" cluster pages",IF(B334="Cluster",(COUNTIF($C$3:$C$553,SUBSTITUTE(SUBSTITUTE(C334,"?","~?"),"*","~*"))-1)&amp;" supporting pages",""))</f>
        <v/>
      </c>
      <c r="J334">
        <f>IF(B334="Pillar","Informational",IF(OR(B334="Cluster",B334="Supporting"),INDEX(Attributes!$D$3:$D$52,Q334)&amp;"",""))</f>
        <v/>
      </c>
      <c r="K334">
        <f>IF(B334="","",IF(B334="Pillar","Pillar guide (entity hub)",IF(B334="Cluster","Hub page for this attribute",IF(INDEX(Values!$C$3:$C$502,P334)="Yes","Entity page (profile of the sub-entity)",IFERROR(INDEX(Lists!$B$3:$B$6,MATCH(J334,Lists!$A$3:$A$6,0)),"Article")))))</f>
        <v/>
      </c>
      <c r="L334">
        <f>IF(B334="Pillar",Entity!$B$6&amp;"",IF(B334="Cluster",INDEX(Attributes!$I$3:$I$52,Q334)&amp;"",IF(B334="Supporting",INDEX(Values!$F$3:$F$502,P334)&amp;"","")))</f>
        <v/>
      </c>
      <c r="M334">
        <f>IF(B334="","",IF(L334&lt;&gt;"","Covered","Gap"))</f>
        <v/>
      </c>
      <c r="N334">
        <f>IF(B334="Pillar",SUMIFS(Values!$E$3:$E$502,Values!$I$3:$I$502,"Yes"),IF(B334="Cluster",SUMIFS(Values!$E$3:$E$502,Values!$A$3:$A$502,SUBSTITUTE(SUBSTITUTE(C334,"?","~?"),"*","~*"),Values!$I$3:$I$502,"Yes"),IF(B334="Supporting",N(INDEX(Values!$E$3:$E$502,P334)),"")))</f>
        <v/>
      </c>
      <c r="O334">
        <f>IF(B334="","",IF(B334="Pillar",100,IF(B334="Cluster",N(INDEX(Attributes!$E$3:$E$52,Q334))*25+IF(M334="Gap",10,0),N(INDEX(Attributes!$E$3:$E$52,Q334))*20+MIN(20,ROUND(LOG10(N(N334)+1)*5,0))+IF(M334="Gap",10,0)+IF(INDEX(Values!$D$3:$D$502,P334)="Yes",5,0))))</f>
        <v/>
      </c>
      <c r="P334">
        <f>IF(B334="Supporting",MATCH(A334-1-Entity!$B$14,Values!$J$3:$J$502,0),"")</f>
        <v/>
      </c>
      <c r="Q334">
        <f>IF(C334="","",MATCH(C334,Attributes!$A$3:$A$52,0))</f>
        <v/>
      </c>
      <c r="R334">
        <f>IF(B334="Pillar",SUBSTITUTE(Entity!$B$7,"{entity}",LOWER(Entity!$B$3)),IF(B334="Cluster",IF(INDEX(Attributes!$G$3:$G$52,Q334)&lt;&gt;"",INDEX(Attributes!$G$3:$G$52,Q334),SUBSTITUTE(SUBSTITUTE(Entity!$B$8,"{entity}",LOWER(Entity!$B$3)),"{attribute}",LOWER(C334))),IF(B334="Supporting",SUBSTITUTE(SUBSTITUTE(SUBSTITUTE(IF(INDEX(Attributes!$H$3:$H$52,Q334)&lt;&gt;"",INDEX(Attributes!$H$3:$H$52,Q334),Entity!$B$9),"{entity}",LOWER(Entity!$B$3)),"{value}",D334),"{attribute}",LOWER(C334)),"")))</f>
        <v/>
      </c>
    </row>
    <row r="335">
      <c r="A335">
        <f>ROW()-2</f>
        <v/>
      </c>
      <c r="B335">
        <f>IF(A335=1,"Pillar",IF(A335&lt;=1+Entity!$B$14,"Cluster",IF(A335&lt;=1+Entity!$B$14+Entity!$B$15,"Supporting","")))</f>
        <v/>
      </c>
      <c r="C335">
        <f>IF(B335="Cluster",INDEX(Attributes!$A$3:$A$52,MATCH(A335-1,Attributes!$P$3:$P$52,0)),IF(B335="Supporting",INDEX(Values!$A$3:$A$502,P335),""))</f>
        <v/>
      </c>
      <c r="D335">
        <f>IF(B335="Supporting",INDEX(Values!$B$3:$B$502,P335),"")</f>
        <v/>
      </c>
      <c r="E335">
        <f>IF(R335="","",UPPER(LEFT(R335,1))&amp;MID(R335,2,500))</f>
        <v/>
      </c>
      <c r="F335">
        <f>IF(E335="","",LOWER(SUBSTITUTE(SUBSTITUTE(SUBSTITUTE(SUBSTITUTE(SUBSTITUTE(SUBSTITUTE(SUBSTITUTE(TRIM(E335),":",""),",",""),"'",""),"&amp;","and"),"£",""),"  "," ")," ","-")))</f>
        <v/>
      </c>
      <c r="G335">
        <f>IF(B335="Cluster",$E$3,IF(B335="Supporting",INDEX($E$3:$E$553,MATCH(C335,$C$3:$C$553,0)),""))</f>
        <v/>
      </c>
      <c r="H335">
        <f>IF(B335="Supporting",IFERROR(INDEX($E$3:$E$553,1+Entity!$B$14+INDEX(Values!$O$3:$O$502,P335)),""),IF(B335="Cluster",IF(Entity!$B$14&lt;2,"",INDEX($E$3:$E$553,IF(A335-1=Entity!$B$14,2,A335+1))),""))</f>
        <v/>
      </c>
      <c r="I335">
        <f>IF(B335="Pillar",Entity!$B$14&amp;" cluster pages",IF(B335="Cluster",(COUNTIF($C$3:$C$553,SUBSTITUTE(SUBSTITUTE(C335,"?","~?"),"*","~*"))-1)&amp;" supporting pages",""))</f>
        <v/>
      </c>
      <c r="J335">
        <f>IF(B335="Pillar","Informational",IF(OR(B335="Cluster",B335="Supporting"),INDEX(Attributes!$D$3:$D$52,Q335)&amp;"",""))</f>
        <v/>
      </c>
      <c r="K335">
        <f>IF(B335="","",IF(B335="Pillar","Pillar guide (entity hub)",IF(B335="Cluster","Hub page for this attribute",IF(INDEX(Values!$C$3:$C$502,P335)="Yes","Entity page (profile of the sub-entity)",IFERROR(INDEX(Lists!$B$3:$B$6,MATCH(J335,Lists!$A$3:$A$6,0)),"Article")))))</f>
        <v/>
      </c>
      <c r="L335">
        <f>IF(B335="Pillar",Entity!$B$6&amp;"",IF(B335="Cluster",INDEX(Attributes!$I$3:$I$52,Q335)&amp;"",IF(B335="Supporting",INDEX(Values!$F$3:$F$502,P335)&amp;"","")))</f>
        <v/>
      </c>
      <c r="M335">
        <f>IF(B335="","",IF(L335&lt;&gt;"","Covered","Gap"))</f>
        <v/>
      </c>
      <c r="N335">
        <f>IF(B335="Pillar",SUMIFS(Values!$E$3:$E$502,Values!$I$3:$I$502,"Yes"),IF(B335="Cluster",SUMIFS(Values!$E$3:$E$502,Values!$A$3:$A$502,SUBSTITUTE(SUBSTITUTE(C335,"?","~?"),"*","~*"),Values!$I$3:$I$502,"Yes"),IF(B335="Supporting",N(INDEX(Values!$E$3:$E$502,P335)),"")))</f>
        <v/>
      </c>
      <c r="O335">
        <f>IF(B335="","",IF(B335="Pillar",100,IF(B335="Cluster",N(INDEX(Attributes!$E$3:$E$52,Q335))*25+IF(M335="Gap",10,0),N(INDEX(Attributes!$E$3:$E$52,Q335))*20+MIN(20,ROUND(LOG10(N(N335)+1)*5,0))+IF(M335="Gap",10,0)+IF(INDEX(Values!$D$3:$D$502,P335)="Yes",5,0))))</f>
        <v/>
      </c>
      <c r="P335">
        <f>IF(B335="Supporting",MATCH(A335-1-Entity!$B$14,Values!$J$3:$J$502,0),"")</f>
        <v/>
      </c>
      <c r="Q335">
        <f>IF(C335="","",MATCH(C335,Attributes!$A$3:$A$52,0))</f>
        <v/>
      </c>
      <c r="R335">
        <f>IF(B335="Pillar",SUBSTITUTE(Entity!$B$7,"{entity}",LOWER(Entity!$B$3)),IF(B335="Cluster",IF(INDEX(Attributes!$G$3:$G$52,Q335)&lt;&gt;"",INDEX(Attributes!$G$3:$G$52,Q335),SUBSTITUTE(SUBSTITUTE(Entity!$B$8,"{entity}",LOWER(Entity!$B$3)),"{attribute}",LOWER(C335))),IF(B335="Supporting",SUBSTITUTE(SUBSTITUTE(SUBSTITUTE(IF(INDEX(Attributes!$H$3:$H$52,Q335)&lt;&gt;"",INDEX(Attributes!$H$3:$H$52,Q335),Entity!$B$9),"{entity}",LOWER(Entity!$B$3)),"{value}",D335),"{attribute}",LOWER(C335)),"")))</f>
        <v/>
      </c>
    </row>
    <row r="336">
      <c r="A336">
        <f>ROW()-2</f>
        <v/>
      </c>
      <c r="B336">
        <f>IF(A336=1,"Pillar",IF(A336&lt;=1+Entity!$B$14,"Cluster",IF(A336&lt;=1+Entity!$B$14+Entity!$B$15,"Supporting","")))</f>
        <v/>
      </c>
      <c r="C336">
        <f>IF(B336="Cluster",INDEX(Attributes!$A$3:$A$52,MATCH(A336-1,Attributes!$P$3:$P$52,0)),IF(B336="Supporting",INDEX(Values!$A$3:$A$502,P336),""))</f>
        <v/>
      </c>
      <c r="D336">
        <f>IF(B336="Supporting",INDEX(Values!$B$3:$B$502,P336),"")</f>
        <v/>
      </c>
      <c r="E336">
        <f>IF(R336="","",UPPER(LEFT(R336,1))&amp;MID(R336,2,500))</f>
        <v/>
      </c>
      <c r="F336">
        <f>IF(E336="","",LOWER(SUBSTITUTE(SUBSTITUTE(SUBSTITUTE(SUBSTITUTE(SUBSTITUTE(SUBSTITUTE(SUBSTITUTE(TRIM(E336),":",""),",",""),"'",""),"&amp;","and"),"£",""),"  "," ")," ","-")))</f>
        <v/>
      </c>
      <c r="G336">
        <f>IF(B336="Cluster",$E$3,IF(B336="Supporting",INDEX($E$3:$E$553,MATCH(C336,$C$3:$C$553,0)),""))</f>
        <v/>
      </c>
      <c r="H336">
        <f>IF(B336="Supporting",IFERROR(INDEX($E$3:$E$553,1+Entity!$B$14+INDEX(Values!$O$3:$O$502,P336)),""),IF(B336="Cluster",IF(Entity!$B$14&lt;2,"",INDEX($E$3:$E$553,IF(A336-1=Entity!$B$14,2,A336+1))),""))</f>
        <v/>
      </c>
      <c r="I336">
        <f>IF(B336="Pillar",Entity!$B$14&amp;" cluster pages",IF(B336="Cluster",(COUNTIF($C$3:$C$553,SUBSTITUTE(SUBSTITUTE(C336,"?","~?"),"*","~*"))-1)&amp;" supporting pages",""))</f>
        <v/>
      </c>
      <c r="J336">
        <f>IF(B336="Pillar","Informational",IF(OR(B336="Cluster",B336="Supporting"),INDEX(Attributes!$D$3:$D$52,Q336)&amp;"",""))</f>
        <v/>
      </c>
      <c r="K336">
        <f>IF(B336="","",IF(B336="Pillar","Pillar guide (entity hub)",IF(B336="Cluster","Hub page for this attribute",IF(INDEX(Values!$C$3:$C$502,P336)="Yes","Entity page (profile of the sub-entity)",IFERROR(INDEX(Lists!$B$3:$B$6,MATCH(J336,Lists!$A$3:$A$6,0)),"Article")))))</f>
        <v/>
      </c>
      <c r="L336">
        <f>IF(B336="Pillar",Entity!$B$6&amp;"",IF(B336="Cluster",INDEX(Attributes!$I$3:$I$52,Q336)&amp;"",IF(B336="Supporting",INDEX(Values!$F$3:$F$502,P336)&amp;"","")))</f>
        <v/>
      </c>
      <c r="M336">
        <f>IF(B336="","",IF(L336&lt;&gt;"","Covered","Gap"))</f>
        <v/>
      </c>
      <c r="N336">
        <f>IF(B336="Pillar",SUMIFS(Values!$E$3:$E$502,Values!$I$3:$I$502,"Yes"),IF(B336="Cluster",SUMIFS(Values!$E$3:$E$502,Values!$A$3:$A$502,SUBSTITUTE(SUBSTITUTE(C336,"?","~?"),"*","~*"),Values!$I$3:$I$502,"Yes"),IF(B336="Supporting",N(INDEX(Values!$E$3:$E$502,P336)),"")))</f>
        <v/>
      </c>
      <c r="O336">
        <f>IF(B336="","",IF(B336="Pillar",100,IF(B336="Cluster",N(INDEX(Attributes!$E$3:$E$52,Q336))*25+IF(M336="Gap",10,0),N(INDEX(Attributes!$E$3:$E$52,Q336))*20+MIN(20,ROUND(LOG10(N(N336)+1)*5,0))+IF(M336="Gap",10,0)+IF(INDEX(Values!$D$3:$D$502,P336)="Yes",5,0))))</f>
        <v/>
      </c>
      <c r="P336">
        <f>IF(B336="Supporting",MATCH(A336-1-Entity!$B$14,Values!$J$3:$J$502,0),"")</f>
        <v/>
      </c>
      <c r="Q336">
        <f>IF(C336="","",MATCH(C336,Attributes!$A$3:$A$52,0))</f>
        <v/>
      </c>
      <c r="R336">
        <f>IF(B336="Pillar",SUBSTITUTE(Entity!$B$7,"{entity}",LOWER(Entity!$B$3)),IF(B336="Cluster",IF(INDEX(Attributes!$G$3:$G$52,Q336)&lt;&gt;"",INDEX(Attributes!$G$3:$G$52,Q336),SUBSTITUTE(SUBSTITUTE(Entity!$B$8,"{entity}",LOWER(Entity!$B$3)),"{attribute}",LOWER(C336))),IF(B336="Supporting",SUBSTITUTE(SUBSTITUTE(SUBSTITUTE(IF(INDEX(Attributes!$H$3:$H$52,Q336)&lt;&gt;"",INDEX(Attributes!$H$3:$H$52,Q336),Entity!$B$9),"{entity}",LOWER(Entity!$B$3)),"{value}",D336),"{attribute}",LOWER(C336)),"")))</f>
        <v/>
      </c>
    </row>
    <row r="337">
      <c r="A337">
        <f>ROW()-2</f>
        <v/>
      </c>
      <c r="B337">
        <f>IF(A337=1,"Pillar",IF(A337&lt;=1+Entity!$B$14,"Cluster",IF(A337&lt;=1+Entity!$B$14+Entity!$B$15,"Supporting","")))</f>
        <v/>
      </c>
      <c r="C337">
        <f>IF(B337="Cluster",INDEX(Attributes!$A$3:$A$52,MATCH(A337-1,Attributes!$P$3:$P$52,0)),IF(B337="Supporting",INDEX(Values!$A$3:$A$502,P337),""))</f>
        <v/>
      </c>
      <c r="D337">
        <f>IF(B337="Supporting",INDEX(Values!$B$3:$B$502,P337),"")</f>
        <v/>
      </c>
      <c r="E337">
        <f>IF(R337="","",UPPER(LEFT(R337,1))&amp;MID(R337,2,500))</f>
        <v/>
      </c>
      <c r="F337">
        <f>IF(E337="","",LOWER(SUBSTITUTE(SUBSTITUTE(SUBSTITUTE(SUBSTITUTE(SUBSTITUTE(SUBSTITUTE(SUBSTITUTE(TRIM(E337),":",""),",",""),"'",""),"&amp;","and"),"£",""),"  "," ")," ","-")))</f>
        <v/>
      </c>
      <c r="G337">
        <f>IF(B337="Cluster",$E$3,IF(B337="Supporting",INDEX($E$3:$E$553,MATCH(C337,$C$3:$C$553,0)),""))</f>
        <v/>
      </c>
      <c r="H337">
        <f>IF(B337="Supporting",IFERROR(INDEX($E$3:$E$553,1+Entity!$B$14+INDEX(Values!$O$3:$O$502,P337)),""),IF(B337="Cluster",IF(Entity!$B$14&lt;2,"",INDEX($E$3:$E$553,IF(A337-1=Entity!$B$14,2,A337+1))),""))</f>
        <v/>
      </c>
      <c r="I337">
        <f>IF(B337="Pillar",Entity!$B$14&amp;" cluster pages",IF(B337="Cluster",(COUNTIF($C$3:$C$553,SUBSTITUTE(SUBSTITUTE(C337,"?","~?"),"*","~*"))-1)&amp;" supporting pages",""))</f>
        <v/>
      </c>
      <c r="J337">
        <f>IF(B337="Pillar","Informational",IF(OR(B337="Cluster",B337="Supporting"),INDEX(Attributes!$D$3:$D$52,Q337)&amp;"",""))</f>
        <v/>
      </c>
      <c r="K337">
        <f>IF(B337="","",IF(B337="Pillar","Pillar guide (entity hub)",IF(B337="Cluster","Hub page for this attribute",IF(INDEX(Values!$C$3:$C$502,P337)="Yes","Entity page (profile of the sub-entity)",IFERROR(INDEX(Lists!$B$3:$B$6,MATCH(J337,Lists!$A$3:$A$6,0)),"Article")))))</f>
        <v/>
      </c>
      <c r="L337">
        <f>IF(B337="Pillar",Entity!$B$6&amp;"",IF(B337="Cluster",INDEX(Attributes!$I$3:$I$52,Q337)&amp;"",IF(B337="Supporting",INDEX(Values!$F$3:$F$502,P337)&amp;"","")))</f>
        <v/>
      </c>
      <c r="M337">
        <f>IF(B337="","",IF(L337&lt;&gt;"","Covered","Gap"))</f>
        <v/>
      </c>
      <c r="N337">
        <f>IF(B337="Pillar",SUMIFS(Values!$E$3:$E$502,Values!$I$3:$I$502,"Yes"),IF(B337="Cluster",SUMIFS(Values!$E$3:$E$502,Values!$A$3:$A$502,SUBSTITUTE(SUBSTITUTE(C337,"?","~?"),"*","~*"),Values!$I$3:$I$502,"Yes"),IF(B337="Supporting",N(INDEX(Values!$E$3:$E$502,P337)),"")))</f>
        <v/>
      </c>
      <c r="O337">
        <f>IF(B337="","",IF(B337="Pillar",100,IF(B337="Cluster",N(INDEX(Attributes!$E$3:$E$52,Q337))*25+IF(M337="Gap",10,0),N(INDEX(Attributes!$E$3:$E$52,Q337))*20+MIN(20,ROUND(LOG10(N(N337)+1)*5,0))+IF(M337="Gap",10,0)+IF(INDEX(Values!$D$3:$D$502,P337)="Yes",5,0))))</f>
        <v/>
      </c>
      <c r="P337">
        <f>IF(B337="Supporting",MATCH(A337-1-Entity!$B$14,Values!$J$3:$J$502,0),"")</f>
        <v/>
      </c>
      <c r="Q337">
        <f>IF(C337="","",MATCH(C337,Attributes!$A$3:$A$52,0))</f>
        <v/>
      </c>
      <c r="R337">
        <f>IF(B337="Pillar",SUBSTITUTE(Entity!$B$7,"{entity}",LOWER(Entity!$B$3)),IF(B337="Cluster",IF(INDEX(Attributes!$G$3:$G$52,Q337)&lt;&gt;"",INDEX(Attributes!$G$3:$G$52,Q337),SUBSTITUTE(SUBSTITUTE(Entity!$B$8,"{entity}",LOWER(Entity!$B$3)),"{attribute}",LOWER(C337))),IF(B337="Supporting",SUBSTITUTE(SUBSTITUTE(SUBSTITUTE(IF(INDEX(Attributes!$H$3:$H$52,Q337)&lt;&gt;"",INDEX(Attributes!$H$3:$H$52,Q337),Entity!$B$9),"{entity}",LOWER(Entity!$B$3)),"{value}",D337),"{attribute}",LOWER(C337)),"")))</f>
        <v/>
      </c>
    </row>
    <row r="338">
      <c r="A338">
        <f>ROW()-2</f>
        <v/>
      </c>
      <c r="B338">
        <f>IF(A338=1,"Pillar",IF(A338&lt;=1+Entity!$B$14,"Cluster",IF(A338&lt;=1+Entity!$B$14+Entity!$B$15,"Supporting","")))</f>
        <v/>
      </c>
      <c r="C338">
        <f>IF(B338="Cluster",INDEX(Attributes!$A$3:$A$52,MATCH(A338-1,Attributes!$P$3:$P$52,0)),IF(B338="Supporting",INDEX(Values!$A$3:$A$502,P338),""))</f>
        <v/>
      </c>
      <c r="D338">
        <f>IF(B338="Supporting",INDEX(Values!$B$3:$B$502,P338),"")</f>
        <v/>
      </c>
      <c r="E338">
        <f>IF(R338="","",UPPER(LEFT(R338,1))&amp;MID(R338,2,500))</f>
        <v/>
      </c>
      <c r="F338">
        <f>IF(E338="","",LOWER(SUBSTITUTE(SUBSTITUTE(SUBSTITUTE(SUBSTITUTE(SUBSTITUTE(SUBSTITUTE(SUBSTITUTE(TRIM(E338),":",""),",",""),"'",""),"&amp;","and"),"£",""),"  "," ")," ","-")))</f>
        <v/>
      </c>
      <c r="G338">
        <f>IF(B338="Cluster",$E$3,IF(B338="Supporting",INDEX($E$3:$E$553,MATCH(C338,$C$3:$C$553,0)),""))</f>
        <v/>
      </c>
      <c r="H338">
        <f>IF(B338="Supporting",IFERROR(INDEX($E$3:$E$553,1+Entity!$B$14+INDEX(Values!$O$3:$O$502,P338)),""),IF(B338="Cluster",IF(Entity!$B$14&lt;2,"",INDEX($E$3:$E$553,IF(A338-1=Entity!$B$14,2,A338+1))),""))</f>
        <v/>
      </c>
      <c r="I338">
        <f>IF(B338="Pillar",Entity!$B$14&amp;" cluster pages",IF(B338="Cluster",(COUNTIF($C$3:$C$553,SUBSTITUTE(SUBSTITUTE(C338,"?","~?"),"*","~*"))-1)&amp;" supporting pages",""))</f>
        <v/>
      </c>
      <c r="J338">
        <f>IF(B338="Pillar","Informational",IF(OR(B338="Cluster",B338="Supporting"),INDEX(Attributes!$D$3:$D$52,Q338)&amp;"",""))</f>
        <v/>
      </c>
      <c r="K338">
        <f>IF(B338="","",IF(B338="Pillar","Pillar guide (entity hub)",IF(B338="Cluster","Hub page for this attribute",IF(INDEX(Values!$C$3:$C$502,P338)="Yes","Entity page (profile of the sub-entity)",IFERROR(INDEX(Lists!$B$3:$B$6,MATCH(J338,Lists!$A$3:$A$6,0)),"Article")))))</f>
        <v/>
      </c>
      <c r="L338">
        <f>IF(B338="Pillar",Entity!$B$6&amp;"",IF(B338="Cluster",INDEX(Attributes!$I$3:$I$52,Q338)&amp;"",IF(B338="Supporting",INDEX(Values!$F$3:$F$502,P338)&amp;"","")))</f>
        <v/>
      </c>
      <c r="M338">
        <f>IF(B338="","",IF(L338&lt;&gt;"","Covered","Gap"))</f>
        <v/>
      </c>
      <c r="N338">
        <f>IF(B338="Pillar",SUMIFS(Values!$E$3:$E$502,Values!$I$3:$I$502,"Yes"),IF(B338="Cluster",SUMIFS(Values!$E$3:$E$502,Values!$A$3:$A$502,SUBSTITUTE(SUBSTITUTE(C338,"?","~?"),"*","~*"),Values!$I$3:$I$502,"Yes"),IF(B338="Supporting",N(INDEX(Values!$E$3:$E$502,P338)),"")))</f>
        <v/>
      </c>
      <c r="O338">
        <f>IF(B338="","",IF(B338="Pillar",100,IF(B338="Cluster",N(INDEX(Attributes!$E$3:$E$52,Q338))*25+IF(M338="Gap",10,0),N(INDEX(Attributes!$E$3:$E$52,Q338))*20+MIN(20,ROUND(LOG10(N(N338)+1)*5,0))+IF(M338="Gap",10,0)+IF(INDEX(Values!$D$3:$D$502,P338)="Yes",5,0))))</f>
        <v/>
      </c>
      <c r="P338">
        <f>IF(B338="Supporting",MATCH(A338-1-Entity!$B$14,Values!$J$3:$J$502,0),"")</f>
        <v/>
      </c>
      <c r="Q338">
        <f>IF(C338="","",MATCH(C338,Attributes!$A$3:$A$52,0))</f>
        <v/>
      </c>
      <c r="R338">
        <f>IF(B338="Pillar",SUBSTITUTE(Entity!$B$7,"{entity}",LOWER(Entity!$B$3)),IF(B338="Cluster",IF(INDEX(Attributes!$G$3:$G$52,Q338)&lt;&gt;"",INDEX(Attributes!$G$3:$G$52,Q338),SUBSTITUTE(SUBSTITUTE(Entity!$B$8,"{entity}",LOWER(Entity!$B$3)),"{attribute}",LOWER(C338))),IF(B338="Supporting",SUBSTITUTE(SUBSTITUTE(SUBSTITUTE(IF(INDEX(Attributes!$H$3:$H$52,Q338)&lt;&gt;"",INDEX(Attributes!$H$3:$H$52,Q338),Entity!$B$9),"{entity}",LOWER(Entity!$B$3)),"{value}",D338),"{attribute}",LOWER(C338)),"")))</f>
        <v/>
      </c>
    </row>
    <row r="339">
      <c r="A339">
        <f>ROW()-2</f>
        <v/>
      </c>
      <c r="B339">
        <f>IF(A339=1,"Pillar",IF(A339&lt;=1+Entity!$B$14,"Cluster",IF(A339&lt;=1+Entity!$B$14+Entity!$B$15,"Supporting","")))</f>
        <v/>
      </c>
      <c r="C339">
        <f>IF(B339="Cluster",INDEX(Attributes!$A$3:$A$52,MATCH(A339-1,Attributes!$P$3:$P$52,0)),IF(B339="Supporting",INDEX(Values!$A$3:$A$502,P339),""))</f>
        <v/>
      </c>
      <c r="D339">
        <f>IF(B339="Supporting",INDEX(Values!$B$3:$B$502,P339),"")</f>
        <v/>
      </c>
      <c r="E339">
        <f>IF(R339="","",UPPER(LEFT(R339,1))&amp;MID(R339,2,500))</f>
        <v/>
      </c>
      <c r="F339">
        <f>IF(E339="","",LOWER(SUBSTITUTE(SUBSTITUTE(SUBSTITUTE(SUBSTITUTE(SUBSTITUTE(SUBSTITUTE(SUBSTITUTE(TRIM(E339),":",""),",",""),"'",""),"&amp;","and"),"£",""),"  "," ")," ","-")))</f>
        <v/>
      </c>
      <c r="G339">
        <f>IF(B339="Cluster",$E$3,IF(B339="Supporting",INDEX($E$3:$E$553,MATCH(C339,$C$3:$C$553,0)),""))</f>
        <v/>
      </c>
      <c r="H339">
        <f>IF(B339="Supporting",IFERROR(INDEX($E$3:$E$553,1+Entity!$B$14+INDEX(Values!$O$3:$O$502,P339)),""),IF(B339="Cluster",IF(Entity!$B$14&lt;2,"",INDEX($E$3:$E$553,IF(A339-1=Entity!$B$14,2,A339+1))),""))</f>
        <v/>
      </c>
      <c r="I339">
        <f>IF(B339="Pillar",Entity!$B$14&amp;" cluster pages",IF(B339="Cluster",(COUNTIF($C$3:$C$553,SUBSTITUTE(SUBSTITUTE(C339,"?","~?"),"*","~*"))-1)&amp;" supporting pages",""))</f>
        <v/>
      </c>
      <c r="J339">
        <f>IF(B339="Pillar","Informational",IF(OR(B339="Cluster",B339="Supporting"),INDEX(Attributes!$D$3:$D$52,Q339)&amp;"",""))</f>
        <v/>
      </c>
      <c r="K339">
        <f>IF(B339="","",IF(B339="Pillar","Pillar guide (entity hub)",IF(B339="Cluster","Hub page for this attribute",IF(INDEX(Values!$C$3:$C$502,P339)="Yes","Entity page (profile of the sub-entity)",IFERROR(INDEX(Lists!$B$3:$B$6,MATCH(J339,Lists!$A$3:$A$6,0)),"Article")))))</f>
        <v/>
      </c>
      <c r="L339">
        <f>IF(B339="Pillar",Entity!$B$6&amp;"",IF(B339="Cluster",INDEX(Attributes!$I$3:$I$52,Q339)&amp;"",IF(B339="Supporting",INDEX(Values!$F$3:$F$502,P339)&amp;"","")))</f>
        <v/>
      </c>
      <c r="M339">
        <f>IF(B339="","",IF(L339&lt;&gt;"","Covered","Gap"))</f>
        <v/>
      </c>
      <c r="N339">
        <f>IF(B339="Pillar",SUMIFS(Values!$E$3:$E$502,Values!$I$3:$I$502,"Yes"),IF(B339="Cluster",SUMIFS(Values!$E$3:$E$502,Values!$A$3:$A$502,SUBSTITUTE(SUBSTITUTE(C339,"?","~?"),"*","~*"),Values!$I$3:$I$502,"Yes"),IF(B339="Supporting",N(INDEX(Values!$E$3:$E$502,P339)),"")))</f>
        <v/>
      </c>
      <c r="O339">
        <f>IF(B339="","",IF(B339="Pillar",100,IF(B339="Cluster",N(INDEX(Attributes!$E$3:$E$52,Q339))*25+IF(M339="Gap",10,0),N(INDEX(Attributes!$E$3:$E$52,Q339))*20+MIN(20,ROUND(LOG10(N(N339)+1)*5,0))+IF(M339="Gap",10,0)+IF(INDEX(Values!$D$3:$D$502,P339)="Yes",5,0))))</f>
        <v/>
      </c>
      <c r="P339">
        <f>IF(B339="Supporting",MATCH(A339-1-Entity!$B$14,Values!$J$3:$J$502,0),"")</f>
        <v/>
      </c>
      <c r="Q339">
        <f>IF(C339="","",MATCH(C339,Attributes!$A$3:$A$52,0))</f>
        <v/>
      </c>
      <c r="R339">
        <f>IF(B339="Pillar",SUBSTITUTE(Entity!$B$7,"{entity}",LOWER(Entity!$B$3)),IF(B339="Cluster",IF(INDEX(Attributes!$G$3:$G$52,Q339)&lt;&gt;"",INDEX(Attributes!$G$3:$G$52,Q339),SUBSTITUTE(SUBSTITUTE(Entity!$B$8,"{entity}",LOWER(Entity!$B$3)),"{attribute}",LOWER(C339))),IF(B339="Supporting",SUBSTITUTE(SUBSTITUTE(SUBSTITUTE(IF(INDEX(Attributes!$H$3:$H$52,Q339)&lt;&gt;"",INDEX(Attributes!$H$3:$H$52,Q339),Entity!$B$9),"{entity}",LOWER(Entity!$B$3)),"{value}",D339),"{attribute}",LOWER(C339)),"")))</f>
        <v/>
      </c>
    </row>
    <row r="340">
      <c r="A340">
        <f>ROW()-2</f>
        <v/>
      </c>
      <c r="B340">
        <f>IF(A340=1,"Pillar",IF(A340&lt;=1+Entity!$B$14,"Cluster",IF(A340&lt;=1+Entity!$B$14+Entity!$B$15,"Supporting","")))</f>
        <v/>
      </c>
      <c r="C340">
        <f>IF(B340="Cluster",INDEX(Attributes!$A$3:$A$52,MATCH(A340-1,Attributes!$P$3:$P$52,0)),IF(B340="Supporting",INDEX(Values!$A$3:$A$502,P340),""))</f>
        <v/>
      </c>
      <c r="D340">
        <f>IF(B340="Supporting",INDEX(Values!$B$3:$B$502,P340),"")</f>
        <v/>
      </c>
      <c r="E340">
        <f>IF(R340="","",UPPER(LEFT(R340,1))&amp;MID(R340,2,500))</f>
        <v/>
      </c>
      <c r="F340">
        <f>IF(E340="","",LOWER(SUBSTITUTE(SUBSTITUTE(SUBSTITUTE(SUBSTITUTE(SUBSTITUTE(SUBSTITUTE(SUBSTITUTE(TRIM(E340),":",""),",",""),"'",""),"&amp;","and"),"£",""),"  "," ")," ","-")))</f>
        <v/>
      </c>
      <c r="G340">
        <f>IF(B340="Cluster",$E$3,IF(B340="Supporting",INDEX($E$3:$E$553,MATCH(C340,$C$3:$C$553,0)),""))</f>
        <v/>
      </c>
      <c r="H340">
        <f>IF(B340="Supporting",IFERROR(INDEX($E$3:$E$553,1+Entity!$B$14+INDEX(Values!$O$3:$O$502,P340)),""),IF(B340="Cluster",IF(Entity!$B$14&lt;2,"",INDEX($E$3:$E$553,IF(A340-1=Entity!$B$14,2,A340+1))),""))</f>
        <v/>
      </c>
      <c r="I340">
        <f>IF(B340="Pillar",Entity!$B$14&amp;" cluster pages",IF(B340="Cluster",(COUNTIF($C$3:$C$553,SUBSTITUTE(SUBSTITUTE(C340,"?","~?"),"*","~*"))-1)&amp;" supporting pages",""))</f>
        <v/>
      </c>
      <c r="J340">
        <f>IF(B340="Pillar","Informational",IF(OR(B340="Cluster",B340="Supporting"),INDEX(Attributes!$D$3:$D$52,Q340)&amp;"",""))</f>
        <v/>
      </c>
      <c r="K340">
        <f>IF(B340="","",IF(B340="Pillar","Pillar guide (entity hub)",IF(B340="Cluster","Hub page for this attribute",IF(INDEX(Values!$C$3:$C$502,P340)="Yes","Entity page (profile of the sub-entity)",IFERROR(INDEX(Lists!$B$3:$B$6,MATCH(J340,Lists!$A$3:$A$6,0)),"Article")))))</f>
        <v/>
      </c>
      <c r="L340">
        <f>IF(B340="Pillar",Entity!$B$6&amp;"",IF(B340="Cluster",INDEX(Attributes!$I$3:$I$52,Q340)&amp;"",IF(B340="Supporting",INDEX(Values!$F$3:$F$502,P340)&amp;"","")))</f>
        <v/>
      </c>
      <c r="M340">
        <f>IF(B340="","",IF(L340&lt;&gt;"","Covered","Gap"))</f>
        <v/>
      </c>
      <c r="N340">
        <f>IF(B340="Pillar",SUMIFS(Values!$E$3:$E$502,Values!$I$3:$I$502,"Yes"),IF(B340="Cluster",SUMIFS(Values!$E$3:$E$502,Values!$A$3:$A$502,SUBSTITUTE(SUBSTITUTE(C340,"?","~?"),"*","~*"),Values!$I$3:$I$502,"Yes"),IF(B340="Supporting",N(INDEX(Values!$E$3:$E$502,P340)),"")))</f>
        <v/>
      </c>
      <c r="O340">
        <f>IF(B340="","",IF(B340="Pillar",100,IF(B340="Cluster",N(INDEX(Attributes!$E$3:$E$52,Q340))*25+IF(M340="Gap",10,0),N(INDEX(Attributes!$E$3:$E$52,Q340))*20+MIN(20,ROUND(LOG10(N(N340)+1)*5,0))+IF(M340="Gap",10,0)+IF(INDEX(Values!$D$3:$D$502,P340)="Yes",5,0))))</f>
        <v/>
      </c>
      <c r="P340">
        <f>IF(B340="Supporting",MATCH(A340-1-Entity!$B$14,Values!$J$3:$J$502,0),"")</f>
        <v/>
      </c>
      <c r="Q340">
        <f>IF(C340="","",MATCH(C340,Attributes!$A$3:$A$52,0))</f>
        <v/>
      </c>
      <c r="R340">
        <f>IF(B340="Pillar",SUBSTITUTE(Entity!$B$7,"{entity}",LOWER(Entity!$B$3)),IF(B340="Cluster",IF(INDEX(Attributes!$G$3:$G$52,Q340)&lt;&gt;"",INDEX(Attributes!$G$3:$G$52,Q340),SUBSTITUTE(SUBSTITUTE(Entity!$B$8,"{entity}",LOWER(Entity!$B$3)),"{attribute}",LOWER(C340))),IF(B340="Supporting",SUBSTITUTE(SUBSTITUTE(SUBSTITUTE(IF(INDEX(Attributes!$H$3:$H$52,Q340)&lt;&gt;"",INDEX(Attributes!$H$3:$H$52,Q340),Entity!$B$9),"{entity}",LOWER(Entity!$B$3)),"{value}",D340),"{attribute}",LOWER(C340)),"")))</f>
        <v/>
      </c>
    </row>
    <row r="341">
      <c r="A341">
        <f>ROW()-2</f>
        <v/>
      </c>
      <c r="B341">
        <f>IF(A341=1,"Pillar",IF(A341&lt;=1+Entity!$B$14,"Cluster",IF(A341&lt;=1+Entity!$B$14+Entity!$B$15,"Supporting","")))</f>
        <v/>
      </c>
      <c r="C341">
        <f>IF(B341="Cluster",INDEX(Attributes!$A$3:$A$52,MATCH(A341-1,Attributes!$P$3:$P$52,0)),IF(B341="Supporting",INDEX(Values!$A$3:$A$502,P341),""))</f>
        <v/>
      </c>
      <c r="D341">
        <f>IF(B341="Supporting",INDEX(Values!$B$3:$B$502,P341),"")</f>
        <v/>
      </c>
      <c r="E341">
        <f>IF(R341="","",UPPER(LEFT(R341,1))&amp;MID(R341,2,500))</f>
        <v/>
      </c>
      <c r="F341">
        <f>IF(E341="","",LOWER(SUBSTITUTE(SUBSTITUTE(SUBSTITUTE(SUBSTITUTE(SUBSTITUTE(SUBSTITUTE(SUBSTITUTE(TRIM(E341),":",""),",",""),"'",""),"&amp;","and"),"£",""),"  "," ")," ","-")))</f>
        <v/>
      </c>
      <c r="G341">
        <f>IF(B341="Cluster",$E$3,IF(B341="Supporting",INDEX($E$3:$E$553,MATCH(C341,$C$3:$C$553,0)),""))</f>
        <v/>
      </c>
      <c r="H341">
        <f>IF(B341="Supporting",IFERROR(INDEX($E$3:$E$553,1+Entity!$B$14+INDEX(Values!$O$3:$O$502,P341)),""),IF(B341="Cluster",IF(Entity!$B$14&lt;2,"",INDEX($E$3:$E$553,IF(A341-1=Entity!$B$14,2,A341+1))),""))</f>
        <v/>
      </c>
      <c r="I341">
        <f>IF(B341="Pillar",Entity!$B$14&amp;" cluster pages",IF(B341="Cluster",(COUNTIF($C$3:$C$553,SUBSTITUTE(SUBSTITUTE(C341,"?","~?"),"*","~*"))-1)&amp;" supporting pages",""))</f>
        <v/>
      </c>
      <c r="J341">
        <f>IF(B341="Pillar","Informational",IF(OR(B341="Cluster",B341="Supporting"),INDEX(Attributes!$D$3:$D$52,Q341)&amp;"",""))</f>
        <v/>
      </c>
      <c r="K341">
        <f>IF(B341="","",IF(B341="Pillar","Pillar guide (entity hub)",IF(B341="Cluster","Hub page for this attribute",IF(INDEX(Values!$C$3:$C$502,P341)="Yes","Entity page (profile of the sub-entity)",IFERROR(INDEX(Lists!$B$3:$B$6,MATCH(J341,Lists!$A$3:$A$6,0)),"Article")))))</f>
        <v/>
      </c>
      <c r="L341">
        <f>IF(B341="Pillar",Entity!$B$6&amp;"",IF(B341="Cluster",INDEX(Attributes!$I$3:$I$52,Q341)&amp;"",IF(B341="Supporting",INDEX(Values!$F$3:$F$502,P341)&amp;"","")))</f>
        <v/>
      </c>
      <c r="M341">
        <f>IF(B341="","",IF(L341&lt;&gt;"","Covered","Gap"))</f>
        <v/>
      </c>
      <c r="N341">
        <f>IF(B341="Pillar",SUMIFS(Values!$E$3:$E$502,Values!$I$3:$I$502,"Yes"),IF(B341="Cluster",SUMIFS(Values!$E$3:$E$502,Values!$A$3:$A$502,SUBSTITUTE(SUBSTITUTE(C341,"?","~?"),"*","~*"),Values!$I$3:$I$502,"Yes"),IF(B341="Supporting",N(INDEX(Values!$E$3:$E$502,P341)),"")))</f>
        <v/>
      </c>
      <c r="O341">
        <f>IF(B341="","",IF(B341="Pillar",100,IF(B341="Cluster",N(INDEX(Attributes!$E$3:$E$52,Q341))*25+IF(M341="Gap",10,0),N(INDEX(Attributes!$E$3:$E$52,Q341))*20+MIN(20,ROUND(LOG10(N(N341)+1)*5,0))+IF(M341="Gap",10,0)+IF(INDEX(Values!$D$3:$D$502,P341)="Yes",5,0))))</f>
        <v/>
      </c>
      <c r="P341">
        <f>IF(B341="Supporting",MATCH(A341-1-Entity!$B$14,Values!$J$3:$J$502,0),"")</f>
        <v/>
      </c>
      <c r="Q341">
        <f>IF(C341="","",MATCH(C341,Attributes!$A$3:$A$52,0))</f>
        <v/>
      </c>
      <c r="R341">
        <f>IF(B341="Pillar",SUBSTITUTE(Entity!$B$7,"{entity}",LOWER(Entity!$B$3)),IF(B341="Cluster",IF(INDEX(Attributes!$G$3:$G$52,Q341)&lt;&gt;"",INDEX(Attributes!$G$3:$G$52,Q341),SUBSTITUTE(SUBSTITUTE(Entity!$B$8,"{entity}",LOWER(Entity!$B$3)),"{attribute}",LOWER(C341))),IF(B341="Supporting",SUBSTITUTE(SUBSTITUTE(SUBSTITUTE(IF(INDEX(Attributes!$H$3:$H$52,Q341)&lt;&gt;"",INDEX(Attributes!$H$3:$H$52,Q341),Entity!$B$9),"{entity}",LOWER(Entity!$B$3)),"{value}",D341),"{attribute}",LOWER(C341)),"")))</f>
        <v/>
      </c>
    </row>
    <row r="342">
      <c r="A342">
        <f>ROW()-2</f>
        <v/>
      </c>
      <c r="B342">
        <f>IF(A342=1,"Pillar",IF(A342&lt;=1+Entity!$B$14,"Cluster",IF(A342&lt;=1+Entity!$B$14+Entity!$B$15,"Supporting","")))</f>
        <v/>
      </c>
      <c r="C342">
        <f>IF(B342="Cluster",INDEX(Attributes!$A$3:$A$52,MATCH(A342-1,Attributes!$P$3:$P$52,0)),IF(B342="Supporting",INDEX(Values!$A$3:$A$502,P342),""))</f>
        <v/>
      </c>
      <c r="D342">
        <f>IF(B342="Supporting",INDEX(Values!$B$3:$B$502,P342),"")</f>
        <v/>
      </c>
      <c r="E342">
        <f>IF(R342="","",UPPER(LEFT(R342,1))&amp;MID(R342,2,500))</f>
        <v/>
      </c>
      <c r="F342">
        <f>IF(E342="","",LOWER(SUBSTITUTE(SUBSTITUTE(SUBSTITUTE(SUBSTITUTE(SUBSTITUTE(SUBSTITUTE(SUBSTITUTE(TRIM(E342),":",""),",",""),"'",""),"&amp;","and"),"£",""),"  "," ")," ","-")))</f>
        <v/>
      </c>
      <c r="G342">
        <f>IF(B342="Cluster",$E$3,IF(B342="Supporting",INDEX($E$3:$E$553,MATCH(C342,$C$3:$C$553,0)),""))</f>
        <v/>
      </c>
      <c r="H342">
        <f>IF(B342="Supporting",IFERROR(INDEX($E$3:$E$553,1+Entity!$B$14+INDEX(Values!$O$3:$O$502,P342)),""),IF(B342="Cluster",IF(Entity!$B$14&lt;2,"",INDEX($E$3:$E$553,IF(A342-1=Entity!$B$14,2,A342+1))),""))</f>
        <v/>
      </c>
      <c r="I342">
        <f>IF(B342="Pillar",Entity!$B$14&amp;" cluster pages",IF(B342="Cluster",(COUNTIF($C$3:$C$553,SUBSTITUTE(SUBSTITUTE(C342,"?","~?"),"*","~*"))-1)&amp;" supporting pages",""))</f>
        <v/>
      </c>
      <c r="J342">
        <f>IF(B342="Pillar","Informational",IF(OR(B342="Cluster",B342="Supporting"),INDEX(Attributes!$D$3:$D$52,Q342)&amp;"",""))</f>
        <v/>
      </c>
      <c r="K342">
        <f>IF(B342="","",IF(B342="Pillar","Pillar guide (entity hub)",IF(B342="Cluster","Hub page for this attribute",IF(INDEX(Values!$C$3:$C$502,P342)="Yes","Entity page (profile of the sub-entity)",IFERROR(INDEX(Lists!$B$3:$B$6,MATCH(J342,Lists!$A$3:$A$6,0)),"Article")))))</f>
        <v/>
      </c>
      <c r="L342">
        <f>IF(B342="Pillar",Entity!$B$6&amp;"",IF(B342="Cluster",INDEX(Attributes!$I$3:$I$52,Q342)&amp;"",IF(B342="Supporting",INDEX(Values!$F$3:$F$502,P342)&amp;"","")))</f>
        <v/>
      </c>
      <c r="M342">
        <f>IF(B342="","",IF(L342&lt;&gt;"","Covered","Gap"))</f>
        <v/>
      </c>
      <c r="N342">
        <f>IF(B342="Pillar",SUMIFS(Values!$E$3:$E$502,Values!$I$3:$I$502,"Yes"),IF(B342="Cluster",SUMIFS(Values!$E$3:$E$502,Values!$A$3:$A$502,SUBSTITUTE(SUBSTITUTE(C342,"?","~?"),"*","~*"),Values!$I$3:$I$502,"Yes"),IF(B342="Supporting",N(INDEX(Values!$E$3:$E$502,P342)),"")))</f>
        <v/>
      </c>
      <c r="O342">
        <f>IF(B342="","",IF(B342="Pillar",100,IF(B342="Cluster",N(INDEX(Attributes!$E$3:$E$52,Q342))*25+IF(M342="Gap",10,0),N(INDEX(Attributes!$E$3:$E$52,Q342))*20+MIN(20,ROUND(LOG10(N(N342)+1)*5,0))+IF(M342="Gap",10,0)+IF(INDEX(Values!$D$3:$D$502,P342)="Yes",5,0))))</f>
        <v/>
      </c>
      <c r="P342">
        <f>IF(B342="Supporting",MATCH(A342-1-Entity!$B$14,Values!$J$3:$J$502,0),"")</f>
        <v/>
      </c>
      <c r="Q342">
        <f>IF(C342="","",MATCH(C342,Attributes!$A$3:$A$52,0))</f>
        <v/>
      </c>
      <c r="R342">
        <f>IF(B342="Pillar",SUBSTITUTE(Entity!$B$7,"{entity}",LOWER(Entity!$B$3)),IF(B342="Cluster",IF(INDEX(Attributes!$G$3:$G$52,Q342)&lt;&gt;"",INDEX(Attributes!$G$3:$G$52,Q342),SUBSTITUTE(SUBSTITUTE(Entity!$B$8,"{entity}",LOWER(Entity!$B$3)),"{attribute}",LOWER(C342))),IF(B342="Supporting",SUBSTITUTE(SUBSTITUTE(SUBSTITUTE(IF(INDEX(Attributes!$H$3:$H$52,Q342)&lt;&gt;"",INDEX(Attributes!$H$3:$H$52,Q342),Entity!$B$9),"{entity}",LOWER(Entity!$B$3)),"{value}",D342),"{attribute}",LOWER(C342)),"")))</f>
        <v/>
      </c>
    </row>
    <row r="343">
      <c r="A343">
        <f>ROW()-2</f>
        <v/>
      </c>
      <c r="B343">
        <f>IF(A343=1,"Pillar",IF(A343&lt;=1+Entity!$B$14,"Cluster",IF(A343&lt;=1+Entity!$B$14+Entity!$B$15,"Supporting","")))</f>
        <v/>
      </c>
      <c r="C343">
        <f>IF(B343="Cluster",INDEX(Attributes!$A$3:$A$52,MATCH(A343-1,Attributes!$P$3:$P$52,0)),IF(B343="Supporting",INDEX(Values!$A$3:$A$502,P343),""))</f>
        <v/>
      </c>
      <c r="D343">
        <f>IF(B343="Supporting",INDEX(Values!$B$3:$B$502,P343),"")</f>
        <v/>
      </c>
      <c r="E343">
        <f>IF(R343="","",UPPER(LEFT(R343,1))&amp;MID(R343,2,500))</f>
        <v/>
      </c>
      <c r="F343">
        <f>IF(E343="","",LOWER(SUBSTITUTE(SUBSTITUTE(SUBSTITUTE(SUBSTITUTE(SUBSTITUTE(SUBSTITUTE(SUBSTITUTE(TRIM(E343),":",""),",",""),"'",""),"&amp;","and"),"£",""),"  "," ")," ","-")))</f>
        <v/>
      </c>
      <c r="G343">
        <f>IF(B343="Cluster",$E$3,IF(B343="Supporting",INDEX($E$3:$E$553,MATCH(C343,$C$3:$C$553,0)),""))</f>
        <v/>
      </c>
      <c r="H343">
        <f>IF(B343="Supporting",IFERROR(INDEX($E$3:$E$553,1+Entity!$B$14+INDEX(Values!$O$3:$O$502,P343)),""),IF(B343="Cluster",IF(Entity!$B$14&lt;2,"",INDEX($E$3:$E$553,IF(A343-1=Entity!$B$14,2,A343+1))),""))</f>
        <v/>
      </c>
      <c r="I343">
        <f>IF(B343="Pillar",Entity!$B$14&amp;" cluster pages",IF(B343="Cluster",(COUNTIF($C$3:$C$553,SUBSTITUTE(SUBSTITUTE(C343,"?","~?"),"*","~*"))-1)&amp;" supporting pages",""))</f>
        <v/>
      </c>
      <c r="J343">
        <f>IF(B343="Pillar","Informational",IF(OR(B343="Cluster",B343="Supporting"),INDEX(Attributes!$D$3:$D$52,Q343)&amp;"",""))</f>
        <v/>
      </c>
      <c r="K343">
        <f>IF(B343="","",IF(B343="Pillar","Pillar guide (entity hub)",IF(B343="Cluster","Hub page for this attribute",IF(INDEX(Values!$C$3:$C$502,P343)="Yes","Entity page (profile of the sub-entity)",IFERROR(INDEX(Lists!$B$3:$B$6,MATCH(J343,Lists!$A$3:$A$6,0)),"Article")))))</f>
        <v/>
      </c>
      <c r="L343">
        <f>IF(B343="Pillar",Entity!$B$6&amp;"",IF(B343="Cluster",INDEX(Attributes!$I$3:$I$52,Q343)&amp;"",IF(B343="Supporting",INDEX(Values!$F$3:$F$502,P343)&amp;"","")))</f>
        <v/>
      </c>
      <c r="M343">
        <f>IF(B343="","",IF(L343&lt;&gt;"","Covered","Gap"))</f>
        <v/>
      </c>
      <c r="N343">
        <f>IF(B343="Pillar",SUMIFS(Values!$E$3:$E$502,Values!$I$3:$I$502,"Yes"),IF(B343="Cluster",SUMIFS(Values!$E$3:$E$502,Values!$A$3:$A$502,SUBSTITUTE(SUBSTITUTE(C343,"?","~?"),"*","~*"),Values!$I$3:$I$502,"Yes"),IF(B343="Supporting",N(INDEX(Values!$E$3:$E$502,P343)),"")))</f>
        <v/>
      </c>
      <c r="O343">
        <f>IF(B343="","",IF(B343="Pillar",100,IF(B343="Cluster",N(INDEX(Attributes!$E$3:$E$52,Q343))*25+IF(M343="Gap",10,0),N(INDEX(Attributes!$E$3:$E$52,Q343))*20+MIN(20,ROUND(LOG10(N(N343)+1)*5,0))+IF(M343="Gap",10,0)+IF(INDEX(Values!$D$3:$D$502,P343)="Yes",5,0))))</f>
        <v/>
      </c>
      <c r="P343">
        <f>IF(B343="Supporting",MATCH(A343-1-Entity!$B$14,Values!$J$3:$J$502,0),"")</f>
        <v/>
      </c>
      <c r="Q343">
        <f>IF(C343="","",MATCH(C343,Attributes!$A$3:$A$52,0))</f>
        <v/>
      </c>
      <c r="R343">
        <f>IF(B343="Pillar",SUBSTITUTE(Entity!$B$7,"{entity}",LOWER(Entity!$B$3)),IF(B343="Cluster",IF(INDEX(Attributes!$G$3:$G$52,Q343)&lt;&gt;"",INDEX(Attributes!$G$3:$G$52,Q343),SUBSTITUTE(SUBSTITUTE(Entity!$B$8,"{entity}",LOWER(Entity!$B$3)),"{attribute}",LOWER(C343))),IF(B343="Supporting",SUBSTITUTE(SUBSTITUTE(SUBSTITUTE(IF(INDEX(Attributes!$H$3:$H$52,Q343)&lt;&gt;"",INDEX(Attributes!$H$3:$H$52,Q343),Entity!$B$9),"{entity}",LOWER(Entity!$B$3)),"{value}",D343),"{attribute}",LOWER(C343)),"")))</f>
        <v/>
      </c>
    </row>
    <row r="344">
      <c r="A344">
        <f>ROW()-2</f>
        <v/>
      </c>
      <c r="B344">
        <f>IF(A344=1,"Pillar",IF(A344&lt;=1+Entity!$B$14,"Cluster",IF(A344&lt;=1+Entity!$B$14+Entity!$B$15,"Supporting","")))</f>
        <v/>
      </c>
      <c r="C344">
        <f>IF(B344="Cluster",INDEX(Attributes!$A$3:$A$52,MATCH(A344-1,Attributes!$P$3:$P$52,0)),IF(B344="Supporting",INDEX(Values!$A$3:$A$502,P344),""))</f>
        <v/>
      </c>
      <c r="D344">
        <f>IF(B344="Supporting",INDEX(Values!$B$3:$B$502,P344),"")</f>
        <v/>
      </c>
      <c r="E344">
        <f>IF(R344="","",UPPER(LEFT(R344,1))&amp;MID(R344,2,500))</f>
        <v/>
      </c>
      <c r="F344">
        <f>IF(E344="","",LOWER(SUBSTITUTE(SUBSTITUTE(SUBSTITUTE(SUBSTITUTE(SUBSTITUTE(SUBSTITUTE(SUBSTITUTE(TRIM(E344),":",""),",",""),"'",""),"&amp;","and"),"£",""),"  "," ")," ","-")))</f>
        <v/>
      </c>
      <c r="G344">
        <f>IF(B344="Cluster",$E$3,IF(B344="Supporting",INDEX($E$3:$E$553,MATCH(C344,$C$3:$C$553,0)),""))</f>
        <v/>
      </c>
      <c r="H344">
        <f>IF(B344="Supporting",IFERROR(INDEX($E$3:$E$553,1+Entity!$B$14+INDEX(Values!$O$3:$O$502,P344)),""),IF(B344="Cluster",IF(Entity!$B$14&lt;2,"",INDEX($E$3:$E$553,IF(A344-1=Entity!$B$14,2,A344+1))),""))</f>
        <v/>
      </c>
      <c r="I344">
        <f>IF(B344="Pillar",Entity!$B$14&amp;" cluster pages",IF(B344="Cluster",(COUNTIF($C$3:$C$553,SUBSTITUTE(SUBSTITUTE(C344,"?","~?"),"*","~*"))-1)&amp;" supporting pages",""))</f>
        <v/>
      </c>
      <c r="J344">
        <f>IF(B344="Pillar","Informational",IF(OR(B344="Cluster",B344="Supporting"),INDEX(Attributes!$D$3:$D$52,Q344)&amp;"",""))</f>
        <v/>
      </c>
      <c r="K344">
        <f>IF(B344="","",IF(B344="Pillar","Pillar guide (entity hub)",IF(B344="Cluster","Hub page for this attribute",IF(INDEX(Values!$C$3:$C$502,P344)="Yes","Entity page (profile of the sub-entity)",IFERROR(INDEX(Lists!$B$3:$B$6,MATCH(J344,Lists!$A$3:$A$6,0)),"Article")))))</f>
        <v/>
      </c>
      <c r="L344">
        <f>IF(B344="Pillar",Entity!$B$6&amp;"",IF(B344="Cluster",INDEX(Attributes!$I$3:$I$52,Q344)&amp;"",IF(B344="Supporting",INDEX(Values!$F$3:$F$502,P344)&amp;"","")))</f>
        <v/>
      </c>
      <c r="M344">
        <f>IF(B344="","",IF(L344&lt;&gt;"","Covered","Gap"))</f>
        <v/>
      </c>
      <c r="N344">
        <f>IF(B344="Pillar",SUMIFS(Values!$E$3:$E$502,Values!$I$3:$I$502,"Yes"),IF(B344="Cluster",SUMIFS(Values!$E$3:$E$502,Values!$A$3:$A$502,SUBSTITUTE(SUBSTITUTE(C344,"?","~?"),"*","~*"),Values!$I$3:$I$502,"Yes"),IF(B344="Supporting",N(INDEX(Values!$E$3:$E$502,P344)),"")))</f>
        <v/>
      </c>
      <c r="O344">
        <f>IF(B344="","",IF(B344="Pillar",100,IF(B344="Cluster",N(INDEX(Attributes!$E$3:$E$52,Q344))*25+IF(M344="Gap",10,0),N(INDEX(Attributes!$E$3:$E$52,Q344))*20+MIN(20,ROUND(LOG10(N(N344)+1)*5,0))+IF(M344="Gap",10,0)+IF(INDEX(Values!$D$3:$D$502,P344)="Yes",5,0))))</f>
        <v/>
      </c>
      <c r="P344">
        <f>IF(B344="Supporting",MATCH(A344-1-Entity!$B$14,Values!$J$3:$J$502,0),"")</f>
        <v/>
      </c>
      <c r="Q344">
        <f>IF(C344="","",MATCH(C344,Attributes!$A$3:$A$52,0))</f>
        <v/>
      </c>
      <c r="R344">
        <f>IF(B344="Pillar",SUBSTITUTE(Entity!$B$7,"{entity}",LOWER(Entity!$B$3)),IF(B344="Cluster",IF(INDEX(Attributes!$G$3:$G$52,Q344)&lt;&gt;"",INDEX(Attributes!$G$3:$G$52,Q344),SUBSTITUTE(SUBSTITUTE(Entity!$B$8,"{entity}",LOWER(Entity!$B$3)),"{attribute}",LOWER(C344))),IF(B344="Supporting",SUBSTITUTE(SUBSTITUTE(SUBSTITUTE(IF(INDEX(Attributes!$H$3:$H$52,Q344)&lt;&gt;"",INDEX(Attributes!$H$3:$H$52,Q344),Entity!$B$9),"{entity}",LOWER(Entity!$B$3)),"{value}",D344),"{attribute}",LOWER(C344)),"")))</f>
        <v/>
      </c>
    </row>
    <row r="345">
      <c r="A345">
        <f>ROW()-2</f>
        <v/>
      </c>
      <c r="B345">
        <f>IF(A345=1,"Pillar",IF(A345&lt;=1+Entity!$B$14,"Cluster",IF(A345&lt;=1+Entity!$B$14+Entity!$B$15,"Supporting","")))</f>
        <v/>
      </c>
      <c r="C345">
        <f>IF(B345="Cluster",INDEX(Attributes!$A$3:$A$52,MATCH(A345-1,Attributes!$P$3:$P$52,0)),IF(B345="Supporting",INDEX(Values!$A$3:$A$502,P345),""))</f>
        <v/>
      </c>
      <c r="D345">
        <f>IF(B345="Supporting",INDEX(Values!$B$3:$B$502,P345),"")</f>
        <v/>
      </c>
      <c r="E345">
        <f>IF(R345="","",UPPER(LEFT(R345,1))&amp;MID(R345,2,500))</f>
        <v/>
      </c>
      <c r="F345">
        <f>IF(E345="","",LOWER(SUBSTITUTE(SUBSTITUTE(SUBSTITUTE(SUBSTITUTE(SUBSTITUTE(SUBSTITUTE(SUBSTITUTE(TRIM(E345),":",""),",",""),"'",""),"&amp;","and"),"£",""),"  "," ")," ","-")))</f>
        <v/>
      </c>
      <c r="G345">
        <f>IF(B345="Cluster",$E$3,IF(B345="Supporting",INDEX($E$3:$E$553,MATCH(C345,$C$3:$C$553,0)),""))</f>
        <v/>
      </c>
      <c r="H345">
        <f>IF(B345="Supporting",IFERROR(INDEX($E$3:$E$553,1+Entity!$B$14+INDEX(Values!$O$3:$O$502,P345)),""),IF(B345="Cluster",IF(Entity!$B$14&lt;2,"",INDEX($E$3:$E$553,IF(A345-1=Entity!$B$14,2,A345+1))),""))</f>
        <v/>
      </c>
      <c r="I345">
        <f>IF(B345="Pillar",Entity!$B$14&amp;" cluster pages",IF(B345="Cluster",(COUNTIF($C$3:$C$553,SUBSTITUTE(SUBSTITUTE(C345,"?","~?"),"*","~*"))-1)&amp;" supporting pages",""))</f>
        <v/>
      </c>
      <c r="J345">
        <f>IF(B345="Pillar","Informational",IF(OR(B345="Cluster",B345="Supporting"),INDEX(Attributes!$D$3:$D$52,Q345)&amp;"",""))</f>
        <v/>
      </c>
      <c r="K345">
        <f>IF(B345="","",IF(B345="Pillar","Pillar guide (entity hub)",IF(B345="Cluster","Hub page for this attribute",IF(INDEX(Values!$C$3:$C$502,P345)="Yes","Entity page (profile of the sub-entity)",IFERROR(INDEX(Lists!$B$3:$B$6,MATCH(J345,Lists!$A$3:$A$6,0)),"Article")))))</f>
        <v/>
      </c>
      <c r="L345">
        <f>IF(B345="Pillar",Entity!$B$6&amp;"",IF(B345="Cluster",INDEX(Attributes!$I$3:$I$52,Q345)&amp;"",IF(B345="Supporting",INDEX(Values!$F$3:$F$502,P345)&amp;"","")))</f>
        <v/>
      </c>
      <c r="M345">
        <f>IF(B345="","",IF(L345&lt;&gt;"","Covered","Gap"))</f>
        <v/>
      </c>
      <c r="N345">
        <f>IF(B345="Pillar",SUMIFS(Values!$E$3:$E$502,Values!$I$3:$I$502,"Yes"),IF(B345="Cluster",SUMIFS(Values!$E$3:$E$502,Values!$A$3:$A$502,SUBSTITUTE(SUBSTITUTE(C345,"?","~?"),"*","~*"),Values!$I$3:$I$502,"Yes"),IF(B345="Supporting",N(INDEX(Values!$E$3:$E$502,P345)),"")))</f>
        <v/>
      </c>
      <c r="O345">
        <f>IF(B345="","",IF(B345="Pillar",100,IF(B345="Cluster",N(INDEX(Attributes!$E$3:$E$52,Q345))*25+IF(M345="Gap",10,0),N(INDEX(Attributes!$E$3:$E$52,Q345))*20+MIN(20,ROUND(LOG10(N(N345)+1)*5,0))+IF(M345="Gap",10,0)+IF(INDEX(Values!$D$3:$D$502,P345)="Yes",5,0))))</f>
        <v/>
      </c>
      <c r="P345">
        <f>IF(B345="Supporting",MATCH(A345-1-Entity!$B$14,Values!$J$3:$J$502,0),"")</f>
        <v/>
      </c>
      <c r="Q345">
        <f>IF(C345="","",MATCH(C345,Attributes!$A$3:$A$52,0))</f>
        <v/>
      </c>
      <c r="R345">
        <f>IF(B345="Pillar",SUBSTITUTE(Entity!$B$7,"{entity}",LOWER(Entity!$B$3)),IF(B345="Cluster",IF(INDEX(Attributes!$G$3:$G$52,Q345)&lt;&gt;"",INDEX(Attributes!$G$3:$G$52,Q345),SUBSTITUTE(SUBSTITUTE(Entity!$B$8,"{entity}",LOWER(Entity!$B$3)),"{attribute}",LOWER(C345))),IF(B345="Supporting",SUBSTITUTE(SUBSTITUTE(SUBSTITUTE(IF(INDEX(Attributes!$H$3:$H$52,Q345)&lt;&gt;"",INDEX(Attributes!$H$3:$H$52,Q345),Entity!$B$9),"{entity}",LOWER(Entity!$B$3)),"{value}",D345),"{attribute}",LOWER(C345)),"")))</f>
        <v/>
      </c>
    </row>
    <row r="346">
      <c r="A346">
        <f>ROW()-2</f>
        <v/>
      </c>
      <c r="B346">
        <f>IF(A346=1,"Pillar",IF(A346&lt;=1+Entity!$B$14,"Cluster",IF(A346&lt;=1+Entity!$B$14+Entity!$B$15,"Supporting","")))</f>
        <v/>
      </c>
      <c r="C346">
        <f>IF(B346="Cluster",INDEX(Attributes!$A$3:$A$52,MATCH(A346-1,Attributes!$P$3:$P$52,0)),IF(B346="Supporting",INDEX(Values!$A$3:$A$502,P346),""))</f>
        <v/>
      </c>
      <c r="D346">
        <f>IF(B346="Supporting",INDEX(Values!$B$3:$B$502,P346),"")</f>
        <v/>
      </c>
      <c r="E346">
        <f>IF(R346="","",UPPER(LEFT(R346,1))&amp;MID(R346,2,500))</f>
        <v/>
      </c>
      <c r="F346">
        <f>IF(E346="","",LOWER(SUBSTITUTE(SUBSTITUTE(SUBSTITUTE(SUBSTITUTE(SUBSTITUTE(SUBSTITUTE(SUBSTITUTE(TRIM(E346),":",""),",",""),"'",""),"&amp;","and"),"£",""),"  "," ")," ","-")))</f>
        <v/>
      </c>
      <c r="G346">
        <f>IF(B346="Cluster",$E$3,IF(B346="Supporting",INDEX($E$3:$E$553,MATCH(C346,$C$3:$C$553,0)),""))</f>
        <v/>
      </c>
      <c r="H346">
        <f>IF(B346="Supporting",IFERROR(INDEX($E$3:$E$553,1+Entity!$B$14+INDEX(Values!$O$3:$O$502,P346)),""),IF(B346="Cluster",IF(Entity!$B$14&lt;2,"",INDEX($E$3:$E$553,IF(A346-1=Entity!$B$14,2,A346+1))),""))</f>
        <v/>
      </c>
      <c r="I346">
        <f>IF(B346="Pillar",Entity!$B$14&amp;" cluster pages",IF(B346="Cluster",(COUNTIF($C$3:$C$553,SUBSTITUTE(SUBSTITUTE(C346,"?","~?"),"*","~*"))-1)&amp;" supporting pages",""))</f>
        <v/>
      </c>
      <c r="J346">
        <f>IF(B346="Pillar","Informational",IF(OR(B346="Cluster",B346="Supporting"),INDEX(Attributes!$D$3:$D$52,Q346)&amp;"",""))</f>
        <v/>
      </c>
      <c r="K346">
        <f>IF(B346="","",IF(B346="Pillar","Pillar guide (entity hub)",IF(B346="Cluster","Hub page for this attribute",IF(INDEX(Values!$C$3:$C$502,P346)="Yes","Entity page (profile of the sub-entity)",IFERROR(INDEX(Lists!$B$3:$B$6,MATCH(J346,Lists!$A$3:$A$6,0)),"Article")))))</f>
        <v/>
      </c>
      <c r="L346">
        <f>IF(B346="Pillar",Entity!$B$6&amp;"",IF(B346="Cluster",INDEX(Attributes!$I$3:$I$52,Q346)&amp;"",IF(B346="Supporting",INDEX(Values!$F$3:$F$502,P346)&amp;"","")))</f>
        <v/>
      </c>
      <c r="M346">
        <f>IF(B346="","",IF(L346&lt;&gt;"","Covered","Gap"))</f>
        <v/>
      </c>
      <c r="N346">
        <f>IF(B346="Pillar",SUMIFS(Values!$E$3:$E$502,Values!$I$3:$I$502,"Yes"),IF(B346="Cluster",SUMIFS(Values!$E$3:$E$502,Values!$A$3:$A$502,SUBSTITUTE(SUBSTITUTE(C346,"?","~?"),"*","~*"),Values!$I$3:$I$502,"Yes"),IF(B346="Supporting",N(INDEX(Values!$E$3:$E$502,P346)),"")))</f>
        <v/>
      </c>
      <c r="O346">
        <f>IF(B346="","",IF(B346="Pillar",100,IF(B346="Cluster",N(INDEX(Attributes!$E$3:$E$52,Q346))*25+IF(M346="Gap",10,0),N(INDEX(Attributes!$E$3:$E$52,Q346))*20+MIN(20,ROUND(LOG10(N(N346)+1)*5,0))+IF(M346="Gap",10,0)+IF(INDEX(Values!$D$3:$D$502,P346)="Yes",5,0))))</f>
        <v/>
      </c>
      <c r="P346">
        <f>IF(B346="Supporting",MATCH(A346-1-Entity!$B$14,Values!$J$3:$J$502,0),"")</f>
        <v/>
      </c>
      <c r="Q346">
        <f>IF(C346="","",MATCH(C346,Attributes!$A$3:$A$52,0))</f>
        <v/>
      </c>
      <c r="R346">
        <f>IF(B346="Pillar",SUBSTITUTE(Entity!$B$7,"{entity}",LOWER(Entity!$B$3)),IF(B346="Cluster",IF(INDEX(Attributes!$G$3:$G$52,Q346)&lt;&gt;"",INDEX(Attributes!$G$3:$G$52,Q346),SUBSTITUTE(SUBSTITUTE(Entity!$B$8,"{entity}",LOWER(Entity!$B$3)),"{attribute}",LOWER(C346))),IF(B346="Supporting",SUBSTITUTE(SUBSTITUTE(SUBSTITUTE(IF(INDEX(Attributes!$H$3:$H$52,Q346)&lt;&gt;"",INDEX(Attributes!$H$3:$H$52,Q346),Entity!$B$9),"{entity}",LOWER(Entity!$B$3)),"{value}",D346),"{attribute}",LOWER(C346)),"")))</f>
        <v/>
      </c>
    </row>
    <row r="347">
      <c r="A347">
        <f>ROW()-2</f>
        <v/>
      </c>
      <c r="B347">
        <f>IF(A347=1,"Pillar",IF(A347&lt;=1+Entity!$B$14,"Cluster",IF(A347&lt;=1+Entity!$B$14+Entity!$B$15,"Supporting","")))</f>
        <v/>
      </c>
      <c r="C347">
        <f>IF(B347="Cluster",INDEX(Attributes!$A$3:$A$52,MATCH(A347-1,Attributes!$P$3:$P$52,0)),IF(B347="Supporting",INDEX(Values!$A$3:$A$502,P347),""))</f>
        <v/>
      </c>
      <c r="D347">
        <f>IF(B347="Supporting",INDEX(Values!$B$3:$B$502,P347),"")</f>
        <v/>
      </c>
      <c r="E347">
        <f>IF(R347="","",UPPER(LEFT(R347,1))&amp;MID(R347,2,500))</f>
        <v/>
      </c>
      <c r="F347">
        <f>IF(E347="","",LOWER(SUBSTITUTE(SUBSTITUTE(SUBSTITUTE(SUBSTITUTE(SUBSTITUTE(SUBSTITUTE(SUBSTITUTE(TRIM(E347),":",""),",",""),"'",""),"&amp;","and"),"£",""),"  "," ")," ","-")))</f>
        <v/>
      </c>
      <c r="G347">
        <f>IF(B347="Cluster",$E$3,IF(B347="Supporting",INDEX($E$3:$E$553,MATCH(C347,$C$3:$C$553,0)),""))</f>
        <v/>
      </c>
      <c r="H347">
        <f>IF(B347="Supporting",IFERROR(INDEX($E$3:$E$553,1+Entity!$B$14+INDEX(Values!$O$3:$O$502,P347)),""),IF(B347="Cluster",IF(Entity!$B$14&lt;2,"",INDEX($E$3:$E$553,IF(A347-1=Entity!$B$14,2,A347+1))),""))</f>
        <v/>
      </c>
      <c r="I347">
        <f>IF(B347="Pillar",Entity!$B$14&amp;" cluster pages",IF(B347="Cluster",(COUNTIF($C$3:$C$553,SUBSTITUTE(SUBSTITUTE(C347,"?","~?"),"*","~*"))-1)&amp;" supporting pages",""))</f>
        <v/>
      </c>
      <c r="J347">
        <f>IF(B347="Pillar","Informational",IF(OR(B347="Cluster",B347="Supporting"),INDEX(Attributes!$D$3:$D$52,Q347)&amp;"",""))</f>
        <v/>
      </c>
      <c r="K347">
        <f>IF(B347="","",IF(B347="Pillar","Pillar guide (entity hub)",IF(B347="Cluster","Hub page for this attribute",IF(INDEX(Values!$C$3:$C$502,P347)="Yes","Entity page (profile of the sub-entity)",IFERROR(INDEX(Lists!$B$3:$B$6,MATCH(J347,Lists!$A$3:$A$6,0)),"Article")))))</f>
        <v/>
      </c>
      <c r="L347">
        <f>IF(B347="Pillar",Entity!$B$6&amp;"",IF(B347="Cluster",INDEX(Attributes!$I$3:$I$52,Q347)&amp;"",IF(B347="Supporting",INDEX(Values!$F$3:$F$502,P347)&amp;"","")))</f>
        <v/>
      </c>
      <c r="M347">
        <f>IF(B347="","",IF(L347&lt;&gt;"","Covered","Gap"))</f>
        <v/>
      </c>
      <c r="N347">
        <f>IF(B347="Pillar",SUMIFS(Values!$E$3:$E$502,Values!$I$3:$I$502,"Yes"),IF(B347="Cluster",SUMIFS(Values!$E$3:$E$502,Values!$A$3:$A$502,SUBSTITUTE(SUBSTITUTE(C347,"?","~?"),"*","~*"),Values!$I$3:$I$502,"Yes"),IF(B347="Supporting",N(INDEX(Values!$E$3:$E$502,P347)),"")))</f>
        <v/>
      </c>
      <c r="O347">
        <f>IF(B347="","",IF(B347="Pillar",100,IF(B347="Cluster",N(INDEX(Attributes!$E$3:$E$52,Q347))*25+IF(M347="Gap",10,0),N(INDEX(Attributes!$E$3:$E$52,Q347))*20+MIN(20,ROUND(LOG10(N(N347)+1)*5,0))+IF(M347="Gap",10,0)+IF(INDEX(Values!$D$3:$D$502,P347)="Yes",5,0))))</f>
        <v/>
      </c>
      <c r="P347">
        <f>IF(B347="Supporting",MATCH(A347-1-Entity!$B$14,Values!$J$3:$J$502,0),"")</f>
        <v/>
      </c>
      <c r="Q347">
        <f>IF(C347="","",MATCH(C347,Attributes!$A$3:$A$52,0))</f>
        <v/>
      </c>
      <c r="R347">
        <f>IF(B347="Pillar",SUBSTITUTE(Entity!$B$7,"{entity}",LOWER(Entity!$B$3)),IF(B347="Cluster",IF(INDEX(Attributes!$G$3:$G$52,Q347)&lt;&gt;"",INDEX(Attributes!$G$3:$G$52,Q347),SUBSTITUTE(SUBSTITUTE(Entity!$B$8,"{entity}",LOWER(Entity!$B$3)),"{attribute}",LOWER(C347))),IF(B347="Supporting",SUBSTITUTE(SUBSTITUTE(SUBSTITUTE(IF(INDEX(Attributes!$H$3:$H$52,Q347)&lt;&gt;"",INDEX(Attributes!$H$3:$H$52,Q347),Entity!$B$9),"{entity}",LOWER(Entity!$B$3)),"{value}",D347),"{attribute}",LOWER(C347)),"")))</f>
        <v/>
      </c>
    </row>
    <row r="348">
      <c r="A348">
        <f>ROW()-2</f>
        <v/>
      </c>
      <c r="B348">
        <f>IF(A348=1,"Pillar",IF(A348&lt;=1+Entity!$B$14,"Cluster",IF(A348&lt;=1+Entity!$B$14+Entity!$B$15,"Supporting","")))</f>
        <v/>
      </c>
      <c r="C348">
        <f>IF(B348="Cluster",INDEX(Attributes!$A$3:$A$52,MATCH(A348-1,Attributes!$P$3:$P$52,0)),IF(B348="Supporting",INDEX(Values!$A$3:$A$502,P348),""))</f>
        <v/>
      </c>
      <c r="D348">
        <f>IF(B348="Supporting",INDEX(Values!$B$3:$B$502,P348),"")</f>
        <v/>
      </c>
      <c r="E348">
        <f>IF(R348="","",UPPER(LEFT(R348,1))&amp;MID(R348,2,500))</f>
        <v/>
      </c>
      <c r="F348">
        <f>IF(E348="","",LOWER(SUBSTITUTE(SUBSTITUTE(SUBSTITUTE(SUBSTITUTE(SUBSTITUTE(SUBSTITUTE(SUBSTITUTE(TRIM(E348),":",""),",",""),"'",""),"&amp;","and"),"£",""),"  "," ")," ","-")))</f>
        <v/>
      </c>
      <c r="G348">
        <f>IF(B348="Cluster",$E$3,IF(B348="Supporting",INDEX($E$3:$E$553,MATCH(C348,$C$3:$C$553,0)),""))</f>
        <v/>
      </c>
      <c r="H348">
        <f>IF(B348="Supporting",IFERROR(INDEX($E$3:$E$553,1+Entity!$B$14+INDEX(Values!$O$3:$O$502,P348)),""),IF(B348="Cluster",IF(Entity!$B$14&lt;2,"",INDEX($E$3:$E$553,IF(A348-1=Entity!$B$14,2,A348+1))),""))</f>
        <v/>
      </c>
      <c r="I348">
        <f>IF(B348="Pillar",Entity!$B$14&amp;" cluster pages",IF(B348="Cluster",(COUNTIF($C$3:$C$553,SUBSTITUTE(SUBSTITUTE(C348,"?","~?"),"*","~*"))-1)&amp;" supporting pages",""))</f>
        <v/>
      </c>
      <c r="J348">
        <f>IF(B348="Pillar","Informational",IF(OR(B348="Cluster",B348="Supporting"),INDEX(Attributes!$D$3:$D$52,Q348)&amp;"",""))</f>
        <v/>
      </c>
      <c r="K348">
        <f>IF(B348="","",IF(B348="Pillar","Pillar guide (entity hub)",IF(B348="Cluster","Hub page for this attribute",IF(INDEX(Values!$C$3:$C$502,P348)="Yes","Entity page (profile of the sub-entity)",IFERROR(INDEX(Lists!$B$3:$B$6,MATCH(J348,Lists!$A$3:$A$6,0)),"Article")))))</f>
        <v/>
      </c>
      <c r="L348">
        <f>IF(B348="Pillar",Entity!$B$6&amp;"",IF(B348="Cluster",INDEX(Attributes!$I$3:$I$52,Q348)&amp;"",IF(B348="Supporting",INDEX(Values!$F$3:$F$502,P348)&amp;"","")))</f>
        <v/>
      </c>
      <c r="M348">
        <f>IF(B348="","",IF(L348&lt;&gt;"","Covered","Gap"))</f>
        <v/>
      </c>
      <c r="N348">
        <f>IF(B348="Pillar",SUMIFS(Values!$E$3:$E$502,Values!$I$3:$I$502,"Yes"),IF(B348="Cluster",SUMIFS(Values!$E$3:$E$502,Values!$A$3:$A$502,SUBSTITUTE(SUBSTITUTE(C348,"?","~?"),"*","~*"),Values!$I$3:$I$502,"Yes"),IF(B348="Supporting",N(INDEX(Values!$E$3:$E$502,P348)),"")))</f>
        <v/>
      </c>
      <c r="O348">
        <f>IF(B348="","",IF(B348="Pillar",100,IF(B348="Cluster",N(INDEX(Attributes!$E$3:$E$52,Q348))*25+IF(M348="Gap",10,0),N(INDEX(Attributes!$E$3:$E$52,Q348))*20+MIN(20,ROUND(LOG10(N(N348)+1)*5,0))+IF(M348="Gap",10,0)+IF(INDEX(Values!$D$3:$D$502,P348)="Yes",5,0))))</f>
        <v/>
      </c>
      <c r="P348">
        <f>IF(B348="Supporting",MATCH(A348-1-Entity!$B$14,Values!$J$3:$J$502,0),"")</f>
        <v/>
      </c>
      <c r="Q348">
        <f>IF(C348="","",MATCH(C348,Attributes!$A$3:$A$52,0))</f>
        <v/>
      </c>
      <c r="R348">
        <f>IF(B348="Pillar",SUBSTITUTE(Entity!$B$7,"{entity}",LOWER(Entity!$B$3)),IF(B348="Cluster",IF(INDEX(Attributes!$G$3:$G$52,Q348)&lt;&gt;"",INDEX(Attributes!$G$3:$G$52,Q348),SUBSTITUTE(SUBSTITUTE(Entity!$B$8,"{entity}",LOWER(Entity!$B$3)),"{attribute}",LOWER(C348))),IF(B348="Supporting",SUBSTITUTE(SUBSTITUTE(SUBSTITUTE(IF(INDEX(Attributes!$H$3:$H$52,Q348)&lt;&gt;"",INDEX(Attributes!$H$3:$H$52,Q348),Entity!$B$9),"{entity}",LOWER(Entity!$B$3)),"{value}",D348),"{attribute}",LOWER(C348)),"")))</f>
        <v/>
      </c>
    </row>
    <row r="349">
      <c r="A349">
        <f>ROW()-2</f>
        <v/>
      </c>
      <c r="B349">
        <f>IF(A349=1,"Pillar",IF(A349&lt;=1+Entity!$B$14,"Cluster",IF(A349&lt;=1+Entity!$B$14+Entity!$B$15,"Supporting","")))</f>
        <v/>
      </c>
      <c r="C349">
        <f>IF(B349="Cluster",INDEX(Attributes!$A$3:$A$52,MATCH(A349-1,Attributes!$P$3:$P$52,0)),IF(B349="Supporting",INDEX(Values!$A$3:$A$502,P349),""))</f>
        <v/>
      </c>
      <c r="D349">
        <f>IF(B349="Supporting",INDEX(Values!$B$3:$B$502,P349),"")</f>
        <v/>
      </c>
      <c r="E349">
        <f>IF(R349="","",UPPER(LEFT(R349,1))&amp;MID(R349,2,500))</f>
        <v/>
      </c>
      <c r="F349">
        <f>IF(E349="","",LOWER(SUBSTITUTE(SUBSTITUTE(SUBSTITUTE(SUBSTITUTE(SUBSTITUTE(SUBSTITUTE(SUBSTITUTE(TRIM(E349),":",""),",",""),"'",""),"&amp;","and"),"£",""),"  "," ")," ","-")))</f>
        <v/>
      </c>
      <c r="G349">
        <f>IF(B349="Cluster",$E$3,IF(B349="Supporting",INDEX($E$3:$E$553,MATCH(C349,$C$3:$C$553,0)),""))</f>
        <v/>
      </c>
      <c r="H349">
        <f>IF(B349="Supporting",IFERROR(INDEX($E$3:$E$553,1+Entity!$B$14+INDEX(Values!$O$3:$O$502,P349)),""),IF(B349="Cluster",IF(Entity!$B$14&lt;2,"",INDEX($E$3:$E$553,IF(A349-1=Entity!$B$14,2,A349+1))),""))</f>
        <v/>
      </c>
      <c r="I349">
        <f>IF(B349="Pillar",Entity!$B$14&amp;" cluster pages",IF(B349="Cluster",(COUNTIF($C$3:$C$553,SUBSTITUTE(SUBSTITUTE(C349,"?","~?"),"*","~*"))-1)&amp;" supporting pages",""))</f>
        <v/>
      </c>
      <c r="J349">
        <f>IF(B349="Pillar","Informational",IF(OR(B349="Cluster",B349="Supporting"),INDEX(Attributes!$D$3:$D$52,Q349)&amp;"",""))</f>
        <v/>
      </c>
      <c r="K349">
        <f>IF(B349="","",IF(B349="Pillar","Pillar guide (entity hub)",IF(B349="Cluster","Hub page for this attribute",IF(INDEX(Values!$C$3:$C$502,P349)="Yes","Entity page (profile of the sub-entity)",IFERROR(INDEX(Lists!$B$3:$B$6,MATCH(J349,Lists!$A$3:$A$6,0)),"Article")))))</f>
        <v/>
      </c>
      <c r="L349">
        <f>IF(B349="Pillar",Entity!$B$6&amp;"",IF(B349="Cluster",INDEX(Attributes!$I$3:$I$52,Q349)&amp;"",IF(B349="Supporting",INDEX(Values!$F$3:$F$502,P349)&amp;"","")))</f>
        <v/>
      </c>
      <c r="M349">
        <f>IF(B349="","",IF(L349&lt;&gt;"","Covered","Gap"))</f>
        <v/>
      </c>
      <c r="N349">
        <f>IF(B349="Pillar",SUMIFS(Values!$E$3:$E$502,Values!$I$3:$I$502,"Yes"),IF(B349="Cluster",SUMIFS(Values!$E$3:$E$502,Values!$A$3:$A$502,SUBSTITUTE(SUBSTITUTE(C349,"?","~?"),"*","~*"),Values!$I$3:$I$502,"Yes"),IF(B349="Supporting",N(INDEX(Values!$E$3:$E$502,P349)),"")))</f>
        <v/>
      </c>
      <c r="O349">
        <f>IF(B349="","",IF(B349="Pillar",100,IF(B349="Cluster",N(INDEX(Attributes!$E$3:$E$52,Q349))*25+IF(M349="Gap",10,0),N(INDEX(Attributes!$E$3:$E$52,Q349))*20+MIN(20,ROUND(LOG10(N(N349)+1)*5,0))+IF(M349="Gap",10,0)+IF(INDEX(Values!$D$3:$D$502,P349)="Yes",5,0))))</f>
        <v/>
      </c>
      <c r="P349">
        <f>IF(B349="Supporting",MATCH(A349-1-Entity!$B$14,Values!$J$3:$J$502,0),"")</f>
        <v/>
      </c>
      <c r="Q349">
        <f>IF(C349="","",MATCH(C349,Attributes!$A$3:$A$52,0))</f>
        <v/>
      </c>
      <c r="R349">
        <f>IF(B349="Pillar",SUBSTITUTE(Entity!$B$7,"{entity}",LOWER(Entity!$B$3)),IF(B349="Cluster",IF(INDEX(Attributes!$G$3:$G$52,Q349)&lt;&gt;"",INDEX(Attributes!$G$3:$G$52,Q349),SUBSTITUTE(SUBSTITUTE(Entity!$B$8,"{entity}",LOWER(Entity!$B$3)),"{attribute}",LOWER(C349))),IF(B349="Supporting",SUBSTITUTE(SUBSTITUTE(SUBSTITUTE(IF(INDEX(Attributes!$H$3:$H$52,Q349)&lt;&gt;"",INDEX(Attributes!$H$3:$H$52,Q349),Entity!$B$9),"{entity}",LOWER(Entity!$B$3)),"{value}",D349),"{attribute}",LOWER(C349)),"")))</f>
        <v/>
      </c>
    </row>
    <row r="350">
      <c r="A350">
        <f>ROW()-2</f>
        <v/>
      </c>
      <c r="B350">
        <f>IF(A350=1,"Pillar",IF(A350&lt;=1+Entity!$B$14,"Cluster",IF(A350&lt;=1+Entity!$B$14+Entity!$B$15,"Supporting","")))</f>
        <v/>
      </c>
      <c r="C350">
        <f>IF(B350="Cluster",INDEX(Attributes!$A$3:$A$52,MATCH(A350-1,Attributes!$P$3:$P$52,0)),IF(B350="Supporting",INDEX(Values!$A$3:$A$502,P350),""))</f>
        <v/>
      </c>
      <c r="D350">
        <f>IF(B350="Supporting",INDEX(Values!$B$3:$B$502,P350),"")</f>
        <v/>
      </c>
      <c r="E350">
        <f>IF(R350="","",UPPER(LEFT(R350,1))&amp;MID(R350,2,500))</f>
        <v/>
      </c>
      <c r="F350">
        <f>IF(E350="","",LOWER(SUBSTITUTE(SUBSTITUTE(SUBSTITUTE(SUBSTITUTE(SUBSTITUTE(SUBSTITUTE(SUBSTITUTE(TRIM(E350),":",""),",",""),"'",""),"&amp;","and"),"£",""),"  "," ")," ","-")))</f>
        <v/>
      </c>
      <c r="G350">
        <f>IF(B350="Cluster",$E$3,IF(B350="Supporting",INDEX($E$3:$E$553,MATCH(C350,$C$3:$C$553,0)),""))</f>
        <v/>
      </c>
      <c r="H350">
        <f>IF(B350="Supporting",IFERROR(INDEX($E$3:$E$553,1+Entity!$B$14+INDEX(Values!$O$3:$O$502,P350)),""),IF(B350="Cluster",IF(Entity!$B$14&lt;2,"",INDEX($E$3:$E$553,IF(A350-1=Entity!$B$14,2,A350+1))),""))</f>
        <v/>
      </c>
      <c r="I350">
        <f>IF(B350="Pillar",Entity!$B$14&amp;" cluster pages",IF(B350="Cluster",(COUNTIF($C$3:$C$553,SUBSTITUTE(SUBSTITUTE(C350,"?","~?"),"*","~*"))-1)&amp;" supporting pages",""))</f>
        <v/>
      </c>
      <c r="J350">
        <f>IF(B350="Pillar","Informational",IF(OR(B350="Cluster",B350="Supporting"),INDEX(Attributes!$D$3:$D$52,Q350)&amp;"",""))</f>
        <v/>
      </c>
      <c r="K350">
        <f>IF(B350="","",IF(B350="Pillar","Pillar guide (entity hub)",IF(B350="Cluster","Hub page for this attribute",IF(INDEX(Values!$C$3:$C$502,P350)="Yes","Entity page (profile of the sub-entity)",IFERROR(INDEX(Lists!$B$3:$B$6,MATCH(J350,Lists!$A$3:$A$6,0)),"Article")))))</f>
        <v/>
      </c>
      <c r="L350">
        <f>IF(B350="Pillar",Entity!$B$6&amp;"",IF(B350="Cluster",INDEX(Attributes!$I$3:$I$52,Q350)&amp;"",IF(B350="Supporting",INDEX(Values!$F$3:$F$502,P350)&amp;"","")))</f>
        <v/>
      </c>
      <c r="M350">
        <f>IF(B350="","",IF(L350&lt;&gt;"","Covered","Gap"))</f>
        <v/>
      </c>
      <c r="N350">
        <f>IF(B350="Pillar",SUMIFS(Values!$E$3:$E$502,Values!$I$3:$I$502,"Yes"),IF(B350="Cluster",SUMIFS(Values!$E$3:$E$502,Values!$A$3:$A$502,SUBSTITUTE(SUBSTITUTE(C350,"?","~?"),"*","~*"),Values!$I$3:$I$502,"Yes"),IF(B350="Supporting",N(INDEX(Values!$E$3:$E$502,P350)),"")))</f>
        <v/>
      </c>
      <c r="O350">
        <f>IF(B350="","",IF(B350="Pillar",100,IF(B350="Cluster",N(INDEX(Attributes!$E$3:$E$52,Q350))*25+IF(M350="Gap",10,0),N(INDEX(Attributes!$E$3:$E$52,Q350))*20+MIN(20,ROUND(LOG10(N(N350)+1)*5,0))+IF(M350="Gap",10,0)+IF(INDEX(Values!$D$3:$D$502,P350)="Yes",5,0))))</f>
        <v/>
      </c>
      <c r="P350">
        <f>IF(B350="Supporting",MATCH(A350-1-Entity!$B$14,Values!$J$3:$J$502,0),"")</f>
        <v/>
      </c>
      <c r="Q350">
        <f>IF(C350="","",MATCH(C350,Attributes!$A$3:$A$52,0))</f>
        <v/>
      </c>
      <c r="R350">
        <f>IF(B350="Pillar",SUBSTITUTE(Entity!$B$7,"{entity}",LOWER(Entity!$B$3)),IF(B350="Cluster",IF(INDEX(Attributes!$G$3:$G$52,Q350)&lt;&gt;"",INDEX(Attributes!$G$3:$G$52,Q350),SUBSTITUTE(SUBSTITUTE(Entity!$B$8,"{entity}",LOWER(Entity!$B$3)),"{attribute}",LOWER(C350))),IF(B350="Supporting",SUBSTITUTE(SUBSTITUTE(SUBSTITUTE(IF(INDEX(Attributes!$H$3:$H$52,Q350)&lt;&gt;"",INDEX(Attributes!$H$3:$H$52,Q350),Entity!$B$9),"{entity}",LOWER(Entity!$B$3)),"{value}",D350),"{attribute}",LOWER(C350)),"")))</f>
        <v/>
      </c>
    </row>
    <row r="351">
      <c r="A351">
        <f>ROW()-2</f>
        <v/>
      </c>
      <c r="B351">
        <f>IF(A351=1,"Pillar",IF(A351&lt;=1+Entity!$B$14,"Cluster",IF(A351&lt;=1+Entity!$B$14+Entity!$B$15,"Supporting","")))</f>
        <v/>
      </c>
      <c r="C351">
        <f>IF(B351="Cluster",INDEX(Attributes!$A$3:$A$52,MATCH(A351-1,Attributes!$P$3:$P$52,0)),IF(B351="Supporting",INDEX(Values!$A$3:$A$502,P351),""))</f>
        <v/>
      </c>
      <c r="D351">
        <f>IF(B351="Supporting",INDEX(Values!$B$3:$B$502,P351),"")</f>
        <v/>
      </c>
      <c r="E351">
        <f>IF(R351="","",UPPER(LEFT(R351,1))&amp;MID(R351,2,500))</f>
        <v/>
      </c>
      <c r="F351">
        <f>IF(E351="","",LOWER(SUBSTITUTE(SUBSTITUTE(SUBSTITUTE(SUBSTITUTE(SUBSTITUTE(SUBSTITUTE(SUBSTITUTE(TRIM(E351),":",""),",",""),"'",""),"&amp;","and"),"£",""),"  "," ")," ","-")))</f>
        <v/>
      </c>
      <c r="G351">
        <f>IF(B351="Cluster",$E$3,IF(B351="Supporting",INDEX($E$3:$E$553,MATCH(C351,$C$3:$C$553,0)),""))</f>
        <v/>
      </c>
      <c r="H351">
        <f>IF(B351="Supporting",IFERROR(INDEX($E$3:$E$553,1+Entity!$B$14+INDEX(Values!$O$3:$O$502,P351)),""),IF(B351="Cluster",IF(Entity!$B$14&lt;2,"",INDEX($E$3:$E$553,IF(A351-1=Entity!$B$14,2,A351+1))),""))</f>
        <v/>
      </c>
      <c r="I351">
        <f>IF(B351="Pillar",Entity!$B$14&amp;" cluster pages",IF(B351="Cluster",(COUNTIF($C$3:$C$553,SUBSTITUTE(SUBSTITUTE(C351,"?","~?"),"*","~*"))-1)&amp;" supporting pages",""))</f>
        <v/>
      </c>
      <c r="J351">
        <f>IF(B351="Pillar","Informational",IF(OR(B351="Cluster",B351="Supporting"),INDEX(Attributes!$D$3:$D$52,Q351)&amp;"",""))</f>
        <v/>
      </c>
      <c r="K351">
        <f>IF(B351="","",IF(B351="Pillar","Pillar guide (entity hub)",IF(B351="Cluster","Hub page for this attribute",IF(INDEX(Values!$C$3:$C$502,P351)="Yes","Entity page (profile of the sub-entity)",IFERROR(INDEX(Lists!$B$3:$B$6,MATCH(J351,Lists!$A$3:$A$6,0)),"Article")))))</f>
        <v/>
      </c>
      <c r="L351">
        <f>IF(B351="Pillar",Entity!$B$6&amp;"",IF(B351="Cluster",INDEX(Attributes!$I$3:$I$52,Q351)&amp;"",IF(B351="Supporting",INDEX(Values!$F$3:$F$502,P351)&amp;"","")))</f>
        <v/>
      </c>
      <c r="M351">
        <f>IF(B351="","",IF(L351&lt;&gt;"","Covered","Gap"))</f>
        <v/>
      </c>
      <c r="N351">
        <f>IF(B351="Pillar",SUMIFS(Values!$E$3:$E$502,Values!$I$3:$I$502,"Yes"),IF(B351="Cluster",SUMIFS(Values!$E$3:$E$502,Values!$A$3:$A$502,SUBSTITUTE(SUBSTITUTE(C351,"?","~?"),"*","~*"),Values!$I$3:$I$502,"Yes"),IF(B351="Supporting",N(INDEX(Values!$E$3:$E$502,P351)),"")))</f>
        <v/>
      </c>
      <c r="O351">
        <f>IF(B351="","",IF(B351="Pillar",100,IF(B351="Cluster",N(INDEX(Attributes!$E$3:$E$52,Q351))*25+IF(M351="Gap",10,0),N(INDEX(Attributes!$E$3:$E$52,Q351))*20+MIN(20,ROUND(LOG10(N(N351)+1)*5,0))+IF(M351="Gap",10,0)+IF(INDEX(Values!$D$3:$D$502,P351)="Yes",5,0))))</f>
        <v/>
      </c>
      <c r="P351">
        <f>IF(B351="Supporting",MATCH(A351-1-Entity!$B$14,Values!$J$3:$J$502,0),"")</f>
        <v/>
      </c>
      <c r="Q351">
        <f>IF(C351="","",MATCH(C351,Attributes!$A$3:$A$52,0))</f>
        <v/>
      </c>
      <c r="R351">
        <f>IF(B351="Pillar",SUBSTITUTE(Entity!$B$7,"{entity}",LOWER(Entity!$B$3)),IF(B351="Cluster",IF(INDEX(Attributes!$G$3:$G$52,Q351)&lt;&gt;"",INDEX(Attributes!$G$3:$G$52,Q351),SUBSTITUTE(SUBSTITUTE(Entity!$B$8,"{entity}",LOWER(Entity!$B$3)),"{attribute}",LOWER(C351))),IF(B351="Supporting",SUBSTITUTE(SUBSTITUTE(SUBSTITUTE(IF(INDEX(Attributes!$H$3:$H$52,Q351)&lt;&gt;"",INDEX(Attributes!$H$3:$H$52,Q351),Entity!$B$9),"{entity}",LOWER(Entity!$B$3)),"{value}",D351),"{attribute}",LOWER(C351)),"")))</f>
        <v/>
      </c>
    </row>
    <row r="352">
      <c r="A352">
        <f>ROW()-2</f>
        <v/>
      </c>
      <c r="B352">
        <f>IF(A352=1,"Pillar",IF(A352&lt;=1+Entity!$B$14,"Cluster",IF(A352&lt;=1+Entity!$B$14+Entity!$B$15,"Supporting","")))</f>
        <v/>
      </c>
      <c r="C352">
        <f>IF(B352="Cluster",INDEX(Attributes!$A$3:$A$52,MATCH(A352-1,Attributes!$P$3:$P$52,0)),IF(B352="Supporting",INDEX(Values!$A$3:$A$502,P352),""))</f>
        <v/>
      </c>
      <c r="D352">
        <f>IF(B352="Supporting",INDEX(Values!$B$3:$B$502,P352),"")</f>
        <v/>
      </c>
      <c r="E352">
        <f>IF(R352="","",UPPER(LEFT(R352,1))&amp;MID(R352,2,500))</f>
        <v/>
      </c>
      <c r="F352">
        <f>IF(E352="","",LOWER(SUBSTITUTE(SUBSTITUTE(SUBSTITUTE(SUBSTITUTE(SUBSTITUTE(SUBSTITUTE(SUBSTITUTE(TRIM(E352),":",""),",",""),"'",""),"&amp;","and"),"£",""),"  "," ")," ","-")))</f>
        <v/>
      </c>
      <c r="G352">
        <f>IF(B352="Cluster",$E$3,IF(B352="Supporting",INDEX($E$3:$E$553,MATCH(C352,$C$3:$C$553,0)),""))</f>
        <v/>
      </c>
      <c r="H352">
        <f>IF(B352="Supporting",IFERROR(INDEX($E$3:$E$553,1+Entity!$B$14+INDEX(Values!$O$3:$O$502,P352)),""),IF(B352="Cluster",IF(Entity!$B$14&lt;2,"",INDEX($E$3:$E$553,IF(A352-1=Entity!$B$14,2,A352+1))),""))</f>
        <v/>
      </c>
      <c r="I352">
        <f>IF(B352="Pillar",Entity!$B$14&amp;" cluster pages",IF(B352="Cluster",(COUNTIF($C$3:$C$553,SUBSTITUTE(SUBSTITUTE(C352,"?","~?"),"*","~*"))-1)&amp;" supporting pages",""))</f>
        <v/>
      </c>
      <c r="J352">
        <f>IF(B352="Pillar","Informational",IF(OR(B352="Cluster",B352="Supporting"),INDEX(Attributes!$D$3:$D$52,Q352)&amp;"",""))</f>
        <v/>
      </c>
      <c r="K352">
        <f>IF(B352="","",IF(B352="Pillar","Pillar guide (entity hub)",IF(B352="Cluster","Hub page for this attribute",IF(INDEX(Values!$C$3:$C$502,P352)="Yes","Entity page (profile of the sub-entity)",IFERROR(INDEX(Lists!$B$3:$B$6,MATCH(J352,Lists!$A$3:$A$6,0)),"Article")))))</f>
        <v/>
      </c>
      <c r="L352">
        <f>IF(B352="Pillar",Entity!$B$6&amp;"",IF(B352="Cluster",INDEX(Attributes!$I$3:$I$52,Q352)&amp;"",IF(B352="Supporting",INDEX(Values!$F$3:$F$502,P352)&amp;"","")))</f>
        <v/>
      </c>
      <c r="M352">
        <f>IF(B352="","",IF(L352&lt;&gt;"","Covered","Gap"))</f>
        <v/>
      </c>
      <c r="N352">
        <f>IF(B352="Pillar",SUMIFS(Values!$E$3:$E$502,Values!$I$3:$I$502,"Yes"),IF(B352="Cluster",SUMIFS(Values!$E$3:$E$502,Values!$A$3:$A$502,SUBSTITUTE(SUBSTITUTE(C352,"?","~?"),"*","~*"),Values!$I$3:$I$502,"Yes"),IF(B352="Supporting",N(INDEX(Values!$E$3:$E$502,P352)),"")))</f>
        <v/>
      </c>
      <c r="O352">
        <f>IF(B352="","",IF(B352="Pillar",100,IF(B352="Cluster",N(INDEX(Attributes!$E$3:$E$52,Q352))*25+IF(M352="Gap",10,0),N(INDEX(Attributes!$E$3:$E$52,Q352))*20+MIN(20,ROUND(LOG10(N(N352)+1)*5,0))+IF(M352="Gap",10,0)+IF(INDEX(Values!$D$3:$D$502,P352)="Yes",5,0))))</f>
        <v/>
      </c>
      <c r="P352">
        <f>IF(B352="Supporting",MATCH(A352-1-Entity!$B$14,Values!$J$3:$J$502,0),"")</f>
        <v/>
      </c>
      <c r="Q352">
        <f>IF(C352="","",MATCH(C352,Attributes!$A$3:$A$52,0))</f>
        <v/>
      </c>
      <c r="R352">
        <f>IF(B352="Pillar",SUBSTITUTE(Entity!$B$7,"{entity}",LOWER(Entity!$B$3)),IF(B352="Cluster",IF(INDEX(Attributes!$G$3:$G$52,Q352)&lt;&gt;"",INDEX(Attributes!$G$3:$G$52,Q352),SUBSTITUTE(SUBSTITUTE(Entity!$B$8,"{entity}",LOWER(Entity!$B$3)),"{attribute}",LOWER(C352))),IF(B352="Supporting",SUBSTITUTE(SUBSTITUTE(SUBSTITUTE(IF(INDEX(Attributes!$H$3:$H$52,Q352)&lt;&gt;"",INDEX(Attributes!$H$3:$H$52,Q352),Entity!$B$9),"{entity}",LOWER(Entity!$B$3)),"{value}",D352),"{attribute}",LOWER(C352)),"")))</f>
        <v/>
      </c>
    </row>
    <row r="353">
      <c r="A353">
        <f>ROW()-2</f>
        <v/>
      </c>
      <c r="B353">
        <f>IF(A353=1,"Pillar",IF(A353&lt;=1+Entity!$B$14,"Cluster",IF(A353&lt;=1+Entity!$B$14+Entity!$B$15,"Supporting","")))</f>
        <v/>
      </c>
      <c r="C353">
        <f>IF(B353="Cluster",INDEX(Attributes!$A$3:$A$52,MATCH(A353-1,Attributes!$P$3:$P$52,0)),IF(B353="Supporting",INDEX(Values!$A$3:$A$502,P353),""))</f>
        <v/>
      </c>
      <c r="D353">
        <f>IF(B353="Supporting",INDEX(Values!$B$3:$B$502,P353),"")</f>
        <v/>
      </c>
      <c r="E353">
        <f>IF(R353="","",UPPER(LEFT(R353,1))&amp;MID(R353,2,500))</f>
        <v/>
      </c>
      <c r="F353">
        <f>IF(E353="","",LOWER(SUBSTITUTE(SUBSTITUTE(SUBSTITUTE(SUBSTITUTE(SUBSTITUTE(SUBSTITUTE(SUBSTITUTE(TRIM(E353),":",""),",",""),"'",""),"&amp;","and"),"£",""),"  "," ")," ","-")))</f>
        <v/>
      </c>
      <c r="G353">
        <f>IF(B353="Cluster",$E$3,IF(B353="Supporting",INDEX($E$3:$E$553,MATCH(C353,$C$3:$C$553,0)),""))</f>
        <v/>
      </c>
      <c r="H353">
        <f>IF(B353="Supporting",IFERROR(INDEX($E$3:$E$553,1+Entity!$B$14+INDEX(Values!$O$3:$O$502,P353)),""),IF(B353="Cluster",IF(Entity!$B$14&lt;2,"",INDEX($E$3:$E$553,IF(A353-1=Entity!$B$14,2,A353+1))),""))</f>
        <v/>
      </c>
      <c r="I353">
        <f>IF(B353="Pillar",Entity!$B$14&amp;" cluster pages",IF(B353="Cluster",(COUNTIF($C$3:$C$553,SUBSTITUTE(SUBSTITUTE(C353,"?","~?"),"*","~*"))-1)&amp;" supporting pages",""))</f>
        <v/>
      </c>
      <c r="J353">
        <f>IF(B353="Pillar","Informational",IF(OR(B353="Cluster",B353="Supporting"),INDEX(Attributes!$D$3:$D$52,Q353)&amp;"",""))</f>
        <v/>
      </c>
      <c r="K353">
        <f>IF(B353="","",IF(B353="Pillar","Pillar guide (entity hub)",IF(B353="Cluster","Hub page for this attribute",IF(INDEX(Values!$C$3:$C$502,P353)="Yes","Entity page (profile of the sub-entity)",IFERROR(INDEX(Lists!$B$3:$B$6,MATCH(J353,Lists!$A$3:$A$6,0)),"Article")))))</f>
        <v/>
      </c>
      <c r="L353">
        <f>IF(B353="Pillar",Entity!$B$6&amp;"",IF(B353="Cluster",INDEX(Attributes!$I$3:$I$52,Q353)&amp;"",IF(B353="Supporting",INDEX(Values!$F$3:$F$502,P353)&amp;"","")))</f>
        <v/>
      </c>
      <c r="M353">
        <f>IF(B353="","",IF(L353&lt;&gt;"","Covered","Gap"))</f>
        <v/>
      </c>
      <c r="N353">
        <f>IF(B353="Pillar",SUMIFS(Values!$E$3:$E$502,Values!$I$3:$I$502,"Yes"),IF(B353="Cluster",SUMIFS(Values!$E$3:$E$502,Values!$A$3:$A$502,SUBSTITUTE(SUBSTITUTE(C353,"?","~?"),"*","~*"),Values!$I$3:$I$502,"Yes"),IF(B353="Supporting",N(INDEX(Values!$E$3:$E$502,P353)),"")))</f>
        <v/>
      </c>
      <c r="O353">
        <f>IF(B353="","",IF(B353="Pillar",100,IF(B353="Cluster",N(INDEX(Attributes!$E$3:$E$52,Q353))*25+IF(M353="Gap",10,0),N(INDEX(Attributes!$E$3:$E$52,Q353))*20+MIN(20,ROUND(LOG10(N(N353)+1)*5,0))+IF(M353="Gap",10,0)+IF(INDEX(Values!$D$3:$D$502,P353)="Yes",5,0))))</f>
        <v/>
      </c>
      <c r="P353">
        <f>IF(B353="Supporting",MATCH(A353-1-Entity!$B$14,Values!$J$3:$J$502,0),"")</f>
        <v/>
      </c>
      <c r="Q353">
        <f>IF(C353="","",MATCH(C353,Attributes!$A$3:$A$52,0))</f>
        <v/>
      </c>
      <c r="R353">
        <f>IF(B353="Pillar",SUBSTITUTE(Entity!$B$7,"{entity}",LOWER(Entity!$B$3)),IF(B353="Cluster",IF(INDEX(Attributes!$G$3:$G$52,Q353)&lt;&gt;"",INDEX(Attributes!$G$3:$G$52,Q353),SUBSTITUTE(SUBSTITUTE(Entity!$B$8,"{entity}",LOWER(Entity!$B$3)),"{attribute}",LOWER(C353))),IF(B353="Supporting",SUBSTITUTE(SUBSTITUTE(SUBSTITUTE(IF(INDEX(Attributes!$H$3:$H$52,Q353)&lt;&gt;"",INDEX(Attributes!$H$3:$H$52,Q353),Entity!$B$9),"{entity}",LOWER(Entity!$B$3)),"{value}",D353),"{attribute}",LOWER(C353)),"")))</f>
        <v/>
      </c>
    </row>
    <row r="354">
      <c r="A354">
        <f>ROW()-2</f>
        <v/>
      </c>
      <c r="B354">
        <f>IF(A354=1,"Pillar",IF(A354&lt;=1+Entity!$B$14,"Cluster",IF(A354&lt;=1+Entity!$B$14+Entity!$B$15,"Supporting","")))</f>
        <v/>
      </c>
      <c r="C354">
        <f>IF(B354="Cluster",INDEX(Attributes!$A$3:$A$52,MATCH(A354-1,Attributes!$P$3:$P$52,0)),IF(B354="Supporting",INDEX(Values!$A$3:$A$502,P354),""))</f>
        <v/>
      </c>
      <c r="D354">
        <f>IF(B354="Supporting",INDEX(Values!$B$3:$B$502,P354),"")</f>
        <v/>
      </c>
      <c r="E354">
        <f>IF(R354="","",UPPER(LEFT(R354,1))&amp;MID(R354,2,500))</f>
        <v/>
      </c>
      <c r="F354">
        <f>IF(E354="","",LOWER(SUBSTITUTE(SUBSTITUTE(SUBSTITUTE(SUBSTITUTE(SUBSTITUTE(SUBSTITUTE(SUBSTITUTE(TRIM(E354),":",""),",",""),"'",""),"&amp;","and"),"£",""),"  "," ")," ","-")))</f>
        <v/>
      </c>
      <c r="G354">
        <f>IF(B354="Cluster",$E$3,IF(B354="Supporting",INDEX($E$3:$E$553,MATCH(C354,$C$3:$C$553,0)),""))</f>
        <v/>
      </c>
      <c r="H354">
        <f>IF(B354="Supporting",IFERROR(INDEX($E$3:$E$553,1+Entity!$B$14+INDEX(Values!$O$3:$O$502,P354)),""),IF(B354="Cluster",IF(Entity!$B$14&lt;2,"",INDEX($E$3:$E$553,IF(A354-1=Entity!$B$14,2,A354+1))),""))</f>
        <v/>
      </c>
      <c r="I354">
        <f>IF(B354="Pillar",Entity!$B$14&amp;" cluster pages",IF(B354="Cluster",(COUNTIF($C$3:$C$553,SUBSTITUTE(SUBSTITUTE(C354,"?","~?"),"*","~*"))-1)&amp;" supporting pages",""))</f>
        <v/>
      </c>
      <c r="J354">
        <f>IF(B354="Pillar","Informational",IF(OR(B354="Cluster",B354="Supporting"),INDEX(Attributes!$D$3:$D$52,Q354)&amp;"",""))</f>
        <v/>
      </c>
      <c r="K354">
        <f>IF(B354="","",IF(B354="Pillar","Pillar guide (entity hub)",IF(B354="Cluster","Hub page for this attribute",IF(INDEX(Values!$C$3:$C$502,P354)="Yes","Entity page (profile of the sub-entity)",IFERROR(INDEX(Lists!$B$3:$B$6,MATCH(J354,Lists!$A$3:$A$6,0)),"Article")))))</f>
        <v/>
      </c>
      <c r="L354">
        <f>IF(B354="Pillar",Entity!$B$6&amp;"",IF(B354="Cluster",INDEX(Attributes!$I$3:$I$52,Q354)&amp;"",IF(B354="Supporting",INDEX(Values!$F$3:$F$502,P354)&amp;"","")))</f>
        <v/>
      </c>
      <c r="M354">
        <f>IF(B354="","",IF(L354&lt;&gt;"","Covered","Gap"))</f>
        <v/>
      </c>
      <c r="N354">
        <f>IF(B354="Pillar",SUMIFS(Values!$E$3:$E$502,Values!$I$3:$I$502,"Yes"),IF(B354="Cluster",SUMIFS(Values!$E$3:$E$502,Values!$A$3:$A$502,SUBSTITUTE(SUBSTITUTE(C354,"?","~?"),"*","~*"),Values!$I$3:$I$502,"Yes"),IF(B354="Supporting",N(INDEX(Values!$E$3:$E$502,P354)),"")))</f>
        <v/>
      </c>
      <c r="O354">
        <f>IF(B354="","",IF(B354="Pillar",100,IF(B354="Cluster",N(INDEX(Attributes!$E$3:$E$52,Q354))*25+IF(M354="Gap",10,0),N(INDEX(Attributes!$E$3:$E$52,Q354))*20+MIN(20,ROUND(LOG10(N(N354)+1)*5,0))+IF(M354="Gap",10,0)+IF(INDEX(Values!$D$3:$D$502,P354)="Yes",5,0))))</f>
        <v/>
      </c>
      <c r="P354">
        <f>IF(B354="Supporting",MATCH(A354-1-Entity!$B$14,Values!$J$3:$J$502,0),"")</f>
        <v/>
      </c>
      <c r="Q354">
        <f>IF(C354="","",MATCH(C354,Attributes!$A$3:$A$52,0))</f>
        <v/>
      </c>
      <c r="R354">
        <f>IF(B354="Pillar",SUBSTITUTE(Entity!$B$7,"{entity}",LOWER(Entity!$B$3)),IF(B354="Cluster",IF(INDEX(Attributes!$G$3:$G$52,Q354)&lt;&gt;"",INDEX(Attributes!$G$3:$G$52,Q354),SUBSTITUTE(SUBSTITUTE(Entity!$B$8,"{entity}",LOWER(Entity!$B$3)),"{attribute}",LOWER(C354))),IF(B354="Supporting",SUBSTITUTE(SUBSTITUTE(SUBSTITUTE(IF(INDEX(Attributes!$H$3:$H$52,Q354)&lt;&gt;"",INDEX(Attributes!$H$3:$H$52,Q354),Entity!$B$9),"{entity}",LOWER(Entity!$B$3)),"{value}",D354),"{attribute}",LOWER(C354)),"")))</f>
        <v/>
      </c>
    </row>
    <row r="355">
      <c r="A355">
        <f>ROW()-2</f>
        <v/>
      </c>
      <c r="B355">
        <f>IF(A355=1,"Pillar",IF(A355&lt;=1+Entity!$B$14,"Cluster",IF(A355&lt;=1+Entity!$B$14+Entity!$B$15,"Supporting","")))</f>
        <v/>
      </c>
      <c r="C355">
        <f>IF(B355="Cluster",INDEX(Attributes!$A$3:$A$52,MATCH(A355-1,Attributes!$P$3:$P$52,0)),IF(B355="Supporting",INDEX(Values!$A$3:$A$502,P355),""))</f>
        <v/>
      </c>
      <c r="D355">
        <f>IF(B355="Supporting",INDEX(Values!$B$3:$B$502,P355),"")</f>
        <v/>
      </c>
      <c r="E355">
        <f>IF(R355="","",UPPER(LEFT(R355,1))&amp;MID(R355,2,500))</f>
        <v/>
      </c>
      <c r="F355">
        <f>IF(E355="","",LOWER(SUBSTITUTE(SUBSTITUTE(SUBSTITUTE(SUBSTITUTE(SUBSTITUTE(SUBSTITUTE(SUBSTITUTE(TRIM(E355),":",""),",",""),"'",""),"&amp;","and"),"£",""),"  "," ")," ","-")))</f>
        <v/>
      </c>
      <c r="G355">
        <f>IF(B355="Cluster",$E$3,IF(B355="Supporting",INDEX($E$3:$E$553,MATCH(C355,$C$3:$C$553,0)),""))</f>
        <v/>
      </c>
      <c r="H355">
        <f>IF(B355="Supporting",IFERROR(INDEX($E$3:$E$553,1+Entity!$B$14+INDEX(Values!$O$3:$O$502,P355)),""),IF(B355="Cluster",IF(Entity!$B$14&lt;2,"",INDEX($E$3:$E$553,IF(A355-1=Entity!$B$14,2,A355+1))),""))</f>
        <v/>
      </c>
      <c r="I355">
        <f>IF(B355="Pillar",Entity!$B$14&amp;" cluster pages",IF(B355="Cluster",(COUNTIF($C$3:$C$553,SUBSTITUTE(SUBSTITUTE(C355,"?","~?"),"*","~*"))-1)&amp;" supporting pages",""))</f>
        <v/>
      </c>
      <c r="J355">
        <f>IF(B355="Pillar","Informational",IF(OR(B355="Cluster",B355="Supporting"),INDEX(Attributes!$D$3:$D$52,Q355)&amp;"",""))</f>
        <v/>
      </c>
      <c r="K355">
        <f>IF(B355="","",IF(B355="Pillar","Pillar guide (entity hub)",IF(B355="Cluster","Hub page for this attribute",IF(INDEX(Values!$C$3:$C$502,P355)="Yes","Entity page (profile of the sub-entity)",IFERROR(INDEX(Lists!$B$3:$B$6,MATCH(J355,Lists!$A$3:$A$6,0)),"Article")))))</f>
        <v/>
      </c>
      <c r="L355">
        <f>IF(B355="Pillar",Entity!$B$6&amp;"",IF(B355="Cluster",INDEX(Attributes!$I$3:$I$52,Q355)&amp;"",IF(B355="Supporting",INDEX(Values!$F$3:$F$502,P355)&amp;"","")))</f>
        <v/>
      </c>
      <c r="M355">
        <f>IF(B355="","",IF(L355&lt;&gt;"","Covered","Gap"))</f>
        <v/>
      </c>
      <c r="N355">
        <f>IF(B355="Pillar",SUMIFS(Values!$E$3:$E$502,Values!$I$3:$I$502,"Yes"),IF(B355="Cluster",SUMIFS(Values!$E$3:$E$502,Values!$A$3:$A$502,SUBSTITUTE(SUBSTITUTE(C355,"?","~?"),"*","~*"),Values!$I$3:$I$502,"Yes"),IF(B355="Supporting",N(INDEX(Values!$E$3:$E$502,P355)),"")))</f>
        <v/>
      </c>
      <c r="O355">
        <f>IF(B355="","",IF(B355="Pillar",100,IF(B355="Cluster",N(INDEX(Attributes!$E$3:$E$52,Q355))*25+IF(M355="Gap",10,0),N(INDEX(Attributes!$E$3:$E$52,Q355))*20+MIN(20,ROUND(LOG10(N(N355)+1)*5,0))+IF(M355="Gap",10,0)+IF(INDEX(Values!$D$3:$D$502,P355)="Yes",5,0))))</f>
        <v/>
      </c>
      <c r="P355">
        <f>IF(B355="Supporting",MATCH(A355-1-Entity!$B$14,Values!$J$3:$J$502,0),"")</f>
        <v/>
      </c>
      <c r="Q355">
        <f>IF(C355="","",MATCH(C355,Attributes!$A$3:$A$52,0))</f>
        <v/>
      </c>
      <c r="R355">
        <f>IF(B355="Pillar",SUBSTITUTE(Entity!$B$7,"{entity}",LOWER(Entity!$B$3)),IF(B355="Cluster",IF(INDEX(Attributes!$G$3:$G$52,Q355)&lt;&gt;"",INDEX(Attributes!$G$3:$G$52,Q355),SUBSTITUTE(SUBSTITUTE(Entity!$B$8,"{entity}",LOWER(Entity!$B$3)),"{attribute}",LOWER(C355))),IF(B355="Supporting",SUBSTITUTE(SUBSTITUTE(SUBSTITUTE(IF(INDEX(Attributes!$H$3:$H$52,Q355)&lt;&gt;"",INDEX(Attributes!$H$3:$H$52,Q355),Entity!$B$9),"{entity}",LOWER(Entity!$B$3)),"{value}",D355),"{attribute}",LOWER(C355)),"")))</f>
        <v/>
      </c>
    </row>
    <row r="356">
      <c r="A356">
        <f>ROW()-2</f>
        <v/>
      </c>
      <c r="B356">
        <f>IF(A356=1,"Pillar",IF(A356&lt;=1+Entity!$B$14,"Cluster",IF(A356&lt;=1+Entity!$B$14+Entity!$B$15,"Supporting","")))</f>
        <v/>
      </c>
      <c r="C356">
        <f>IF(B356="Cluster",INDEX(Attributes!$A$3:$A$52,MATCH(A356-1,Attributes!$P$3:$P$52,0)),IF(B356="Supporting",INDEX(Values!$A$3:$A$502,P356),""))</f>
        <v/>
      </c>
      <c r="D356">
        <f>IF(B356="Supporting",INDEX(Values!$B$3:$B$502,P356),"")</f>
        <v/>
      </c>
      <c r="E356">
        <f>IF(R356="","",UPPER(LEFT(R356,1))&amp;MID(R356,2,500))</f>
        <v/>
      </c>
      <c r="F356">
        <f>IF(E356="","",LOWER(SUBSTITUTE(SUBSTITUTE(SUBSTITUTE(SUBSTITUTE(SUBSTITUTE(SUBSTITUTE(SUBSTITUTE(TRIM(E356),":",""),",",""),"'",""),"&amp;","and"),"£",""),"  "," ")," ","-")))</f>
        <v/>
      </c>
      <c r="G356">
        <f>IF(B356="Cluster",$E$3,IF(B356="Supporting",INDEX($E$3:$E$553,MATCH(C356,$C$3:$C$553,0)),""))</f>
        <v/>
      </c>
      <c r="H356">
        <f>IF(B356="Supporting",IFERROR(INDEX($E$3:$E$553,1+Entity!$B$14+INDEX(Values!$O$3:$O$502,P356)),""),IF(B356="Cluster",IF(Entity!$B$14&lt;2,"",INDEX($E$3:$E$553,IF(A356-1=Entity!$B$14,2,A356+1))),""))</f>
        <v/>
      </c>
      <c r="I356">
        <f>IF(B356="Pillar",Entity!$B$14&amp;" cluster pages",IF(B356="Cluster",(COUNTIF($C$3:$C$553,SUBSTITUTE(SUBSTITUTE(C356,"?","~?"),"*","~*"))-1)&amp;" supporting pages",""))</f>
        <v/>
      </c>
      <c r="J356">
        <f>IF(B356="Pillar","Informational",IF(OR(B356="Cluster",B356="Supporting"),INDEX(Attributes!$D$3:$D$52,Q356)&amp;"",""))</f>
        <v/>
      </c>
      <c r="K356">
        <f>IF(B356="","",IF(B356="Pillar","Pillar guide (entity hub)",IF(B356="Cluster","Hub page for this attribute",IF(INDEX(Values!$C$3:$C$502,P356)="Yes","Entity page (profile of the sub-entity)",IFERROR(INDEX(Lists!$B$3:$B$6,MATCH(J356,Lists!$A$3:$A$6,0)),"Article")))))</f>
        <v/>
      </c>
      <c r="L356">
        <f>IF(B356="Pillar",Entity!$B$6&amp;"",IF(B356="Cluster",INDEX(Attributes!$I$3:$I$52,Q356)&amp;"",IF(B356="Supporting",INDEX(Values!$F$3:$F$502,P356)&amp;"","")))</f>
        <v/>
      </c>
      <c r="M356">
        <f>IF(B356="","",IF(L356&lt;&gt;"","Covered","Gap"))</f>
        <v/>
      </c>
      <c r="N356">
        <f>IF(B356="Pillar",SUMIFS(Values!$E$3:$E$502,Values!$I$3:$I$502,"Yes"),IF(B356="Cluster",SUMIFS(Values!$E$3:$E$502,Values!$A$3:$A$502,SUBSTITUTE(SUBSTITUTE(C356,"?","~?"),"*","~*"),Values!$I$3:$I$502,"Yes"),IF(B356="Supporting",N(INDEX(Values!$E$3:$E$502,P356)),"")))</f>
        <v/>
      </c>
      <c r="O356">
        <f>IF(B356="","",IF(B356="Pillar",100,IF(B356="Cluster",N(INDEX(Attributes!$E$3:$E$52,Q356))*25+IF(M356="Gap",10,0),N(INDEX(Attributes!$E$3:$E$52,Q356))*20+MIN(20,ROUND(LOG10(N(N356)+1)*5,0))+IF(M356="Gap",10,0)+IF(INDEX(Values!$D$3:$D$502,P356)="Yes",5,0))))</f>
        <v/>
      </c>
      <c r="P356">
        <f>IF(B356="Supporting",MATCH(A356-1-Entity!$B$14,Values!$J$3:$J$502,0),"")</f>
        <v/>
      </c>
      <c r="Q356">
        <f>IF(C356="","",MATCH(C356,Attributes!$A$3:$A$52,0))</f>
        <v/>
      </c>
      <c r="R356">
        <f>IF(B356="Pillar",SUBSTITUTE(Entity!$B$7,"{entity}",LOWER(Entity!$B$3)),IF(B356="Cluster",IF(INDEX(Attributes!$G$3:$G$52,Q356)&lt;&gt;"",INDEX(Attributes!$G$3:$G$52,Q356),SUBSTITUTE(SUBSTITUTE(Entity!$B$8,"{entity}",LOWER(Entity!$B$3)),"{attribute}",LOWER(C356))),IF(B356="Supporting",SUBSTITUTE(SUBSTITUTE(SUBSTITUTE(IF(INDEX(Attributes!$H$3:$H$52,Q356)&lt;&gt;"",INDEX(Attributes!$H$3:$H$52,Q356),Entity!$B$9),"{entity}",LOWER(Entity!$B$3)),"{value}",D356),"{attribute}",LOWER(C356)),"")))</f>
        <v/>
      </c>
    </row>
    <row r="357">
      <c r="A357">
        <f>ROW()-2</f>
        <v/>
      </c>
      <c r="B357">
        <f>IF(A357=1,"Pillar",IF(A357&lt;=1+Entity!$B$14,"Cluster",IF(A357&lt;=1+Entity!$B$14+Entity!$B$15,"Supporting","")))</f>
        <v/>
      </c>
      <c r="C357">
        <f>IF(B357="Cluster",INDEX(Attributes!$A$3:$A$52,MATCH(A357-1,Attributes!$P$3:$P$52,0)),IF(B357="Supporting",INDEX(Values!$A$3:$A$502,P357),""))</f>
        <v/>
      </c>
      <c r="D357">
        <f>IF(B357="Supporting",INDEX(Values!$B$3:$B$502,P357),"")</f>
        <v/>
      </c>
      <c r="E357">
        <f>IF(R357="","",UPPER(LEFT(R357,1))&amp;MID(R357,2,500))</f>
        <v/>
      </c>
      <c r="F357">
        <f>IF(E357="","",LOWER(SUBSTITUTE(SUBSTITUTE(SUBSTITUTE(SUBSTITUTE(SUBSTITUTE(SUBSTITUTE(SUBSTITUTE(TRIM(E357),":",""),",",""),"'",""),"&amp;","and"),"£",""),"  "," ")," ","-")))</f>
        <v/>
      </c>
      <c r="G357">
        <f>IF(B357="Cluster",$E$3,IF(B357="Supporting",INDEX($E$3:$E$553,MATCH(C357,$C$3:$C$553,0)),""))</f>
        <v/>
      </c>
      <c r="H357">
        <f>IF(B357="Supporting",IFERROR(INDEX($E$3:$E$553,1+Entity!$B$14+INDEX(Values!$O$3:$O$502,P357)),""),IF(B357="Cluster",IF(Entity!$B$14&lt;2,"",INDEX($E$3:$E$553,IF(A357-1=Entity!$B$14,2,A357+1))),""))</f>
        <v/>
      </c>
      <c r="I357">
        <f>IF(B357="Pillar",Entity!$B$14&amp;" cluster pages",IF(B357="Cluster",(COUNTIF($C$3:$C$553,SUBSTITUTE(SUBSTITUTE(C357,"?","~?"),"*","~*"))-1)&amp;" supporting pages",""))</f>
        <v/>
      </c>
      <c r="J357">
        <f>IF(B357="Pillar","Informational",IF(OR(B357="Cluster",B357="Supporting"),INDEX(Attributes!$D$3:$D$52,Q357)&amp;"",""))</f>
        <v/>
      </c>
      <c r="K357">
        <f>IF(B357="","",IF(B357="Pillar","Pillar guide (entity hub)",IF(B357="Cluster","Hub page for this attribute",IF(INDEX(Values!$C$3:$C$502,P357)="Yes","Entity page (profile of the sub-entity)",IFERROR(INDEX(Lists!$B$3:$B$6,MATCH(J357,Lists!$A$3:$A$6,0)),"Article")))))</f>
        <v/>
      </c>
      <c r="L357">
        <f>IF(B357="Pillar",Entity!$B$6&amp;"",IF(B357="Cluster",INDEX(Attributes!$I$3:$I$52,Q357)&amp;"",IF(B357="Supporting",INDEX(Values!$F$3:$F$502,P357)&amp;"","")))</f>
        <v/>
      </c>
      <c r="M357">
        <f>IF(B357="","",IF(L357&lt;&gt;"","Covered","Gap"))</f>
        <v/>
      </c>
      <c r="N357">
        <f>IF(B357="Pillar",SUMIFS(Values!$E$3:$E$502,Values!$I$3:$I$502,"Yes"),IF(B357="Cluster",SUMIFS(Values!$E$3:$E$502,Values!$A$3:$A$502,SUBSTITUTE(SUBSTITUTE(C357,"?","~?"),"*","~*"),Values!$I$3:$I$502,"Yes"),IF(B357="Supporting",N(INDEX(Values!$E$3:$E$502,P357)),"")))</f>
        <v/>
      </c>
      <c r="O357">
        <f>IF(B357="","",IF(B357="Pillar",100,IF(B357="Cluster",N(INDEX(Attributes!$E$3:$E$52,Q357))*25+IF(M357="Gap",10,0),N(INDEX(Attributes!$E$3:$E$52,Q357))*20+MIN(20,ROUND(LOG10(N(N357)+1)*5,0))+IF(M357="Gap",10,0)+IF(INDEX(Values!$D$3:$D$502,P357)="Yes",5,0))))</f>
        <v/>
      </c>
      <c r="P357">
        <f>IF(B357="Supporting",MATCH(A357-1-Entity!$B$14,Values!$J$3:$J$502,0),"")</f>
        <v/>
      </c>
      <c r="Q357">
        <f>IF(C357="","",MATCH(C357,Attributes!$A$3:$A$52,0))</f>
        <v/>
      </c>
      <c r="R357">
        <f>IF(B357="Pillar",SUBSTITUTE(Entity!$B$7,"{entity}",LOWER(Entity!$B$3)),IF(B357="Cluster",IF(INDEX(Attributes!$G$3:$G$52,Q357)&lt;&gt;"",INDEX(Attributes!$G$3:$G$52,Q357),SUBSTITUTE(SUBSTITUTE(Entity!$B$8,"{entity}",LOWER(Entity!$B$3)),"{attribute}",LOWER(C357))),IF(B357="Supporting",SUBSTITUTE(SUBSTITUTE(SUBSTITUTE(IF(INDEX(Attributes!$H$3:$H$52,Q357)&lt;&gt;"",INDEX(Attributes!$H$3:$H$52,Q357),Entity!$B$9),"{entity}",LOWER(Entity!$B$3)),"{value}",D357),"{attribute}",LOWER(C357)),"")))</f>
        <v/>
      </c>
    </row>
    <row r="358">
      <c r="A358">
        <f>ROW()-2</f>
        <v/>
      </c>
      <c r="B358">
        <f>IF(A358=1,"Pillar",IF(A358&lt;=1+Entity!$B$14,"Cluster",IF(A358&lt;=1+Entity!$B$14+Entity!$B$15,"Supporting","")))</f>
        <v/>
      </c>
      <c r="C358">
        <f>IF(B358="Cluster",INDEX(Attributes!$A$3:$A$52,MATCH(A358-1,Attributes!$P$3:$P$52,0)),IF(B358="Supporting",INDEX(Values!$A$3:$A$502,P358),""))</f>
        <v/>
      </c>
      <c r="D358">
        <f>IF(B358="Supporting",INDEX(Values!$B$3:$B$502,P358),"")</f>
        <v/>
      </c>
      <c r="E358">
        <f>IF(R358="","",UPPER(LEFT(R358,1))&amp;MID(R358,2,500))</f>
        <v/>
      </c>
      <c r="F358">
        <f>IF(E358="","",LOWER(SUBSTITUTE(SUBSTITUTE(SUBSTITUTE(SUBSTITUTE(SUBSTITUTE(SUBSTITUTE(SUBSTITUTE(TRIM(E358),":",""),",",""),"'",""),"&amp;","and"),"£",""),"  "," ")," ","-")))</f>
        <v/>
      </c>
      <c r="G358">
        <f>IF(B358="Cluster",$E$3,IF(B358="Supporting",INDEX($E$3:$E$553,MATCH(C358,$C$3:$C$553,0)),""))</f>
        <v/>
      </c>
      <c r="H358">
        <f>IF(B358="Supporting",IFERROR(INDEX($E$3:$E$553,1+Entity!$B$14+INDEX(Values!$O$3:$O$502,P358)),""),IF(B358="Cluster",IF(Entity!$B$14&lt;2,"",INDEX($E$3:$E$553,IF(A358-1=Entity!$B$14,2,A358+1))),""))</f>
        <v/>
      </c>
      <c r="I358">
        <f>IF(B358="Pillar",Entity!$B$14&amp;" cluster pages",IF(B358="Cluster",(COUNTIF($C$3:$C$553,SUBSTITUTE(SUBSTITUTE(C358,"?","~?"),"*","~*"))-1)&amp;" supporting pages",""))</f>
        <v/>
      </c>
      <c r="J358">
        <f>IF(B358="Pillar","Informational",IF(OR(B358="Cluster",B358="Supporting"),INDEX(Attributes!$D$3:$D$52,Q358)&amp;"",""))</f>
        <v/>
      </c>
      <c r="K358">
        <f>IF(B358="","",IF(B358="Pillar","Pillar guide (entity hub)",IF(B358="Cluster","Hub page for this attribute",IF(INDEX(Values!$C$3:$C$502,P358)="Yes","Entity page (profile of the sub-entity)",IFERROR(INDEX(Lists!$B$3:$B$6,MATCH(J358,Lists!$A$3:$A$6,0)),"Article")))))</f>
        <v/>
      </c>
      <c r="L358">
        <f>IF(B358="Pillar",Entity!$B$6&amp;"",IF(B358="Cluster",INDEX(Attributes!$I$3:$I$52,Q358)&amp;"",IF(B358="Supporting",INDEX(Values!$F$3:$F$502,P358)&amp;"","")))</f>
        <v/>
      </c>
      <c r="M358">
        <f>IF(B358="","",IF(L358&lt;&gt;"","Covered","Gap"))</f>
        <v/>
      </c>
      <c r="N358">
        <f>IF(B358="Pillar",SUMIFS(Values!$E$3:$E$502,Values!$I$3:$I$502,"Yes"),IF(B358="Cluster",SUMIFS(Values!$E$3:$E$502,Values!$A$3:$A$502,SUBSTITUTE(SUBSTITUTE(C358,"?","~?"),"*","~*"),Values!$I$3:$I$502,"Yes"),IF(B358="Supporting",N(INDEX(Values!$E$3:$E$502,P358)),"")))</f>
        <v/>
      </c>
      <c r="O358">
        <f>IF(B358="","",IF(B358="Pillar",100,IF(B358="Cluster",N(INDEX(Attributes!$E$3:$E$52,Q358))*25+IF(M358="Gap",10,0),N(INDEX(Attributes!$E$3:$E$52,Q358))*20+MIN(20,ROUND(LOG10(N(N358)+1)*5,0))+IF(M358="Gap",10,0)+IF(INDEX(Values!$D$3:$D$502,P358)="Yes",5,0))))</f>
        <v/>
      </c>
      <c r="P358">
        <f>IF(B358="Supporting",MATCH(A358-1-Entity!$B$14,Values!$J$3:$J$502,0),"")</f>
        <v/>
      </c>
      <c r="Q358">
        <f>IF(C358="","",MATCH(C358,Attributes!$A$3:$A$52,0))</f>
        <v/>
      </c>
      <c r="R358">
        <f>IF(B358="Pillar",SUBSTITUTE(Entity!$B$7,"{entity}",LOWER(Entity!$B$3)),IF(B358="Cluster",IF(INDEX(Attributes!$G$3:$G$52,Q358)&lt;&gt;"",INDEX(Attributes!$G$3:$G$52,Q358),SUBSTITUTE(SUBSTITUTE(Entity!$B$8,"{entity}",LOWER(Entity!$B$3)),"{attribute}",LOWER(C358))),IF(B358="Supporting",SUBSTITUTE(SUBSTITUTE(SUBSTITUTE(IF(INDEX(Attributes!$H$3:$H$52,Q358)&lt;&gt;"",INDEX(Attributes!$H$3:$H$52,Q358),Entity!$B$9),"{entity}",LOWER(Entity!$B$3)),"{value}",D358),"{attribute}",LOWER(C358)),"")))</f>
        <v/>
      </c>
    </row>
    <row r="359">
      <c r="A359">
        <f>ROW()-2</f>
        <v/>
      </c>
      <c r="B359">
        <f>IF(A359=1,"Pillar",IF(A359&lt;=1+Entity!$B$14,"Cluster",IF(A359&lt;=1+Entity!$B$14+Entity!$B$15,"Supporting","")))</f>
        <v/>
      </c>
      <c r="C359">
        <f>IF(B359="Cluster",INDEX(Attributes!$A$3:$A$52,MATCH(A359-1,Attributes!$P$3:$P$52,0)),IF(B359="Supporting",INDEX(Values!$A$3:$A$502,P359),""))</f>
        <v/>
      </c>
      <c r="D359">
        <f>IF(B359="Supporting",INDEX(Values!$B$3:$B$502,P359),"")</f>
        <v/>
      </c>
      <c r="E359">
        <f>IF(R359="","",UPPER(LEFT(R359,1))&amp;MID(R359,2,500))</f>
        <v/>
      </c>
      <c r="F359">
        <f>IF(E359="","",LOWER(SUBSTITUTE(SUBSTITUTE(SUBSTITUTE(SUBSTITUTE(SUBSTITUTE(SUBSTITUTE(SUBSTITUTE(TRIM(E359),":",""),",",""),"'",""),"&amp;","and"),"£",""),"  "," ")," ","-")))</f>
        <v/>
      </c>
      <c r="G359">
        <f>IF(B359="Cluster",$E$3,IF(B359="Supporting",INDEX($E$3:$E$553,MATCH(C359,$C$3:$C$553,0)),""))</f>
        <v/>
      </c>
      <c r="H359">
        <f>IF(B359="Supporting",IFERROR(INDEX($E$3:$E$553,1+Entity!$B$14+INDEX(Values!$O$3:$O$502,P359)),""),IF(B359="Cluster",IF(Entity!$B$14&lt;2,"",INDEX($E$3:$E$553,IF(A359-1=Entity!$B$14,2,A359+1))),""))</f>
        <v/>
      </c>
      <c r="I359">
        <f>IF(B359="Pillar",Entity!$B$14&amp;" cluster pages",IF(B359="Cluster",(COUNTIF($C$3:$C$553,SUBSTITUTE(SUBSTITUTE(C359,"?","~?"),"*","~*"))-1)&amp;" supporting pages",""))</f>
        <v/>
      </c>
      <c r="J359">
        <f>IF(B359="Pillar","Informational",IF(OR(B359="Cluster",B359="Supporting"),INDEX(Attributes!$D$3:$D$52,Q359)&amp;"",""))</f>
        <v/>
      </c>
      <c r="K359">
        <f>IF(B359="","",IF(B359="Pillar","Pillar guide (entity hub)",IF(B359="Cluster","Hub page for this attribute",IF(INDEX(Values!$C$3:$C$502,P359)="Yes","Entity page (profile of the sub-entity)",IFERROR(INDEX(Lists!$B$3:$B$6,MATCH(J359,Lists!$A$3:$A$6,0)),"Article")))))</f>
        <v/>
      </c>
      <c r="L359">
        <f>IF(B359="Pillar",Entity!$B$6&amp;"",IF(B359="Cluster",INDEX(Attributes!$I$3:$I$52,Q359)&amp;"",IF(B359="Supporting",INDEX(Values!$F$3:$F$502,P359)&amp;"","")))</f>
        <v/>
      </c>
      <c r="M359">
        <f>IF(B359="","",IF(L359&lt;&gt;"","Covered","Gap"))</f>
        <v/>
      </c>
      <c r="N359">
        <f>IF(B359="Pillar",SUMIFS(Values!$E$3:$E$502,Values!$I$3:$I$502,"Yes"),IF(B359="Cluster",SUMIFS(Values!$E$3:$E$502,Values!$A$3:$A$502,SUBSTITUTE(SUBSTITUTE(C359,"?","~?"),"*","~*"),Values!$I$3:$I$502,"Yes"),IF(B359="Supporting",N(INDEX(Values!$E$3:$E$502,P359)),"")))</f>
        <v/>
      </c>
      <c r="O359">
        <f>IF(B359="","",IF(B359="Pillar",100,IF(B359="Cluster",N(INDEX(Attributes!$E$3:$E$52,Q359))*25+IF(M359="Gap",10,0),N(INDEX(Attributes!$E$3:$E$52,Q359))*20+MIN(20,ROUND(LOG10(N(N359)+1)*5,0))+IF(M359="Gap",10,0)+IF(INDEX(Values!$D$3:$D$502,P359)="Yes",5,0))))</f>
        <v/>
      </c>
      <c r="P359">
        <f>IF(B359="Supporting",MATCH(A359-1-Entity!$B$14,Values!$J$3:$J$502,0),"")</f>
        <v/>
      </c>
      <c r="Q359">
        <f>IF(C359="","",MATCH(C359,Attributes!$A$3:$A$52,0))</f>
        <v/>
      </c>
      <c r="R359">
        <f>IF(B359="Pillar",SUBSTITUTE(Entity!$B$7,"{entity}",LOWER(Entity!$B$3)),IF(B359="Cluster",IF(INDEX(Attributes!$G$3:$G$52,Q359)&lt;&gt;"",INDEX(Attributes!$G$3:$G$52,Q359),SUBSTITUTE(SUBSTITUTE(Entity!$B$8,"{entity}",LOWER(Entity!$B$3)),"{attribute}",LOWER(C359))),IF(B359="Supporting",SUBSTITUTE(SUBSTITUTE(SUBSTITUTE(IF(INDEX(Attributes!$H$3:$H$52,Q359)&lt;&gt;"",INDEX(Attributes!$H$3:$H$52,Q359),Entity!$B$9),"{entity}",LOWER(Entity!$B$3)),"{value}",D359),"{attribute}",LOWER(C359)),"")))</f>
        <v/>
      </c>
    </row>
    <row r="360">
      <c r="A360">
        <f>ROW()-2</f>
        <v/>
      </c>
      <c r="B360">
        <f>IF(A360=1,"Pillar",IF(A360&lt;=1+Entity!$B$14,"Cluster",IF(A360&lt;=1+Entity!$B$14+Entity!$B$15,"Supporting","")))</f>
        <v/>
      </c>
      <c r="C360">
        <f>IF(B360="Cluster",INDEX(Attributes!$A$3:$A$52,MATCH(A360-1,Attributes!$P$3:$P$52,0)),IF(B360="Supporting",INDEX(Values!$A$3:$A$502,P360),""))</f>
        <v/>
      </c>
      <c r="D360">
        <f>IF(B360="Supporting",INDEX(Values!$B$3:$B$502,P360),"")</f>
        <v/>
      </c>
      <c r="E360">
        <f>IF(R360="","",UPPER(LEFT(R360,1))&amp;MID(R360,2,500))</f>
        <v/>
      </c>
      <c r="F360">
        <f>IF(E360="","",LOWER(SUBSTITUTE(SUBSTITUTE(SUBSTITUTE(SUBSTITUTE(SUBSTITUTE(SUBSTITUTE(SUBSTITUTE(TRIM(E360),":",""),",",""),"'",""),"&amp;","and"),"£",""),"  "," ")," ","-")))</f>
        <v/>
      </c>
      <c r="G360">
        <f>IF(B360="Cluster",$E$3,IF(B360="Supporting",INDEX($E$3:$E$553,MATCH(C360,$C$3:$C$553,0)),""))</f>
        <v/>
      </c>
      <c r="H360">
        <f>IF(B360="Supporting",IFERROR(INDEX($E$3:$E$553,1+Entity!$B$14+INDEX(Values!$O$3:$O$502,P360)),""),IF(B360="Cluster",IF(Entity!$B$14&lt;2,"",INDEX($E$3:$E$553,IF(A360-1=Entity!$B$14,2,A360+1))),""))</f>
        <v/>
      </c>
      <c r="I360">
        <f>IF(B360="Pillar",Entity!$B$14&amp;" cluster pages",IF(B360="Cluster",(COUNTIF($C$3:$C$553,SUBSTITUTE(SUBSTITUTE(C360,"?","~?"),"*","~*"))-1)&amp;" supporting pages",""))</f>
        <v/>
      </c>
      <c r="J360">
        <f>IF(B360="Pillar","Informational",IF(OR(B360="Cluster",B360="Supporting"),INDEX(Attributes!$D$3:$D$52,Q360)&amp;"",""))</f>
        <v/>
      </c>
      <c r="K360">
        <f>IF(B360="","",IF(B360="Pillar","Pillar guide (entity hub)",IF(B360="Cluster","Hub page for this attribute",IF(INDEX(Values!$C$3:$C$502,P360)="Yes","Entity page (profile of the sub-entity)",IFERROR(INDEX(Lists!$B$3:$B$6,MATCH(J360,Lists!$A$3:$A$6,0)),"Article")))))</f>
        <v/>
      </c>
      <c r="L360">
        <f>IF(B360="Pillar",Entity!$B$6&amp;"",IF(B360="Cluster",INDEX(Attributes!$I$3:$I$52,Q360)&amp;"",IF(B360="Supporting",INDEX(Values!$F$3:$F$502,P360)&amp;"","")))</f>
        <v/>
      </c>
      <c r="M360">
        <f>IF(B360="","",IF(L360&lt;&gt;"","Covered","Gap"))</f>
        <v/>
      </c>
      <c r="N360">
        <f>IF(B360="Pillar",SUMIFS(Values!$E$3:$E$502,Values!$I$3:$I$502,"Yes"),IF(B360="Cluster",SUMIFS(Values!$E$3:$E$502,Values!$A$3:$A$502,SUBSTITUTE(SUBSTITUTE(C360,"?","~?"),"*","~*"),Values!$I$3:$I$502,"Yes"),IF(B360="Supporting",N(INDEX(Values!$E$3:$E$502,P360)),"")))</f>
        <v/>
      </c>
      <c r="O360">
        <f>IF(B360="","",IF(B360="Pillar",100,IF(B360="Cluster",N(INDEX(Attributes!$E$3:$E$52,Q360))*25+IF(M360="Gap",10,0),N(INDEX(Attributes!$E$3:$E$52,Q360))*20+MIN(20,ROUND(LOG10(N(N360)+1)*5,0))+IF(M360="Gap",10,0)+IF(INDEX(Values!$D$3:$D$502,P360)="Yes",5,0))))</f>
        <v/>
      </c>
      <c r="P360">
        <f>IF(B360="Supporting",MATCH(A360-1-Entity!$B$14,Values!$J$3:$J$502,0),"")</f>
        <v/>
      </c>
      <c r="Q360">
        <f>IF(C360="","",MATCH(C360,Attributes!$A$3:$A$52,0))</f>
        <v/>
      </c>
      <c r="R360">
        <f>IF(B360="Pillar",SUBSTITUTE(Entity!$B$7,"{entity}",LOWER(Entity!$B$3)),IF(B360="Cluster",IF(INDEX(Attributes!$G$3:$G$52,Q360)&lt;&gt;"",INDEX(Attributes!$G$3:$G$52,Q360),SUBSTITUTE(SUBSTITUTE(Entity!$B$8,"{entity}",LOWER(Entity!$B$3)),"{attribute}",LOWER(C360))),IF(B360="Supporting",SUBSTITUTE(SUBSTITUTE(SUBSTITUTE(IF(INDEX(Attributes!$H$3:$H$52,Q360)&lt;&gt;"",INDEX(Attributes!$H$3:$H$52,Q360),Entity!$B$9),"{entity}",LOWER(Entity!$B$3)),"{value}",D360),"{attribute}",LOWER(C360)),"")))</f>
        <v/>
      </c>
    </row>
    <row r="361">
      <c r="A361">
        <f>ROW()-2</f>
        <v/>
      </c>
      <c r="B361">
        <f>IF(A361=1,"Pillar",IF(A361&lt;=1+Entity!$B$14,"Cluster",IF(A361&lt;=1+Entity!$B$14+Entity!$B$15,"Supporting","")))</f>
        <v/>
      </c>
      <c r="C361">
        <f>IF(B361="Cluster",INDEX(Attributes!$A$3:$A$52,MATCH(A361-1,Attributes!$P$3:$P$52,0)),IF(B361="Supporting",INDEX(Values!$A$3:$A$502,P361),""))</f>
        <v/>
      </c>
      <c r="D361">
        <f>IF(B361="Supporting",INDEX(Values!$B$3:$B$502,P361),"")</f>
        <v/>
      </c>
      <c r="E361">
        <f>IF(R361="","",UPPER(LEFT(R361,1))&amp;MID(R361,2,500))</f>
        <v/>
      </c>
      <c r="F361">
        <f>IF(E361="","",LOWER(SUBSTITUTE(SUBSTITUTE(SUBSTITUTE(SUBSTITUTE(SUBSTITUTE(SUBSTITUTE(SUBSTITUTE(TRIM(E361),":",""),",",""),"'",""),"&amp;","and"),"£",""),"  "," ")," ","-")))</f>
        <v/>
      </c>
      <c r="G361">
        <f>IF(B361="Cluster",$E$3,IF(B361="Supporting",INDEX($E$3:$E$553,MATCH(C361,$C$3:$C$553,0)),""))</f>
        <v/>
      </c>
      <c r="H361">
        <f>IF(B361="Supporting",IFERROR(INDEX($E$3:$E$553,1+Entity!$B$14+INDEX(Values!$O$3:$O$502,P361)),""),IF(B361="Cluster",IF(Entity!$B$14&lt;2,"",INDEX($E$3:$E$553,IF(A361-1=Entity!$B$14,2,A361+1))),""))</f>
        <v/>
      </c>
      <c r="I361">
        <f>IF(B361="Pillar",Entity!$B$14&amp;" cluster pages",IF(B361="Cluster",(COUNTIF($C$3:$C$553,SUBSTITUTE(SUBSTITUTE(C361,"?","~?"),"*","~*"))-1)&amp;" supporting pages",""))</f>
        <v/>
      </c>
      <c r="J361">
        <f>IF(B361="Pillar","Informational",IF(OR(B361="Cluster",B361="Supporting"),INDEX(Attributes!$D$3:$D$52,Q361)&amp;"",""))</f>
        <v/>
      </c>
      <c r="K361">
        <f>IF(B361="","",IF(B361="Pillar","Pillar guide (entity hub)",IF(B361="Cluster","Hub page for this attribute",IF(INDEX(Values!$C$3:$C$502,P361)="Yes","Entity page (profile of the sub-entity)",IFERROR(INDEX(Lists!$B$3:$B$6,MATCH(J361,Lists!$A$3:$A$6,0)),"Article")))))</f>
        <v/>
      </c>
      <c r="L361">
        <f>IF(B361="Pillar",Entity!$B$6&amp;"",IF(B361="Cluster",INDEX(Attributes!$I$3:$I$52,Q361)&amp;"",IF(B361="Supporting",INDEX(Values!$F$3:$F$502,P361)&amp;"","")))</f>
        <v/>
      </c>
      <c r="M361">
        <f>IF(B361="","",IF(L361&lt;&gt;"","Covered","Gap"))</f>
        <v/>
      </c>
      <c r="N361">
        <f>IF(B361="Pillar",SUMIFS(Values!$E$3:$E$502,Values!$I$3:$I$502,"Yes"),IF(B361="Cluster",SUMIFS(Values!$E$3:$E$502,Values!$A$3:$A$502,SUBSTITUTE(SUBSTITUTE(C361,"?","~?"),"*","~*"),Values!$I$3:$I$502,"Yes"),IF(B361="Supporting",N(INDEX(Values!$E$3:$E$502,P361)),"")))</f>
        <v/>
      </c>
      <c r="O361">
        <f>IF(B361="","",IF(B361="Pillar",100,IF(B361="Cluster",N(INDEX(Attributes!$E$3:$E$52,Q361))*25+IF(M361="Gap",10,0),N(INDEX(Attributes!$E$3:$E$52,Q361))*20+MIN(20,ROUND(LOG10(N(N361)+1)*5,0))+IF(M361="Gap",10,0)+IF(INDEX(Values!$D$3:$D$502,P361)="Yes",5,0))))</f>
        <v/>
      </c>
      <c r="P361">
        <f>IF(B361="Supporting",MATCH(A361-1-Entity!$B$14,Values!$J$3:$J$502,0),"")</f>
        <v/>
      </c>
      <c r="Q361">
        <f>IF(C361="","",MATCH(C361,Attributes!$A$3:$A$52,0))</f>
        <v/>
      </c>
      <c r="R361">
        <f>IF(B361="Pillar",SUBSTITUTE(Entity!$B$7,"{entity}",LOWER(Entity!$B$3)),IF(B361="Cluster",IF(INDEX(Attributes!$G$3:$G$52,Q361)&lt;&gt;"",INDEX(Attributes!$G$3:$G$52,Q361),SUBSTITUTE(SUBSTITUTE(Entity!$B$8,"{entity}",LOWER(Entity!$B$3)),"{attribute}",LOWER(C361))),IF(B361="Supporting",SUBSTITUTE(SUBSTITUTE(SUBSTITUTE(IF(INDEX(Attributes!$H$3:$H$52,Q361)&lt;&gt;"",INDEX(Attributes!$H$3:$H$52,Q361),Entity!$B$9),"{entity}",LOWER(Entity!$B$3)),"{value}",D361),"{attribute}",LOWER(C361)),"")))</f>
        <v/>
      </c>
    </row>
    <row r="362">
      <c r="A362">
        <f>ROW()-2</f>
        <v/>
      </c>
      <c r="B362">
        <f>IF(A362=1,"Pillar",IF(A362&lt;=1+Entity!$B$14,"Cluster",IF(A362&lt;=1+Entity!$B$14+Entity!$B$15,"Supporting","")))</f>
        <v/>
      </c>
      <c r="C362">
        <f>IF(B362="Cluster",INDEX(Attributes!$A$3:$A$52,MATCH(A362-1,Attributes!$P$3:$P$52,0)),IF(B362="Supporting",INDEX(Values!$A$3:$A$502,P362),""))</f>
        <v/>
      </c>
      <c r="D362">
        <f>IF(B362="Supporting",INDEX(Values!$B$3:$B$502,P362),"")</f>
        <v/>
      </c>
      <c r="E362">
        <f>IF(R362="","",UPPER(LEFT(R362,1))&amp;MID(R362,2,500))</f>
        <v/>
      </c>
      <c r="F362">
        <f>IF(E362="","",LOWER(SUBSTITUTE(SUBSTITUTE(SUBSTITUTE(SUBSTITUTE(SUBSTITUTE(SUBSTITUTE(SUBSTITUTE(TRIM(E362),":",""),",",""),"'",""),"&amp;","and"),"£",""),"  "," ")," ","-")))</f>
        <v/>
      </c>
      <c r="G362">
        <f>IF(B362="Cluster",$E$3,IF(B362="Supporting",INDEX($E$3:$E$553,MATCH(C362,$C$3:$C$553,0)),""))</f>
        <v/>
      </c>
      <c r="H362">
        <f>IF(B362="Supporting",IFERROR(INDEX($E$3:$E$553,1+Entity!$B$14+INDEX(Values!$O$3:$O$502,P362)),""),IF(B362="Cluster",IF(Entity!$B$14&lt;2,"",INDEX($E$3:$E$553,IF(A362-1=Entity!$B$14,2,A362+1))),""))</f>
        <v/>
      </c>
      <c r="I362">
        <f>IF(B362="Pillar",Entity!$B$14&amp;" cluster pages",IF(B362="Cluster",(COUNTIF($C$3:$C$553,SUBSTITUTE(SUBSTITUTE(C362,"?","~?"),"*","~*"))-1)&amp;" supporting pages",""))</f>
        <v/>
      </c>
      <c r="J362">
        <f>IF(B362="Pillar","Informational",IF(OR(B362="Cluster",B362="Supporting"),INDEX(Attributes!$D$3:$D$52,Q362)&amp;"",""))</f>
        <v/>
      </c>
      <c r="K362">
        <f>IF(B362="","",IF(B362="Pillar","Pillar guide (entity hub)",IF(B362="Cluster","Hub page for this attribute",IF(INDEX(Values!$C$3:$C$502,P362)="Yes","Entity page (profile of the sub-entity)",IFERROR(INDEX(Lists!$B$3:$B$6,MATCH(J362,Lists!$A$3:$A$6,0)),"Article")))))</f>
        <v/>
      </c>
      <c r="L362">
        <f>IF(B362="Pillar",Entity!$B$6&amp;"",IF(B362="Cluster",INDEX(Attributes!$I$3:$I$52,Q362)&amp;"",IF(B362="Supporting",INDEX(Values!$F$3:$F$502,P362)&amp;"","")))</f>
        <v/>
      </c>
      <c r="M362">
        <f>IF(B362="","",IF(L362&lt;&gt;"","Covered","Gap"))</f>
        <v/>
      </c>
      <c r="N362">
        <f>IF(B362="Pillar",SUMIFS(Values!$E$3:$E$502,Values!$I$3:$I$502,"Yes"),IF(B362="Cluster",SUMIFS(Values!$E$3:$E$502,Values!$A$3:$A$502,SUBSTITUTE(SUBSTITUTE(C362,"?","~?"),"*","~*"),Values!$I$3:$I$502,"Yes"),IF(B362="Supporting",N(INDEX(Values!$E$3:$E$502,P362)),"")))</f>
        <v/>
      </c>
      <c r="O362">
        <f>IF(B362="","",IF(B362="Pillar",100,IF(B362="Cluster",N(INDEX(Attributes!$E$3:$E$52,Q362))*25+IF(M362="Gap",10,0),N(INDEX(Attributes!$E$3:$E$52,Q362))*20+MIN(20,ROUND(LOG10(N(N362)+1)*5,0))+IF(M362="Gap",10,0)+IF(INDEX(Values!$D$3:$D$502,P362)="Yes",5,0))))</f>
        <v/>
      </c>
      <c r="P362">
        <f>IF(B362="Supporting",MATCH(A362-1-Entity!$B$14,Values!$J$3:$J$502,0),"")</f>
        <v/>
      </c>
      <c r="Q362">
        <f>IF(C362="","",MATCH(C362,Attributes!$A$3:$A$52,0))</f>
        <v/>
      </c>
      <c r="R362">
        <f>IF(B362="Pillar",SUBSTITUTE(Entity!$B$7,"{entity}",LOWER(Entity!$B$3)),IF(B362="Cluster",IF(INDEX(Attributes!$G$3:$G$52,Q362)&lt;&gt;"",INDEX(Attributes!$G$3:$G$52,Q362),SUBSTITUTE(SUBSTITUTE(Entity!$B$8,"{entity}",LOWER(Entity!$B$3)),"{attribute}",LOWER(C362))),IF(B362="Supporting",SUBSTITUTE(SUBSTITUTE(SUBSTITUTE(IF(INDEX(Attributes!$H$3:$H$52,Q362)&lt;&gt;"",INDEX(Attributes!$H$3:$H$52,Q362),Entity!$B$9),"{entity}",LOWER(Entity!$B$3)),"{value}",D362),"{attribute}",LOWER(C362)),"")))</f>
        <v/>
      </c>
    </row>
    <row r="363">
      <c r="A363">
        <f>ROW()-2</f>
        <v/>
      </c>
      <c r="B363">
        <f>IF(A363=1,"Pillar",IF(A363&lt;=1+Entity!$B$14,"Cluster",IF(A363&lt;=1+Entity!$B$14+Entity!$B$15,"Supporting","")))</f>
        <v/>
      </c>
      <c r="C363">
        <f>IF(B363="Cluster",INDEX(Attributes!$A$3:$A$52,MATCH(A363-1,Attributes!$P$3:$P$52,0)),IF(B363="Supporting",INDEX(Values!$A$3:$A$502,P363),""))</f>
        <v/>
      </c>
      <c r="D363">
        <f>IF(B363="Supporting",INDEX(Values!$B$3:$B$502,P363),"")</f>
        <v/>
      </c>
      <c r="E363">
        <f>IF(R363="","",UPPER(LEFT(R363,1))&amp;MID(R363,2,500))</f>
        <v/>
      </c>
      <c r="F363">
        <f>IF(E363="","",LOWER(SUBSTITUTE(SUBSTITUTE(SUBSTITUTE(SUBSTITUTE(SUBSTITUTE(SUBSTITUTE(SUBSTITUTE(TRIM(E363),":",""),",",""),"'",""),"&amp;","and"),"£",""),"  "," ")," ","-")))</f>
        <v/>
      </c>
      <c r="G363">
        <f>IF(B363="Cluster",$E$3,IF(B363="Supporting",INDEX($E$3:$E$553,MATCH(C363,$C$3:$C$553,0)),""))</f>
        <v/>
      </c>
      <c r="H363">
        <f>IF(B363="Supporting",IFERROR(INDEX($E$3:$E$553,1+Entity!$B$14+INDEX(Values!$O$3:$O$502,P363)),""),IF(B363="Cluster",IF(Entity!$B$14&lt;2,"",INDEX($E$3:$E$553,IF(A363-1=Entity!$B$14,2,A363+1))),""))</f>
        <v/>
      </c>
      <c r="I363">
        <f>IF(B363="Pillar",Entity!$B$14&amp;" cluster pages",IF(B363="Cluster",(COUNTIF($C$3:$C$553,SUBSTITUTE(SUBSTITUTE(C363,"?","~?"),"*","~*"))-1)&amp;" supporting pages",""))</f>
        <v/>
      </c>
      <c r="J363">
        <f>IF(B363="Pillar","Informational",IF(OR(B363="Cluster",B363="Supporting"),INDEX(Attributes!$D$3:$D$52,Q363)&amp;"",""))</f>
        <v/>
      </c>
      <c r="K363">
        <f>IF(B363="","",IF(B363="Pillar","Pillar guide (entity hub)",IF(B363="Cluster","Hub page for this attribute",IF(INDEX(Values!$C$3:$C$502,P363)="Yes","Entity page (profile of the sub-entity)",IFERROR(INDEX(Lists!$B$3:$B$6,MATCH(J363,Lists!$A$3:$A$6,0)),"Article")))))</f>
        <v/>
      </c>
      <c r="L363">
        <f>IF(B363="Pillar",Entity!$B$6&amp;"",IF(B363="Cluster",INDEX(Attributes!$I$3:$I$52,Q363)&amp;"",IF(B363="Supporting",INDEX(Values!$F$3:$F$502,P363)&amp;"","")))</f>
        <v/>
      </c>
      <c r="M363">
        <f>IF(B363="","",IF(L363&lt;&gt;"","Covered","Gap"))</f>
        <v/>
      </c>
      <c r="N363">
        <f>IF(B363="Pillar",SUMIFS(Values!$E$3:$E$502,Values!$I$3:$I$502,"Yes"),IF(B363="Cluster",SUMIFS(Values!$E$3:$E$502,Values!$A$3:$A$502,SUBSTITUTE(SUBSTITUTE(C363,"?","~?"),"*","~*"),Values!$I$3:$I$502,"Yes"),IF(B363="Supporting",N(INDEX(Values!$E$3:$E$502,P363)),"")))</f>
        <v/>
      </c>
      <c r="O363">
        <f>IF(B363="","",IF(B363="Pillar",100,IF(B363="Cluster",N(INDEX(Attributes!$E$3:$E$52,Q363))*25+IF(M363="Gap",10,0),N(INDEX(Attributes!$E$3:$E$52,Q363))*20+MIN(20,ROUND(LOG10(N(N363)+1)*5,0))+IF(M363="Gap",10,0)+IF(INDEX(Values!$D$3:$D$502,P363)="Yes",5,0))))</f>
        <v/>
      </c>
      <c r="P363">
        <f>IF(B363="Supporting",MATCH(A363-1-Entity!$B$14,Values!$J$3:$J$502,0),"")</f>
        <v/>
      </c>
      <c r="Q363">
        <f>IF(C363="","",MATCH(C363,Attributes!$A$3:$A$52,0))</f>
        <v/>
      </c>
      <c r="R363">
        <f>IF(B363="Pillar",SUBSTITUTE(Entity!$B$7,"{entity}",LOWER(Entity!$B$3)),IF(B363="Cluster",IF(INDEX(Attributes!$G$3:$G$52,Q363)&lt;&gt;"",INDEX(Attributes!$G$3:$G$52,Q363),SUBSTITUTE(SUBSTITUTE(Entity!$B$8,"{entity}",LOWER(Entity!$B$3)),"{attribute}",LOWER(C363))),IF(B363="Supporting",SUBSTITUTE(SUBSTITUTE(SUBSTITUTE(IF(INDEX(Attributes!$H$3:$H$52,Q363)&lt;&gt;"",INDEX(Attributes!$H$3:$H$52,Q363),Entity!$B$9),"{entity}",LOWER(Entity!$B$3)),"{value}",D363),"{attribute}",LOWER(C363)),"")))</f>
        <v/>
      </c>
    </row>
    <row r="364">
      <c r="A364">
        <f>ROW()-2</f>
        <v/>
      </c>
      <c r="B364">
        <f>IF(A364=1,"Pillar",IF(A364&lt;=1+Entity!$B$14,"Cluster",IF(A364&lt;=1+Entity!$B$14+Entity!$B$15,"Supporting","")))</f>
        <v/>
      </c>
      <c r="C364">
        <f>IF(B364="Cluster",INDEX(Attributes!$A$3:$A$52,MATCH(A364-1,Attributes!$P$3:$P$52,0)),IF(B364="Supporting",INDEX(Values!$A$3:$A$502,P364),""))</f>
        <v/>
      </c>
      <c r="D364">
        <f>IF(B364="Supporting",INDEX(Values!$B$3:$B$502,P364),"")</f>
        <v/>
      </c>
      <c r="E364">
        <f>IF(R364="","",UPPER(LEFT(R364,1))&amp;MID(R364,2,500))</f>
        <v/>
      </c>
      <c r="F364">
        <f>IF(E364="","",LOWER(SUBSTITUTE(SUBSTITUTE(SUBSTITUTE(SUBSTITUTE(SUBSTITUTE(SUBSTITUTE(SUBSTITUTE(TRIM(E364),":",""),",",""),"'",""),"&amp;","and"),"£",""),"  "," ")," ","-")))</f>
        <v/>
      </c>
      <c r="G364">
        <f>IF(B364="Cluster",$E$3,IF(B364="Supporting",INDEX($E$3:$E$553,MATCH(C364,$C$3:$C$553,0)),""))</f>
        <v/>
      </c>
      <c r="H364">
        <f>IF(B364="Supporting",IFERROR(INDEX($E$3:$E$553,1+Entity!$B$14+INDEX(Values!$O$3:$O$502,P364)),""),IF(B364="Cluster",IF(Entity!$B$14&lt;2,"",INDEX($E$3:$E$553,IF(A364-1=Entity!$B$14,2,A364+1))),""))</f>
        <v/>
      </c>
      <c r="I364">
        <f>IF(B364="Pillar",Entity!$B$14&amp;" cluster pages",IF(B364="Cluster",(COUNTIF($C$3:$C$553,SUBSTITUTE(SUBSTITUTE(C364,"?","~?"),"*","~*"))-1)&amp;" supporting pages",""))</f>
        <v/>
      </c>
      <c r="J364">
        <f>IF(B364="Pillar","Informational",IF(OR(B364="Cluster",B364="Supporting"),INDEX(Attributes!$D$3:$D$52,Q364)&amp;"",""))</f>
        <v/>
      </c>
      <c r="K364">
        <f>IF(B364="","",IF(B364="Pillar","Pillar guide (entity hub)",IF(B364="Cluster","Hub page for this attribute",IF(INDEX(Values!$C$3:$C$502,P364)="Yes","Entity page (profile of the sub-entity)",IFERROR(INDEX(Lists!$B$3:$B$6,MATCH(J364,Lists!$A$3:$A$6,0)),"Article")))))</f>
        <v/>
      </c>
      <c r="L364">
        <f>IF(B364="Pillar",Entity!$B$6&amp;"",IF(B364="Cluster",INDEX(Attributes!$I$3:$I$52,Q364)&amp;"",IF(B364="Supporting",INDEX(Values!$F$3:$F$502,P364)&amp;"","")))</f>
        <v/>
      </c>
      <c r="M364">
        <f>IF(B364="","",IF(L364&lt;&gt;"","Covered","Gap"))</f>
        <v/>
      </c>
      <c r="N364">
        <f>IF(B364="Pillar",SUMIFS(Values!$E$3:$E$502,Values!$I$3:$I$502,"Yes"),IF(B364="Cluster",SUMIFS(Values!$E$3:$E$502,Values!$A$3:$A$502,SUBSTITUTE(SUBSTITUTE(C364,"?","~?"),"*","~*"),Values!$I$3:$I$502,"Yes"),IF(B364="Supporting",N(INDEX(Values!$E$3:$E$502,P364)),"")))</f>
        <v/>
      </c>
      <c r="O364">
        <f>IF(B364="","",IF(B364="Pillar",100,IF(B364="Cluster",N(INDEX(Attributes!$E$3:$E$52,Q364))*25+IF(M364="Gap",10,0),N(INDEX(Attributes!$E$3:$E$52,Q364))*20+MIN(20,ROUND(LOG10(N(N364)+1)*5,0))+IF(M364="Gap",10,0)+IF(INDEX(Values!$D$3:$D$502,P364)="Yes",5,0))))</f>
        <v/>
      </c>
      <c r="P364">
        <f>IF(B364="Supporting",MATCH(A364-1-Entity!$B$14,Values!$J$3:$J$502,0),"")</f>
        <v/>
      </c>
      <c r="Q364">
        <f>IF(C364="","",MATCH(C364,Attributes!$A$3:$A$52,0))</f>
        <v/>
      </c>
      <c r="R364">
        <f>IF(B364="Pillar",SUBSTITUTE(Entity!$B$7,"{entity}",LOWER(Entity!$B$3)),IF(B364="Cluster",IF(INDEX(Attributes!$G$3:$G$52,Q364)&lt;&gt;"",INDEX(Attributes!$G$3:$G$52,Q364),SUBSTITUTE(SUBSTITUTE(Entity!$B$8,"{entity}",LOWER(Entity!$B$3)),"{attribute}",LOWER(C364))),IF(B364="Supporting",SUBSTITUTE(SUBSTITUTE(SUBSTITUTE(IF(INDEX(Attributes!$H$3:$H$52,Q364)&lt;&gt;"",INDEX(Attributes!$H$3:$H$52,Q364),Entity!$B$9),"{entity}",LOWER(Entity!$B$3)),"{value}",D364),"{attribute}",LOWER(C364)),"")))</f>
        <v/>
      </c>
    </row>
    <row r="365">
      <c r="A365">
        <f>ROW()-2</f>
        <v/>
      </c>
      <c r="B365">
        <f>IF(A365=1,"Pillar",IF(A365&lt;=1+Entity!$B$14,"Cluster",IF(A365&lt;=1+Entity!$B$14+Entity!$B$15,"Supporting","")))</f>
        <v/>
      </c>
      <c r="C365">
        <f>IF(B365="Cluster",INDEX(Attributes!$A$3:$A$52,MATCH(A365-1,Attributes!$P$3:$P$52,0)),IF(B365="Supporting",INDEX(Values!$A$3:$A$502,P365),""))</f>
        <v/>
      </c>
      <c r="D365">
        <f>IF(B365="Supporting",INDEX(Values!$B$3:$B$502,P365),"")</f>
        <v/>
      </c>
      <c r="E365">
        <f>IF(R365="","",UPPER(LEFT(R365,1))&amp;MID(R365,2,500))</f>
        <v/>
      </c>
      <c r="F365">
        <f>IF(E365="","",LOWER(SUBSTITUTE(SUBSTITUTE(SUBSTITUTE(SUBSTITUTE(SUBSTITUTE(SUBSTITUTE(SUBSTITUTE(TRIM(E365),":",""),",",""),"'",""),"&amp;","and"),"£",""),"  "," ")," ","-")))</f>
        <v/>
      </c>
      <c r="G365">
        <f>IF(B365="Cluster",$E$3,IF(B365="Supporting",INDEX($E$3:$E$553,MATCH(C365,$C$3:$C$553,0)),""))</f>
        <v/>
      </c>
      <c r="H365">
        <f>IF(B365="Supporting",IFERROR(INDEX($E$3:$E$553,1+Entity!$B$14+INDEX(Values!$O$3:$O$502,P365)),""),IF(B365="Cluster",IF(Entity!$B$14&lt;2,"",INDEX($E$3:$E$553,IF(A365-1=Entity!$B$14,2,A365+1))),""))</f>
        <v/>
      </c>
      <c r="I365">
        <f>IF(B365="Pillar",Entity!$B$14&amp;" cluster pages",IF(B365="Cluster",(COUNTIF($C$3:$C$553,SUBSTITUTE(SUBSTITUTE(C365,"?","~?"),"*","~*"))-1)&amp;" supporting pages",""))</f>
        <v/>
      </c>
      <c r="J365">
        <f>IF(B365="Pillar","Informational",IF(OR(B365="Cluster",B365="Supporting"),INDEX(Attributes!$D$3:$D$52,Q365)&amp;"",""))</f>
        <v/>
      </c>
      <c r="K365">
        <f>IF(B365="","",IF(B365="Pillar","Pillar guide (entity hub)",IF(B365="Cluster","Hub page for this attribute",IF(INDEX(Values!$C$3:$C$502,P365)="Yes","Entity page (profile of the sub-entity)",IFERROR(INDEX(Lists!$B$3:$B$6,MATCH(J365,Lists!$A$3:$A$6,0)),"Article")))))</f>
        <v/>
      </c>
      <c r="L365">
        <f>IF(B365="Pillar",Entity!$B$6&amp;"",IF(B365="Cluster",INDEX(Attributes!$I$3:$I$52,Q365)&amp;"",IF(B365="Supporting",INDEX(Values!$F$3:$F$502,P365)&amp;"","")))</f>
        <v/>
      </c>
      <c r="M365">
        <f>IF(B365="","",IF(L365&lt;&gt;"","Covered","Gap"))</f>
        <v/>
      </c>
      <c r="N365">
        <f>IF(B365="Pillar",SUMIFS(Values!$E$3:$E$502,Values!$I$3:$I$502,"Yes"),IF(B365="Cluster",SUMIFS(Values!$E$3:$E$502,Values!$A$3:$A$502,SUBSTITUTE(SUBSTITUTE(C365,"?","~?"),"*","~*"),Values!$I$3:$I$502,"Yes"),IF(B365="Supporting",N(INDEX(Values!$E$3:$E$502,P365)),"")))</f>
        <v/>
      </c>
      <c r="O365">
        <f>IF(B365="","",IF(B365="Pillar",100,IF(B365="Cluster",N(INDEX(Attributes!$E$3:$E$52,Q365))*25+IF(M365="Gap",10,0),N(INDEX(Attributes!$E$3:$E$52,Q365))*20+MIN(20,ROUND(LOG10(N(N365)+1)*5,0))+IF(M365="Gap",10,0)+IF(INDEX(Values!$D$3:$D$502,P365)="Yes",5,0))))</f>
        <v/>
      </c>
      <c r="P365">
        <f>IF(B365="Supporting",MATCH(A365-1-Entity!$B$14,Values!$J$3:$J$502,0),"")</f>
        <v/>
      </c>
      <c r="Q365">
        <f>IF(C365="","",MATCH(C365,Attributes!$A$3:$A$52,0))</f>
        <v/>
      </c>
      <c r="R365">
        <f>IF(B365="Pillar",SUBSTITUTE(Entity!$B$7,"{entity}",LOWER(Entity!$B$3)),IF(B365="Cluster",IF(INDEX(Attributes!$G$3:$G$52,Q365)&lt;&gt;"",INDEX(Attributes!$G$3:$G$52,Q365),SUBSTITUTE(SUBSTITUTE(Entity!$B$8,"{entity}",LOWER(Entity!$B$3)),"{attribute}",LOWER(C365))),IF(B365="Supporting",SUBSTITUTE(SUBSTITUTE(SUBSTITUTE(IF(INDEX(Attributes!$H$3:$H$52,Q365)&lt;&gt;"",INDEX(Attributes!$H$3:$H$52,Q365),Entity!$B$9),"{entity}",LOWER(Entity!$B$3)),"{value}",D365),"{attribute}",LOWER(C365)),"")))</f>
        <v/>
      </c>
    </row>
    <row r="366">
      <c r="A366">
        <f>ROW()-2</f>
        <v/>
      </c>
      <c r="B366">
        <f>IF(A366=1,"Pillar",IF(A366&lt;=1+Entity!$B$14,"Cluster",IF(A366&lt;=1+Entity!$B$14+Entity!$B$15,"Supporting","")))</f>
        <v/>
      </c>
      <c r="C366">
        <f>IF(B366="Cluster",INDEX(Attributes!$A$3:$A$52,MATCH(A366-1,Attributes!$P$3:$P$52,0)),IF(B366="Supporting",INDEX(Values!$A$3:$A$502,P366),""))</f>
        <v/>
      </c>
      <c r="D366">
        <f>IF(B366="Supporting",INDEX(Values!$B$3:$B$502,P366),"")</f>
        <v/>
      </c>
      <c r="E366">
        <f>IF(R366="","",UPPER(LEFT(R366,1))&amp;MID(R366,2,500))</f>
        <v/>
      </c>
      <c r="F366">
        <f>IF(E366="","",LOWER(SUBSTITUTE(SUBSTITUTE(SUBSTITUTE(SUBSTITUTE(SUBSTITUTE(SUBSTITUTE(SUBSTITUTE(TRIM(E366),":",""),",",""),"'",""),"&amp;","and"),"£",""),"  "," ")," ","-")))</f>
        <v/>
      </c>
      <c r="G366">
        <f>IF(B366="Cluster",$E$3,IF(B366="Supporting",INDEX($E$3:$E$553,MATCH(C366,$C$3:$C$553,0)),""))</f>
        <v/>
      </c>
      <c r="H366">
        <f>IF(B366="Supporting",IFERROR(INDEX($E$3:$E$553,1+Entity!$B$14+INDEX(Values!$O$3:$O$502,P366)),""),IF(B366="Cluster",IF(Entity!$B$14&lt;2,"",INDEX($E$3:$E$553,IF(A366-1=Entity!$B$14,2,A366+1))),""))</f>
        <v/>
      </c>
      <c r="I366">
        <f>IF(B366="Pillar",Entity!$B$14&amp;" cluster pages",IF(B366="Cluster",(COUNTIF($C$3:$C$553,SUBSTITUTE(SUBSTITUTE(C366,"?","~?"),"*","~*"))-1)&amp;" supporting pages",""))</f>
        <v/>
      </c>
      <c r="J366">
        <f>IF(B366="Pillar","Informational",IF(OR(B366="Cluster",B366="Supporting"),INDEX(Attributes!$D$3:$D$52,Q366)&amp;"",""))</f>
        <v/>
      </c>
      <c r="K366">
        <f>IF(B366="","",IF(B366="Pillar","Pillar guide (entity hub)",IF(B366="Cluster","Hub page for this attribute",IF(INDEX(Values!$C$3:$C$502,P366)="Yes","Entity page (profile of the sub-entity)",IFERROR(INDEX(Lists!$B$3:$B$6,MATCH(J366,Lists!$A$3:$A$6,0)),"Article")))))</f>
        <v/>
      </c>
      <c r="L366">
        <f>IF(B366="Pillar",Entity!$B$6&amp;"",IF(B366="Cluster",INDEX(Attributes!$I$3:$I$52,Q366)&amp;"",IF(B366="Supporting",INDEX(Values!$F$3:$F$502,P366)&amp;"","")))</f>
        <v/>
      </c>
      <c r="M366">
        <f>IF(B366="","",IF(L366&lt;&gt;"","Covered","Gap"))</f>
        <v/>
      </c>
      <c r="N366">
        <f>IF(B366="Pillar",SUMIFS(Values!$E$3:$E$502,Values!$I$3:$I$502,"Yes"),IF(B366="Cluster",SUMIFS(Values!$E$3:$E$502,Values!$A$3:$A$502,SUBSTITUTE(SUBSTITUTE(C366,"?","~?"),"*","~*"),Values!$I$3:$I$502,"Yes"),IF(B366="Supporting",N(INDEX(Values!$E$3:$E$502,P366)),"")))</f>
        <v/>
      </c>
      <c r="O366">
        <f>IF(B366="","",IF(B366="Pillar",100,IF(B366="Cluster",N(INDEX(Attributes!$E$3:$E$52,Q366))*25+IF(M366="Gap",10,0),N(INDEX(Attributes!$E$3:$E$52,Q366))*20+MIN(20,ROUND(LOG10(N(N366)+1)*5,0))+IF(M366="Gap",10,0)+IF(INDEX(Values!$D$3:$D$502,P366)="Yes",5,0))))</f>
        <v/>
      </c>
      <c r="P366">
        <f>IF(B366="Supporting",MATCH(A366-1-Entity!$B$14,Values!$J$3:$J$502,0),"")</f>
        <v/>
      </c>
      <c r="Q366">
        <f>IF(C366="","",MATCH(C366,Attributes!$A$3:$A$52,0))</f>
        <v/>
      </c>
      <c r="R366">
        <f>IF(B366="Pillar",SUBSTITUTE(Entity!$B$7,"{entity}",LOWER(Entity!$B$3)),IF(B366="Cluster",IF(INDEX(Attributes!$G$3:$G$52,Q366)&lt;&gt;"",INDEX(Attributes!$G$3:$G$52,Q366),SUBSTITUTE(SUBSTITUTE(Entity!$B$8,"{entity}",LOWER(Entity!$B$3)),"{attribute}",LOWER(C366))),IF(B366="Supporting",SUBSTITUTE(SUBSTITUTE(SUBSTITUTE(IF(INDEX(Attributes!$H$3:$H$52,Q366)&lt;&gt;"",INDEX(Attributes!$H$3:$H$52,Q366),Entity!$B$9),"{entity}",LOWER(Entity!$B$3)),"{value}",D366),"{attribute}",LOWER(C366)),"")))</f>
        <v/>
      </c>
    </row>
    <row r="367">
      <c r="A367">
        <f>ROW()-2</f>
        <v/>
      </c>
      <c r="B367">
        <f>IF(A367=1,"Pillar",IF(A367&lt;=1+Entity!$B$14,"Cluster",IF(A367&lt;=1+Entity!$B$14+Entity!$B$15,"Supporting","")))</f>
        <v/>
      </c>
      <c r="C367">
        <f>IF(B367="Cluster",INDEX(Attributes!$A$3:$A$52,MATCH(A367-1,Attributes!$P$3:$P$52,0)),IF(B367="Supporting",INDEX(Values!$A$3:$A$502,P367),""))</f>
        <v/>
      </c>
      <c r="D367">
        <f>IF(B367="Supporting",INDEX(Values!$B$3:$B$502,P367),"")</f>
        <v/>
      </c>
      <c r="E367">
        <f>IF(R367="","",UPPER(LEFT(R367,1))&amp;MID(R367,2,500))</f>
        <v/>
      </c>
      <c r="F367">
        <f>IF(E367="","",LOWER(SUBSTITUTE(SUBSTITUTE(SUBSTITUTE(SUBSTITUTE(SUBSTITUTE(SUBSTITUTE(SUBSTITUTE(TRIM(E367),":",""),",",""),"'",""),"&amp;","and"),"£",""),"  "," ")," ","-")))</f>
        <v/>
      </c>
      <c r="G367">
        <f>IF(B367="Cluster",$E$3,IF(B367="Supporting",INDEX($E$3:$E$553,MATCH(C367,$C$3:$C$553,0)),""))</f>
        <v/>
      </c>
      <c r="H367">
        <f>IF(B367="Supporting",IFERROR(INDEX($E$3:$E$553,1+Entity!$B$14+INDEX(Values!$O$3:$O$502,P367)),""),IF(B367="Cluster",IF(Entity!$B$14&lt;2,"",INDEX($E$3:$E$553,IF(A367-1=Entity!$B$14,2,A367+1))),""))</f>
        <v/>
      </c>
      <c r="I367">
        <f>IF(B367="Pillar",Entity!$B$14&amp;" cluster pages",IF(B367="Cluster",(COUNTIF($C$3:$C$553,SUBSTITUTE(SUBSTITUTE(C367,"?","~?"),"*","~*"))-1)&amp;" supporting pages",""))</f>
        <v/>
      </c>
      <c r="J367">
        <f>IF(B367="Pillar","Informational",IF(OR(B367="Cluster",B367="Supporting"),INDEX(Attributes!$D$3:$D$52,Q367)&amp;"",""))</f>
        <v/>
      </c>
      <c r="K367">
        <f>IF(B367="","",IF(B367="Pillar","Pillar guide (entity hub)",IF(B367="Cluster","Hub page for this attribute",IF(INDEX(Values!$C$3:$C$502,P367)="Yes","Entity page (profile of the sub-entity)",IFERROR(INDEX(Lists!$B$3:$B$6,MATCH(J367,Lists!$A$3:$A$6,0)),"Article")))))</f>
        <v/>
      </c>
      <c r="L367">
        <f>IF(B367="Pillar",Entity!$B$6&amp;"",IF(B367="Cluster",INDEX(Attributes!$I$3:$I$52,Q367)&amp;"",IF(B367="Supporting",INDEX(Values!$F$3:$F$502,P367)&amp;"","")))</f>
        <v/>
      </c>
      <c r="M367">
        <f>IF(B367="","",IF(L367&lt;&gt;"","Covered","Gap"))</f>
        <v/>
      </c>
      <c r="N367">
        <f>IF(B367="Pillar",SUMIFS(Values!$E$3:$E$502,Values!$I$3:$I$502,"Yes"),IF(B367="Cluster",SUMIFS(Values!$E$3:$E$502,Values!$A$3:$A$502,SUBSTITUTE(SUBSTITUTE(C367,"?","~?"),"*","~*"),Values!$I$3:$I$502,"Yes"),IF(B367="Supporting",N(INDEX(Values!$E$3:$E$502,P367)),"")))</f>
        <v/>
      </c>
      <c r="O367">
        <f>IF(B367="","",IF(B367="Pillar",100,IF(B367="Cluster",N(INDEX(Attributes!$E$3:$E$52,Q367))*25+IF(M367="Gap",10,0),N(INDEX(Attributes!$E$3:$E$52,Q367))*20+MIN(20,ROUND(LOG10(N(N367)+1)*5,0))+IF(M367="Gap",10,0)+IF(INDEX(Values!$D$3:$D$502,P367)="Yes",5,0))))</f>
        <v/>
      </c>
      <c r="P367">
        <f>IF(B367="Supporting",MATCH(A367-1-Entity!$B$14,Values!$J$3:$J$502,0),"")</f>
        <v/>
      </c>
      <c r="Q367">
        <f>IF(C367="","",MATCH(C367,Attributes!$A$3:$A$52,0))</f>
        <v/>
      </c>
      <c r="R367">
        <f>IF(B367="Pillar",SUBSTITUTE(Entity!$B$7,"{entity}",LOWER(Entity!$B$3)),IF(B367="Cluster",IF(INDEX(Attributes!$G$3:$G$52,Q367)&lt;&gt;"",INDEX(Attributes!$G$3:$G$52,Q367),SUBSTITUTE(SUBSTITUTE(Entity!$B$8,"{entity}",LOWER(Entity!$B$3)),"{attribute}",LOWER(C367))),IF(B367="Supporting",SUBSTITUTE(SUBSTITUTE(SUBSTITUTE(IF(INDEX(Attributes!$H$3:$H$52,Q367)&lt;&gt;"",INDEX(Attributes!$H$3:$H$52,Q367),Entity!$B$9),"{entity}",LOWER(Entity!$B$3)),"{value}",D367),"{attribute}",LOWER(C367)),"")))</f>
        <v/>
      </c>
    </row>
    <row r="368">
      <c r="A368">
        <f>ROW()-2</f>
        <v/>
      </c>
      <c r="B368">
        <f>IF(A368=1,"Pillar",IF(A368&lt;=1+Entity!$B$14,"Cluster",IF(A368&lt;=1+Entity!$B$14+Entity!$B$15,"Supporting","")))</f>
        <v/>
      </c>
      <c r="C368">
        <f>IF(B368="Cluster",INDEX(Attributes!$A$3:$A$52,MATCH(A368-1,Attributes!$P$3:$P$52,0)),IF(B368="Supporting",INDEX(Values!$A$3:$A$502,P368),""))</f>
        <v/>
      </c>
      <c r="D368">
        <f>IF(B368="Supporting",INDEX(Values!$B$3:$B$502,P368),"")</f>
        <v/>
      </c>
      <c r="E368">
        <f>IF(R368="","",UPPER(LEFT(R368,1))&amp;MID(R368,2,500))</f>
        <v/>
      </c>
      <c r="F368">
        <f>IF(E368="","",LOWER(SUBSTITUTE(SUBSTITUTE(SUBSTITUTE(SUBSTITUTE(SUBSTITUTE(SUBSTITUTE(SUBSTITUTE(TRIM(E368),":",""),",",""),"'",""),"&amp;","and"),"£",""),"  "," ")," ","-")))</f>
        <v/>
      </c>
      <c r="G368">
        <f>IF(B368="Cluster",$E$3,IF(B368="Supporting",INDEX($E$3:$E$553,MATCH(C368,$C$3:$C$553,0)),""))</f>
        <v/>
      </c>
      <c r="H368">
        <f>IF(B368="Supporting",IFERROR(INDEX($E$3:$E$553,1+Entity!$B$14+INDEX(Values!$O$3:$O$502,P368)),""),IF(B368="Cluster",IF(Entity!$B$14&lt;2,"",INDEX($E$3:$E$553,IF(A368-1=Entity!$B$14,2,A368+1))),""))</f>
        <v/>
      </c>
      <c r="I368">
        <f>IF(B368="Pillar",Entity!$B$14&amp;" cluster pages",IF(B368="Cluster",(COUNTIF($C$3:$C$553,SUBSTITUTE(SUBSTITUTE(C368,"?","~?"),"*","~*"))-1)&amp;" supporting pages",""))</f>
        <v/>
      </c>
      <c r="J368">
        <f>IF(B368="Pillar","Informational",IF(OR(B368="Cluster",B368="Supporting"),INDEX(Attributes!$D$3:$D$52,Q368)&amp;"",""))</f>
        <v/>
      </c>
      <c r="K368">
        <f>IF(B368="","",IF(B368="Pillar","Pillar guide (entity hub)",IF(B368="Cluster","Hub page for this attribute",IF(INDEX(Values!$C$3:$C$502,P368)="Yes","Entity page (profile of the sub-entity)",IFERROR(INDEX(Lists!$B$3:$B$6,MATCH(J368,Lists!$A$3:$A$6,0)),"Article")))))</f>
        <v/>
      </c>
      <c r="L368">
        <f>IF(B368="Pillar",Entity!$B$6&amp;"",IF(B368="Cluster",INDEX(Attributes!$I$3:$I$52,Q368)&amp;"",IF(B368="Supporting",INDEX(Values!$F$3:$F$502,P368)&amp;"","")))</f>
        <v/>
      </c>
      <c r="M368">
        <f>IF(B368="","",IF(L368&lt;&gt;"","Covered","Gap"))</f>
        <v/>
      </c>
      <c r="N368">
        <f>IF(B368="Pillar",SUMIFS(Values!$E$3:$E$502,Values!$I$3:$I$502,"Yes"),IF(B368="Cluster",SUMIFS(Values!$E$3:$E$502,Values!$A$3:$A$502,SUBSTITUTE(SUBSTITUTE(C368,"?","~?"),"*","~*"),Values!$I$3:$I$502,"Yes"),IF(B368="Supporting",N(INDEX(Values!$E$3:$E$502,P368)),"")))</f>
        <v/>
      </c>
      <c r="O368">
        <f>IF(B368="","",IF(B368="Pillar",100,IF(B368="Cluster",N(INDEX(Attributes!$E$3:$E$52,Q368))*25+IF(M368="Gap",10,0),N(INDEX(Attributes!$E$3:$E$52,Q368))*20+MIN(20,ROUND(LOG10(N(N368)+1)*5,0))+IF(M368="Gap",10,0)+IF(INDEX(Values!$D$3:$D$502,P368)="Yes",5,0))))</f>
        <v/>
      </c>
      <c r="P368">
        <f>IF(B368="Supporting",MATCH(A368-1-Entity!$B$14,Values!$J$3:$J$502,0),"")</f>
        <v/>
      </c>
      <c r="Q368">
        <f>IF(C368="","",MATCH(C368,Attributes!$A$3:$A$52,0))</f>
        <v/>
      </c>
      <c r="R368">
        <f>IF(B368="Pillar",SUBSTITUTE(Entity!$B$7,"{entity}",LOWER(Entity!$B$3)),IF(B368="Cluster",IF(INDEX(Attributes!$G$3:$G$52,Q368)&lt;&gt;"",INDEX(Attributes!$G$3:$G$52,Q368),SUBSTITUTE(SUBSTITUTE(Entity!$B$8,"{entity}",LOWER(Entity!$B$3)),"{attribute}",LOWER(C368))),IF(B368="Supporting",SUBSTITUTE(SUBSTITUTE(SUBSTITUTE(IF(INDEX(Attributes!$H$3:$H$52,Q368)&lt;&gt;"",INDEX(Attributes!$H$3:$H$52,Q368),Entity!$B$9),"{entity}",LOWER(Entity!$B$3)),"{value}",D368),"{attribute}",LOWER(C368)),"")))</f>
        <v/>
      </c>
    </row>
    <row r="369">
      <c r="A369">
        <f>ROW()-2</f>
        <v/>
      </c>
      <c r="B369">
        <f>IF(A369=1,"Pillar",IF(A369&lt;=1+Entity!$B$14,"Cluster",IF(A369&lt;=1+Entity!$B$14+Entity!$B$15,"Supporting","")))</f>
        <v/>
      </c>
      <c r="C369">
        <f>IF(B369="Cluster",INDEX(Attributes!$A$3:$A$52,MATCH(A369-1,Attributes!$P$3:$P$52,0)),IF(B369="Supporting",INDEX(Values!$A$3:$A$502,P369),""))</f>
        <v/>
      </c>
      <c r="D369">
        <f>IF(B369="Supporting",INDEX(Values!$B$3:$B$502,P369),"")</f>
        <v/>
      </c>
      <c r="E369">
        <f>IF(R369="","",UPPER(LEFT(R369,1))&amp;MID(R369,2,500))</f>
        <v/>
      </c>
      <c r="F369">
        <f>IF(E369="","",LOWER(SUBSTITUTE(SUBSTITUTE(SUBSTITUTE(SUBSTITUTE(SUBSTITUTE(SUBSTITUTE(SUBSTITUTE(TRIM(E369),":",""),",",""),"'",""),"&amp;","and"),"£",""),"  "," ")," ","-")))</f>
        <v/>
      </c>
      <c r="G369">
        <f>IF(B369="Cluster",$E$3,IF(B369="Supporting",INDEX($E$3:$E$553,MATCH(C369,$C$3:$C$553,0)),""))</f>
        <v/>
      </c>
      <c r="H369">
        <f>IF(B369="Supporting",IFERROR(INDEX($E$3:$E$553,1+Entity!$B$14+INDEX(Values!$O$3:$O$502,P369)),""),IF(B369="Cluster",IF(Entity!$B$14&lt;2,"",INDEX($E$3:$E$553,IF(A369-1=Entity!$B$14,2,A369+1))),""))</f>
        <v/>
      </c>
      <c r="I369">
        <f>IF(B369="Pillar",Entity!$B$14&amp;" cluster pages",IF(B369="Cluster",(COUNTIF($C$3:$C$553,SUBSTITUTE(SUBSTITUTE(C369,"?","~?"),"*","~*"))-1)&amp;" supporting pages",""))</f>
        <v/>
      </c>
      <c r="J369">
        <f>IF(B369="Pillar","Informational",IF(OR(B369="Cluster",B369="Supporting"),INDEX(Attributes!$D$3:$D$52,Q369)&amp;"",""))</f>
        <v/>
      </c>
      <c r="K369">
        <f>IF(B369="","",IF(B369="Pillar","Pillar guide (entity hub)",IF(B369="Cluster","Hub page for this attribute",IF(INDEX(Values!$C$3:$C$502,P369)="Yes","Entity page (profile of the sub-entity)",IFERROR(INDEX(Lists!$B$3:$B$6,MATCH(J369,Lists!$A$3:$A$6,0)),"Article")))))</f>
        <v/>
      </c>
      <c r="L369">
        <f>IF(B369="Pillar",Entity!$B$6&amp;"",IF(B369="Cluster",INDEX(Attributes!$I$3:$I$52,Q369)&amp;"",IF(B369="Supporting",INDEX(Values!$F$3:$F$502,P369)&amp;"","")))</f>
        <v/>
      </c>
      <c r="M369">
        <f>IF(B369="","",IF(L369&lt;&gt;"","Covered","Gap"))</f>
        <v/>
      </c>
      <c r="N369">
        <f>IF(B369="Pillar",SUMIFS(Values!$E$3:$E$502,Values!$I$3:$I$502,"Yes"),IF(B369="Cluster",SUMIFS(Values!$E$3:$E$502,Values!$A$3:$A$502,SUBSTITUTE(SUBSTITUTE(C369,"?","~?"),"*","~*"),Values!$I$3:$I$502,"Yes"),IF(B369="Supporting",N(INDEX(Values!$E$3:$E$502,P369)),"")))</f>
        <v/>
      </c>
      <c r="O369">
        <f>IF(B369="","",IF(B369="Pillar",100,IF(B369="Cluster",N(INDEX(Attributes!$E$3:$E$52,Q369))*25+IF(M369="Gap",10,0),N(INDEX(Attributes!$E$3:$E$52,Q369))*20+MIN(20,ROUND(LOG10(N(N369)+1)*5,0))+IF(M369="Gap",10,0)+IF(INDEX(Values!$D$3:$D$502,P369)="Yes",5,0))))</f>
        <v/>
      </c>
      <c r="P369">
        <f>IF(B369="Supporting",MATCH(A369-1-Entity!$B$14,Values!$J$3:$J$502,0),"")</f>
        <v/>
      </c>
      <c r="Q369">
        <f>IF(C369="","",MATCH(C369,Attributes!$A$3:$A$52,0))</f>
        <v/>
      </c>
      <c r="R369">
        <f>IF(B369="Pillar",SUBSTITUTE(Entity!$B$7,"{entity}",LOWER(Entity!$B$3)),IF(B369="Cluster",IF(INDEX(Attributes!$G$3:$G$52,Q369)&lt;&gt;"",INDEX(Attributes!$G$3:$G$52,Q369),SUBSTITUTE(SUBSTITUTE(Entity!$B$8,"{entity}",LOWER(Entity!$B$3)),"{attribute}",LOWER(C369))),IF(B369="Supporting",SUBSTITUTE(SUBSTITUTE(SUBSTITUTE(IF(INDEX(Attributes!$H$3:$H$52,Q369)&lt;&gt;"",INDEX(Attributes!$H$3:$H$52,Q369),Entity!$B$9),"{entity}",LOWER(Entity!$B$3)),"{value}",D369),"{attribute}",LOWER(C369)),"")))</f>
        <v/>
      </c>
    </row>
    <row r="370">
      <c r="A370">
        <f>ROW()-2</f>
        <v/>
      </c>
      <c r="B370">
        <f>IF(A370=1,"Pillar",IF(A370&lt;=1+Entity!$B$14,"Cluster",IF(A370&lt;=1+Entity!$B$14+Entity!$B$15,"Supporting","")))</f>
        <v/>
      </c>
      <c r="C370">
        <f>IF(B370="Cluster",INDEX(Attributes!$A$3:$A$52,MATCH(A370-1,Attributes!$P$3:$P$52,0)),IF(B370="Supporting",INDEX(Values!$A$3:$A$502,P370),""))</f>
        <v/>
      </c>
      <c r="D370">
        <f>IF(B370="Supporting",INDEX(Values!$B$3:$B$502,P370),"")</f>
        <v/>
      </c>
      <c r="E370">
        <f>IF(R370="","",UPPER(LEFT(R370,1))&amp;MID(R370,2,500))</f>
        <v/>
      </c>
      <c r="F370">
        <f>IF(E370="","",LOWER(SUBSTITUTE(SUBSTITUTE(SUBSTITUTE(SUBSTITUTE(SUBSTITUTE(SUBSTITUTE(SUBSTITUTE(TRIM(E370),":",""),",",""),"'",""),"&amp;","and"),"£",""),"  "," ")," ","-")))</f>
        <v/>
      </c>
      <c r="G370">
        <f>IF(B370="Cluster",$E$3,IF(B370="Supporting",INDEX($E$3:$E$553,MATCH(C370,$C$3:$C$553,0)),""))</f>
        <v/>
      </c>
      <c r="H370">
        <f>IF(B370="Supporting",IFERROR(INDEX($E$3:$E$553,1+Entity!$B$14+INDEX(Values!$O$3:$O$502,P370)),""),IF(B370="Cluster",IF(Entity!$B$14&lt;2,"",INDEX($E$3:$E$553,IF(A370-1=Entity!$B$14,2,A370+1))),""))</f>
        <v/>
      </c>
      <c r="I370">
        <f>IF(B370="Pillar",Entity!$B$14&amp;" cluster pages",IF(B370="Cluster",(COUNTIF($C$3:$C$553,SUBSTITUTE(SUBSTITUTE(C370,"?","~?"),"*","~*"))-1)&amp;" supporting pages",""))</f>
        <v/>
      </c>
      <c r="J370">
        <f>IF(B370="Pillar","Informational",IF(OR(B370="Cluster",B370="Supporting"),INDEX(Attributes!$D$3:$D$52,Q370)&amp;"",""))</f>
        <v/>
      </c>
      <c r="K370">
        <f>IF(B370="","",IF(B370="Pillar","Pillar guide (entity hub)",IF(B370="Cluster","Hub page for this attribute",IF(INDEX(Values!$C$3:$C$502,P370)="Yes","Entity page (profile of the sub-entity)",IFERROR(INDEX(Lists!$B$3:$B$6,MATCH(J370,Lists!$A$3:$A$6,0)),"Article")))))</f>
        <v/>
      </c>
      <c r="L370">
        <f>IF(B370="Pillar",Entity!$B$6&amp;"",IF(B370="Cluster",INDEX(Attributes!$I$3:$I$52,Q370)&amp;"",IF(B370="Supporting",INDEX(Values!$F$3:$F$502,P370)&amp;"","")))</f>
        <v/>
      </c>
      <c r="M370">
        <f>IF(B370="","",IF(L370&lt;&gt;"","Covered","Gap"))</f>
        <v/>
      </c>
      <c r="N370">
        <f>IF(B370="Pillar",SUMIFS(Values!$E$3:$E$502,Values!$I$3:$I$502,"Yes"),IF(B370="Cluster",SUMIFS(Values!$E$3:$E$502,Values!$A$3:$A$502,SUBSTITUTE(SUBSTITUTE(C370,"?","~?"),"*","~*"),Values!$I$3:$I$502,"Yes"),IF(B370="Supporting",N(INDEX(Values!$E$3:$E$502,P370)),"")))</f>
        <v/>
      </c>
      <c r="O370">
        <f>IF(B370="","",IF(B370="Pillar",100,IF(B370="Cluster",N(INDEX(Attributes!$E$3:$E$52,Q370))*25+IF(M370="Gap",10,0),N(INDEX(Attributes!$E$3:$E$52,Q370))*20+MIN(20,ROUND(LOG10(N(N370)+1)*5,0))+IF(M370="Gap",10,0)+IF(INDEX(Values!$D$3:$D$502,P370)="Yes",5,0))))</f>
        <v/>
      </c>
      <c r="P370">
        <f>IF(B370="Supporting",MATCH(A370-1-Entity!$B$14,Values!$J$3:$J$502,0),"")</f>
        <v/>
      </c>
      <c r="Q370">
        <f>IF(C370="","",MATCH(C370,Attributes!$A$3:$A$52,0))</f>
        <v/>
      </c>
      <c r="R370">
        <f>IF(B370="Pillar",SUBSTITUTE(Entity!$B$7,"{entity}",LOWER(Entity!$B$3)),IF(B370="Cluster",IF(INDEX(Attributes!$G$3:$G$52,Q370)&lt;&gt;"",INDEX(Attributes!$G$3:$G$52,Q370),SUBSTITUTE(SUBSTITUTE(Entity!$B$8,"{entity}",LOWER(Entity!$B$3)),"{attribute}",LOWER(C370))),IF(B370="Supporting",SUBSTITUTE(SUBSTITUTE(SUBSTITUTE(IF(INDEX(Attributes!$H$3:$H$52,Q370)&lt;&gt;"",INDEX(Attributes!$H$3:$H$52,Q370),Entity!$B$9),"{entity}",LOWER(Entity!$B$3)),"{value}",D370),"{attribute}",LOWER(C370)),"")))</f>
        <v/>
      </c>
    </row>
    <row r="371">
      <c r="A371">
        <f>ROW()-2</f>
        <v/>
      </c>
      <c r="B371">
        <f>IF(A371=1,"Pillar",IF(A371&lt;=1+Entity!$B$14,"Cluster",IF(A371&lt;=1+Entity!$B$14+Entity!$B$15,"Supporting","")))</f>
        <v/>
      </c>
      <c r="C371">
        <f>IF(B371="Cluster",INDEX(Attributes!$A$3:$A$52,MATCH(A371-1,Attributes!$P$3:$P$52,0)),IF(B371="Supporting",INDEX(Values!$A$3:$A$502,P371),""))</f>
        <v/>
      </c>
      <c r="D371">
        <f>IF(B371="Supporting",INDEX(Values!$B$3:$B$502,P371),"")</f>
        <v/>
      </c>
      <c r="E371">
        <f>IF(R371="","",UPPER(LEFT(R371,1))&amp;MID(R371,2,500))</f>
        <v/>
      </c>
      <c r="F371">
        <f>IF(E371="","",LOWER(SUBSTITUTE(SUBSTITUTE(SUBSTITUTE(SUBSTITUTE(SUBSTITUTE(SUBSTITUTE(SUBSTITUTE(TRIM(E371),":",""),",",""),"'",""),"&amp;","and"),"£",""),"  "," ")," ","-")))</f>
        <v/>
      </c>
      <c r="G371">
        <f>IF(B371="Cluster",$E$3,IF(B371="Supporting",INDEX($E$3:$E$553,MATCH(C371,$C$3:$C$553,0)),""))</f>
        <v/>
      </c>
      <c r="H371">
        <f>IF(B371="Supporting",IFERROR(INDEX($E$3:$E$553,1+Entity!$B$14+INDEX(Values!$O$3:$O$502,P371)),""),IF(B371="Cluster",IF(Entity!$B$14&lt;2,"",INDEX($E$3:$E$553,IF(A371-1=Entity!$B$14,2,A371+1))),""))</f>
        <v/>
      </c>
      <c r="I371">
        <f>IF(B371="Pillar",Entity!$B$14&amp;" cluster pages",IF(B371="Cluster",(COUNTIF($C$3:$C$553,SUBSTITUTE(SUBSTITUTE(C371,"?","~?"),"*","~*"))-1)&amp;" supporting pages",""))</f>
        <v/>
      </c>
      <c r="J371">
        <f>IF(B371="Pillar","Informational",IF(OR(B371="Cluster",B371="Supporting"),INDEX(Attributes!$D$3:$D$52,Q371)&amp;"",""))</f>
        <v/>
      </c>
      <c r="K371">
        <f>IF(B371="","",IF(B371="Pillar","Pillar guide (entity hub)",IF(B371="Cluster","Hub page for this attribute",IF(INDEX(Values!$C$3:$C$502,P371)="Yes","Entity page (profile of the sub-entity)",IFERROR(INDEX(Lists!$B$3:$B$6,MATCH(J371,Lists!$A$3:$A$6,0)),"Article")))))</f>
        <v/>
      </c>
      <c r="L371">
        <f>IF(B371="Pillar",Entity!$B$6&amp;"",IF(B371="Cluster",INDEX(Attributes!$I$3:$I$52,Q371)&amp;"",IF(B371="Supporting",INDEX(Values!$F$3:$F$502,P371)&amp;"","")))</f>
        <v/>
      </c>
      <c r="M371">
        <f>IF(B371="","",IF(L371&lt;&gt;"","Covered","Gap"))</f>
        <v/>
      </c>
      <c r="N371">
        <f>IF(B371="Pillar",SUMIFS(Values!$E$3:$E$502,Values!$I$3:$I$502,"Yes"),IF(B371="Cluster",SUMIFS(Values!$E$3:$E$502,Values!$A$3:$A$502,SUBSTITUTE(SUBSTITUTE(C371,"?","~?"),"*","~*"),Values!$I$3:$I$502,"Yes"),IF(B371="Supporting",N(INDEX(Values!$E$3:$E$502,P371)),"")))</f>
        <v/>
      </c>
      <c r="O371">
        <f>IF(B371="","",IF(B371="Pillar",100,IF(B371="Cluster",N(INDEX(Attributes!$E$3:$E$52,Q371))*25+IF(M371="Gap",10,0),N(INDEX(Attributes!$E$3:$E$52,Q371))*20+MIN(20,ROUND(LOG10(N(N371)+1)*5,0))+IF(M371="Gap",10,0)+IF(INDEX(Values!$D$3:$D$502,P371)="Yes",5,0))))</f>
        <v/>
      </c>
      <c r="P371">
        <f>IF(B371="Supporting",MATCH(A371-1-Entity!$B$14,Values!$J$3:$J$502,0),"")</f>
        <v/>
      </c>
      <c r="Q371">
        <f>IF(C371="","",MATCH(C371,Attributes!$A$3:$A$52,0))</f>
        <v/>
      </c>
      <c r="R371">
        <f>IF(B371="Pillar",SUBSTITUTE(Entity!$B$7,"{entity}",LOWER(Entity!$B$3)),IF(B371="Cluster",IF(INDEX(Attributes!$G$3:$G$52,Q371)&lt;&gt;"",INDEX(Attributes!$G$3:$G$52,Q371),SUBSTITUTE(SUBSTITUTE(Entity!$B$8,"{entity}",LOWER(Entity!$B$3)),"{attribute}",LOWER(C371))),IF(B371="Supporting",SUBSTITUTE(SUBSTITUTE(SUBSTITUTE(IF(INDEX(Attributes!$H$3:$H$52,Q371)&lt;&gt;"",INDEX(Attributes!$H$3:$H$52,Q371),Entity!$B$9),"{entity}",LOWER(Entity!$B$3)),"{value}",D371),"{attribute}",LOWER(C371)),"")))</f>
        <v/>
      </c>
    </row>
    <row r="372">
      <c r="A372">
        <f>ROW()-2</f>
        <v/>
      </c>
      <c r="B372">
        <f>IF(A372=1,"Pillar",IF(A372&lt;=1+Entity!$B$14,"Cluster",IF(A372&lt;=1+Entity!$B$14+Entity!$B$15,"Supporting","")))</f>
        <v/>
      </c>
      <c r="C372">
        <f>IF(B372="Cluster",INDEX(Attributes!$A$3:$A$52,MATCH(A372-1,Attributes!$P$3:$P$52,0)),IF(B372="Supporting",INDEX(Values!$A$3:$A$502,P372),""))</f>
        <v/>
      </c>
      <c r="D372">
        <f>IF(B372="Supporting",INDEX(Values!$B$3:$B$502,P372),"")</f>
        <v/>
      </c>
      <c r="E372">
        <f>IF(R372="","",UPPER(LEFT(R372,1))&amp;MID(R372,2,500))</f>
        <v/>
      </c>
      <c r="F372">
        <f>IF(E372="","",LOWER(SUBSTITUTE(SUBSTITUTE(SUBSTITUTE(SUBSTITUTE(SUBSTITUTE(SUBSTITUTE(SUBSTITUTE(TRIM(E372),":",""),",",""),"'",""),"&amp;","and"),"£",""),"  "," ")," ","-")))</f>
        <v/>
      </c>
      <c r="G372">
        <f>IF(B372="Cluster",$E$3,IF(B372="Supporting",INDEX($E$3:$E$553,MATCH(C372,$C$3:$C$553,0)),""))</f>
        <v/>
      </c>
      <c r="H372">
        <f>IF(B372="Supporting",IFERROR(INDEX($E$3:$E$553,1+Entity!$B$14+INDEX(Values!$O$3:$O$502,P372)),""),IF(B372="Cluster",IF(Entity!$B$14&lt;2,"",INDEX($E$3:$E$553,IF(A372-1=Entity!$B$14,2,A372+1))),""))</f>
        <v/>
      </c>
      <c r="I372">
        <f>IF(B372="Pillar",Entity!$B$14&amp;" cluster pages",IF(B372="Cluster",(COUNTIF($C$3:$C$553,SUBSTITUTE(SUBSTITUTE(C372,"?","~?"),"*","~*"))-1)&amp;" supporting pages",""))</f>
        <v/>
      </c>
      <c r="J372">
        <f>IF(B372="Pillar","Informational",IF(OR(B372="Cluster",B372="Supporting"),INDEX(Attributes!$D$3:$D$52,Q372)&amp;"",""))</f>
        <v/>
      </c>
      <c r="K372">
        <f>IF(B372="","",IF(B372="Pillar","Pillar guide (entity hub)",IF(B372="Cluster","Hub page for this attribute",IF(INDEX(Values!$C$3:$C$502,P372)="Yes","Entity page (profile of the sub-entity)",IFERROR(INDEX(Lists!$B$3:$B$6,MATCH(J372,Lists!$A$3:$A$6,0)),"Article")))))</f>
        <v/>
      </c>
      <c r="L372">
        <f>IF(B372="Pillar",Entity!$B$6&amp;"",IF(B372="Cluster",INDEX(Attributes!$I$3:$I$52,Q372)&amp;"",IF(B372="Supporting",INDEX(Values!$F$3:$F$502,P372)&amp;"","")))</f>
        <v/>
      </c>
      <c r="M372">
        <f>IF(B372="","",IF(L372&lt;&gt;"","Covered","Gap"))</f>
        <v/>
      </c>
      <c r="N372">
        <f>IF(B372="Pillar",SUMIFS(Values!$E$3:$E$502,Values!$I$3:$I$502,"Yes"),IF(B372="Cluster",SUMIFS(Values!$E$3:$E$502,Values!$A$3:$A$502,SUBSTITUTE(SUBSTITUTE(C372,"?","~?"),"*","~*"),Values!$I$3:$I$502,"Yes"),IF(B372="Supporting",N(INDEX(Values!$E$3:$E$502,P372)),"")))</f>
        <v/>
      </c>
      <c r="O372">
        <f>IF(B372="","",IF(B372="Pillar",100,IF(B372="Cluster",N(INDEX(Attributes!$E$3:$E$52,Q372))*25+IF(M372="Gap",10,0),N(INDEX(Attributes!$E$3:$E$52,Q372))*20+MIN(20,ROUND(LOG10(N(N372)+1)*5,0))+IF(M372="Gap",10,0)+IF(INDEX(Values!$D$3:$D$502,P372)="Yes",5,0))))</f>
        <v/>
      </c>
      <c r="P372">
        <f>IF(B372="Supporting",MATCH(A372-1-Entity!$B$14,Values!$J$3:$J$502,0),"")</f>
        <v/>
      </c>
      <c r="Q372">
        <f>IF(C372="","",MATCH(C372,Attributes!$A$3:$A$52,0))</f>
        <v/>
      </c>
      <c r="R372">
        <f>IF(B372="Pillar",SUBSTITUTE(Entity!$B$7,"{entity}",LOWER(Entity!$B$3)),IF(B372="Cluster",IF(INDEX(Attributes!$G$3:$G$52,Q372)&lt;&gt;"",INDEX(Attributes!$G$3:$G$52,Q372),SUBSTITUTE(SUBSTITUTE(Entity!$B$8,"{entity}",LOWER(Entity!$B$3)),"{attribute}",LOWER(C372))),IF(B372="Supporting",SUBSTITUTE(SUBSTITUTE(SUBSTITUTE(IF(INDEX(Attributes!$H$3:$H$52,Q372)&lt;&gt;"",INDEX(Attributes!$H$3:$H$52,Q372),Entity!$B$9),"{entity}",LOWER(Entity!$B$3)),"{value}",D372),"{attribute}",LOWER(C372)),"")))</f>
        <v/>
      </c>
    </row>
    <row r="373">
      <c r="A373">
        <f>ROW()-2</f>
        <v/>
      </c>
      <c r="B373">
        <f>IF(A373=1,"Pillar",IF(A373&lt;=1+Entity!$B$14,"Cluster",IF(A373&lt;=1+Entity!$B$14+Entity!$B$15,"Supporting","")))</f>
        <v/>
      </c>
      <c r="C373">
        <f>IF(B373="Cluster",INDEX(Attributes!$A$3:$A$52,MATCH(A373-1,Attributes!$P$3:$P$52,0)),IF(B373="Supporting",INDEX(Values!$A$3:$A$502,P373),""))</f>
        <v/>
      </c>
      <c r="D373">
        <f>IF(B373="Supporting",INDEX(Values!$B$3:$B$502,P373),"")</f>
        <v/>
      </c>
      <c r="E373">
        <f>IF(R373="","",UPPER(LEFT(R373,1))&amp;MID(R373,2,500))</f>
        <v/>
      </c>
      <c r="F373">
        <f>IF(E373="","",LOWER(SUBSTITUTE(SUBSTITUTE(SUBSTITUTE(SUBSTITUTE(SUBSTITUTE(SUBSTITUTE(SUBSTITUTE(TRIM(E373),":",""),",",""),"'",""),"&amp;","and"),"£",""),"  "," ")," ","-")))</f>
        <v/>
      </c>
      <c r="G373">
        <f>IF(B373="Cluster",$E$3,IF(B373="Supporting",INDEX($E$3:$E$553,MATCH(C373,$C$3:$C$553,0)),""))</f>
        <v/>
      </c>
      <c r="H373">
        <f>IF(B373="Supporting",IFERROR(INDEX($E$3:$E$553,1+Entity!$B$14+INDEX(Values!$O$3:$O$502,P373)),""),IF(B373="Cluster",IF(Entity!$B$14&lt;2,"",INDEX($E$3:$E$553,IF(A373-1=Entity!$B$14,2,A373+1))),""))</f>
        <v/>
      </c>
      <c r="I373">
        <f>IF(B373="Pillar",Entity!$B$14&amp;" cluster pages",IF(B373="Cluster",(COUNTIF($C$3:$C$553,SUBSTITUTE(SUBSTITUTE(C373,"?","~?"),"*","~*"))-1)&amp;" supporting pages",""))</f>
        <v/>
      </c>
      <c r="J373">
        <f>IF(B373="Pillar","Informational",IF(OR(B373="Cluster",B373="Supporting"),INDEX(Attributes!$D$3:$D$52,Q373)&amp;"",""))</f>
        <v/>
      </c>
      <c r="K373">
        <f>IF(B373="","",IF(B373="Pillar","Pillar guide (entity hub)",IF(B373="Cluster","Hub page for this attribute",IF(INDEX(Values!$C$3:$C$502,P373)="Yes","Entity page (profile of the sub-entity)",IFERROR(INDEX(Lists!$B$3:$B$6,MATCH(J373,Lists!$A$3:$A$6,0)),"Article")))))</f>
        <v/>
      </c>
      <c r="L373">
        <f>IF(B373="Pillar",Entity!$B$6&amp;"",IF(B373="Cluster",INDEX(Attributes!$I$3:$I$52,Q373)&amp;"",IF(B373="Supporting",INDEX(Values!$F$3:$F$502,P373)&amp;"","")))</f>
        <v/>
      </c>
      <c r="M373">
        <f>IF(B373="","",IF(L373&lt;&gt;"","Covered","Gap"))</f>
        <v/>
      </c>
      <c r="N373">
        <f>IF(B373="Pillar",SUMIFS(Values!$E$3:$E$502,Values!$I$3:$I$502,"Yes"),IF(B373="Cluster",SUMIFS(Values!$E$3:$E$502,Values!$A$3:$A$502,SUBSTITUTE(SUBSTITUTE(C373,"?","~?"),"*","~*"),Values!$I$3:$I$502,"Yes"),IF(B373="Supporting",N(INDEX(Values!$E$3:$E$502,P373)),"")))</f>
        <v/>
      </c>
      <c r="O373">
        <f>IF(B373="","",IF(B373="Pillar",100,IF(B373="Cluster",N(INDEX(Attributes!$E$3:$E$52,Q373))*25+IF(M373="Gap",10,0),N(INDEX(Attributes!$E$3:$E$52,Q373))*20+MIN(20,ROUND(LOG10(N(N373)+1)*5,0))+IF(M373="Gap",10,0)+IF(INDEX(Values!$D$3:$D$502,P373)="Yes",5,0))))</f>
        <v/>
      </c>
      <c r="P373">
        <f>IF(B373="Supporting",MATCH(A373-1-Entity!$B$14,Values!$J$3:$J$502,0),"")</f>
        <v/>
      </c>
      <c r="Q373">
        <f>IF(C373="","",MATCH(C373,Attributes!$A$3:$A$52,0))</f>
        <v/>
      </c>
      <c r="R373">
        <f>IF(B373="Pillar",SUBSTITUTE(Entity!$B$7,"{entity}",LOWER(Entity!$B$3)),IF(B373="Cluster",IF(INDEX(Attributes!$G$3:$G$52,Q373)&lt;&gt;"",INDEX(Attributes!$G$3:$G$52,Q373),SUBSTITUTE(SUBSTITUTE(Entity!$B$8,"{entity}",LOWER(Entity!$B$3)),"{attribute}",LOWER(C373))),IF(B373="Supporting",SUBSTITUTE(SUBSTITUTE(SUBSTITUTE(IF(INDEX(Attributes!$H$3:$H$52,Q373)&lt;&gt;"",INDEX(Attributes!$H$3:$H$52,Q373),Entity!$B$9),"{entity}",LOWER(Entity!$B$3)),"{value}",D373),"{attribute}",LOWER(C373)),"")))</f>
        <v/>
      </c>
    </row>
    <row r="374">
      <c r="A374">
        <f>ROW()-2</f>
        <v/>
      </c>
      <c r="B374">
        <f>IF(A374=1,"Pillar",IF(A374&lt;=1+Entity!$B$14,"Cluster",IF(A374&lt;=1+Entity!$B$14+Entity!$B$15,"Supporting","")))</f>
        <v/>
      </c>
      <c r="C374">
        <f>IF(B374="Cluster",INDEX(Attributes!$A$3:$A$52,MATCH(A374-1,Attributes!$P$3:$P$52,0)),IF(B374="Supporting",INDEX(Values!$A$3:$A$502,P374),""))</f>
        <v/>
      </c>
      <c r="D374">
        <f>IF(B374="Supporting",INDEX(Values!$B$3:$B$502,P374),"")</f>
        <v/>
      </c>
      <c r="E374">
        <f>IF(R374="","",UPPER(LEFT(R374,1))&amp;MID(R374,2,500))</f>
        <v/>
      </c>
      <c r="F374">
        <f>IF(E374="","",LOWER(SUBSTITUTE(SUBSTITUTE(SUBSTITUTE(SUBSTITUTE(SUBSTITUTE(SUBSTITUTE(SUBSTITUTE(TRIM(E374),":",""),",",""),"'",""),"&amp;","and"),"£",""),"  "," ")," ","-")))</f>
        <v/>
      </c>
      <c r="G374">
        <f>IF(B374="Cluster",$E$3,IF(B374="Supporting",INDEX($E$3:$E$553,MATCH(C374,$C$3:$C$553,0)),""))</f>
        <v/>
      </c>
      <c r="H374">
        <f>IF(B374="Supporting",IFERROR(INDEX($E$3:$E$553,1+Entity!$B$14+INDEX(Values!$O$3:$O$502,P374)),""),IF(B374="Cluster",IF(Entity!$B$14&lt;2,"",INDEX($E$3:$E$553,IF(A374-1=Entity!$B$14,2,A374+1))),""))</f>
        <v/>
      </c>
      <c r="I374">
        <f>IF(B374="Pillar",Entity!$B$14&amp;" cluster pages",IF(B374="Cluster",(COUNTIF($C$3:$C$553,SUBSTITUTE(SUBSTITUTE(C374,"?","~?"),"*","~*"))-1)&amp;" supporting pages",""))</f>
        <v/>
      </c>
      <c r="J374">
        <f>IF(B374="Pillar","Informational",IF(OR(B374="Cluster",B374="Supporting"),INDEX(Attributes!$D$3:$D$52,Q374)&amp;"",""))</f>
        <v/>
      </c>
      <c r="K374">
        <f>IF(B374="","",IF(B374="Pillar","Pillar guide (entity hub)",IF(B374="Cluster","Hub page for this attribute",IF(INDEX(Values!$C$3:$C$502,P374)="Yes","Entity page (profile of the sub-entity)",IFERROR(INDEX(Lists!$B$3:$B$6,MATCH(J374,Lists!$A$3:$A$6,0)),"Article")))))</f>
        <v/>
      </c>
      <c r="L374">
        <f>IF(B374="Pillar",Entity!$B$6&amp;"",IF(B374="Cluster",INDEX(Attributes!$I$3:$I$52,Q374)&amp;"",IF(B374="Supporting",INDEX(Values!$F$3:$F$502,P374)&amp;"","")))</f>
        <v/>
      </c>
      <c r="M374">
        <f>IF(B374="","",IF(L374&lt;&gt;"","Covered","Gap"))</f>
        <v/>
      </c>
      <c r="N374">
        <f>IF(B374="Pillar",SUMIFS(Values!$E$3:$E$502,Values!$I$3:$I$502,"Yes"),IF(B374="Cluster",SUMIFS(Values!$E$3:$E$502,Values!$A$3:$A$502,SUBSTITUTE(SUBSTITUTE(C374,"?","~?"),"*","~*"),Values!$I$3:$I$502,"Yes"),IF(B374="Supporting",N(INDEX(Values!$E$3:$E$502,P374)),"")))</f>
        <v/>
      </c>
      <c r="O374">
        <f>IF(B374="","",IF(B374="Pillar",100,IF(B374="Cluster",N(INDEX(Attributes!$E$3:$E$52,Q374))*25+IF(M374="Gap",10,0),N(INDEX(Attributes!$E$3:$E$52,Q374))*20+MIN(20,ROUND(LOG10(N(N374)+1)*5,0))+IF(M374="Gap",10,0)+IF(INDEX(Values!$D$3:$D$502,P374)="Yes",5,0))))</f>
        <v/>
      </c>
      <c r="P374">
        <f>IF(B374="Supporting",MATCH(A374-1-Entity!$B$14,Values!$J$3:$J$502,0),"")</f>
        <v/>
      </c>
      <c r="Q374">
        <f>IF(C374="","",MATCH(C374,Attributes!$A$3:$A$52,0))</f>
        <v/>
      </c>
      <c r="R374">
        <f>IF(B374="Pillar",SUBSTITUTE(Entity!$B$7,"{entity}",LOWER(Entity!$B$3)),IF(B374="Cluster",IF(INDEX(Attributes!$G$3:$G$52,Q374)&lt;&gt;"",INDEX(Attributes!$G$3:$G$52,Q374),SUBSTITUTE(SUBSTITUTE(Entity!$B$8,"{entity}",LOWER(Entity!$B$3)),"{attribute}",LOWER(C374))),IF(B374="Supporting",SUBSTITUTE(SUBSTITUTE(SUBSTITUTE(IF(INDEX(Attributes!$H$3:$H$52,Q374)&lt;&gt;"",INDEX(Attributes!$H$3:$H$52,Q374),Entity!$B$9),"{entity}",LOWER(Entity!$B$3)),"{value}",D374),"{attribute}",LOWER(C374)),"")))</f>
        <v/>
      </c>
    </row>
    <row r="375">
      <c r="A375">
        <f>ROW()-2</f>
        <v/>
      </c>
      <c r="B375">
        <f>IF(A375=1,"Pillar",IF(A375&lt;=1+Entity!$B$14,"Cluster",IF(A375&lt;=1+Entity!$B$14+Entity!$B$15,"Supporting","")))</f>
        <v/>
      </c>
      <c r="C375">
        <f>IF(B375="Cluster",INDEX(Attributes!$A$3:$A$52,MATCH(A375-1,Attributes!$P$3:$P$52,0)),IF(B375="Supporting",INDEX(Values!$A$3:$A$502,P375),""))</f>
        <v/>
      </c>
      <c r="D375">
        <f>IF(B375="Supporting",INDEX(Values!$B$3:$B$502,P375),"")</f>
        <v/>
      </c>
      <c r="E375">
        <f>IF(R375="","",UPPER(LEFT(R375,1))&amp;MID(R375,2,500))</f>
        <v/>
      </c>
      <c r="F375">
        <f>IF(E375="","",LOWER(SUBSTITUTE(SUBSTITUTE(SUBSTITUTE(SUBSTITUTE(SUBSTITUTE(SUBSTITUTE(SUBSTITUTE(TRIM(E375),":",""),",",""),"'",""),"&amp;","and"),"£",""),"  "," ")," ","-")))</f>
        <v/>
      </c>
      <c r="G375">
        <f>IF(B375="Cluster",$E$3,IF(B375="Supporting",INDEX($E$3:$E$553,MATCH(C375,$C$3:$C$553,0)),""))</f>
        <v/>
      </c>
      <c r="H375">
        <f>IF(B375="Supporting",IFERROR(INDEX($E$3:$E$553,1+Entity!$B$14+INDEX(Values!$O$3:$O$502,P375)),""),IF(B375="Cluster",IF(Entity!$B$14&lt;2,"",INDEX($E$3:$E$553,IF(A375-1=Entity!$B$14,2,A375+1))),""))</f>
        <v/>
      </c>
      <c r="I375">
        <f>IF(B375="Pillar",Entity!$B$14&amp;" cluster pages",IF(B375="Cluster",(COUNTIF($C$3:$C$553,SUBSTITUTE(SUBSTITUTE(C375,"?","~?"),"*","~*"))-1)&amp;" supporting pages",""))</f>
        <v/>
      </c>
      <c r="J375">
        <f>IF(B375="Pillar","Informational",IF(OR(B375="Cluster",B375="Supporting"),INDEX(Attributes!$D$3:$D$52,Q375)&amp;"",""))</f>
        <v/>
      </c>
      <c r="K375">
        <f>IF(B375="","",IF(B375="Pillar","Pillar guide (entity hub)",IF(B375="Cluster","Hub page for this attribute",IF(INDEX(Values!$C$3:$C$502,P375)="Yes","Entity page (profile of the sub-entity)",IFERROR(INDEX(Lists!$B$3:$B$6,MATCH(J375,Lists!$A$3:$A$6,0)),"Article")))))</f>
        <v/>
      </c>
      <c r="L375">
        <f>IF(B375="Pillar",Entity!$B$6&amp;"",IF(B375="Cluster",INDEX(Attributes!$I$3:$I$52,Q375)&amp;"",IF(B375="Supporting",INDEX(Values!$F$3:$F$502,P375)&amp;"","")))</f>
        <v/>
      </c>
      <c r="M375">
        <f>IF(B375="","",IF(L375&lt;&gt;"","Covered","Gap"))</f>
        <v/>
      </c>
      <c r="N375">
        <f>IF(B375="Pillar",SUMIFS(Values!$E$3:$E$502,Values!$I$3:$I$502,"Yes"),IF(B375="Cluster",SUMIFS(Values!$E$3:$E$502,Values!$A$3:$A$502,SUBSTITUTE(SUBSTITUTE(C375,"?","~?"),"*","~*"),Values!$I$3:$I$502,"Yes"),IF(B375="Supporting",N(INDEX(Values!$E$3:$E$502,P375)),"")))</f>
        <v/>
      </c>
      <c r="O375">
        <f>IF(B375="","",IF(B375="Pillar",100,IF(B375="Cluster",N(INDEX(Attributes!$E$3:$E$52,Q375))*25+IF(M375="Gap",10,0),N(INDEX(Attributes!$E$3:$E$52,Q375))*20+MIN(20,ROUND(LOG10(N(N375)+1)*5,0))+IF(M375="Gap",10,0)+IF(INDEX(Values!$D$3:$D$502,P375)="Yes",5,0))))</f>
        <v/>
      </c>
      <c r="P375">
        <f>IF(B375="Supporting",MATCH(A375-1-Entity!$B$14,Values!$J$3:$J$502,0),"")</f>
        <v/>
      </c>
      <c r="Q375">
        <f>IF(C375="","",MATCH(C375,Attributes!$A$3:$A$52,0))</f>
        <v/>
      </c>
      <c r="R375">
        <f>IF(B375="Pillar",SUBSTITUTE(Entity!$B$7,"{entity}",LOWER(Entity!$B$3)),IF(B375="Cluster",IF(INDEX(Attributes!$G$3:$G$52,Q375)&lt;&gt;"",INDEX(Attributes!$G$3:$G$52,Q375),SUBSTITUTE(SUBSTITUTE(Entity!$B$8,"{entity}",LOWER(Entity!$B$3)),"{attribute}",LOWER(C375))),IF(B375="Supporting",SUBSTITUTE(SUBSTITUTE(SUBSTITUTE(IF(INDEX(Attributes!$H$3:$H$52,Q375)&lt;&gt;"",INDEX(Attributes!$H$3:$H$52,Q375),Entity!$B$9),"{entity}",LOWER(Entity!$B$3)),"{value}",D375),"{attribute}",LOWER(C375)),"")))</f>
        <v/>
      </c>
    </row>
    <row r="376">
      <c r="A376">
        <f>ROW()-2</f>
        <v/>
      </c>
      <c r="B376">
        <f>IF(A376=1,"Pillar",IF(A376&lt;=1+Entity!$B$14,"Cluster",IF(A376&lt;=1+Entity!$B$14+Entity!$B$15,"Supporting","")))</f>
        <v/>
      </c>
      <c r="C376">
        <f>IF(B376="Cluster",INDEX(Attributes!$A$3:$A$52,MATCH(A376-1,Attributes!$P$3:$P$52,0)),IF(B376="Supporting",INDEX(Values!$A$3:$A$502,P376),""))</f>
        <v/>
      </c>
      <c r="D376">
        <f>IF(B376="Supporting",INDEX(Values!$B$3:$B$502,P376),"")</f>
        <v/>
      </c>
      <c r="E376">
        <f>IF(R376="","",UPPER(LEFT(R376,1))&amp;MID(R376,2,500))</f>
        <v/>
      </c>
      <c r="F376">
        <f>IF(E376="","",LOWER(SUBSTITUTE(SUBSTITUTE(SUBSTITUTE(SUBSTITUTE(SUBSTITUTE(SUBSTITUTE(SUBSTITUTE(TRIM(E376),":",""),",",""),"'",""),"&amp;","and"),"£",""),"  "," ")," ","-")))</f>
        <v/>
      </c>
      <c r="G376">
        <f>IF(B376="Cluster",$E$3,IF(B376="Supporting",INDEX($E$3:$E$553,MATCH(C376,$C$3:$C$553,0)),""))</f>
        <v/>
      </c>
      <c r="H376">
        <f>IF(B376="Supporting",IFERROR(INDEX($E$3:$E$553,1+Entity!$B$14+INDEX(Values!$O$3:$O$502,P376)),""),IF(B376="Cluster",IF(Entity!$B$14&lt;2,"",INDEX($E$3:$E$553,IF(A376-1=Entity!$B$14,2,A376+1))),""))</f>
        <v/>
      </c>
      <c r="I376">
        <f>IF(B376="Pillar",Entity!$B$14&amp;" cluster pages",IF(B376="Cluster",(COUNTIF($C$3:$C$553,SUBSTITUTE(SUBSTITUTE(C376,"?","~?"),"*","~*"))-1)&amp;" supporting pages",""))</f>
        <v/>
      </c>
      <c r="J376">
        <f>IF(B376="Pillar","Informational",IF(OR(B376="Cluster",B376="Supporting"),INDEX(Attributes!$D$3:$D$52,Q376)&amp;"",""))</f>
        <v/>
      </c>
      <c r="K376">
        <f>IF(B376="","",IF(B376="Pillar","Pillar guide (entity hub)",IF(B376="Cluster","Hub page for this attribute",IF(INDEX(Values!$C$3:$C$502,P376)="Yes","Entity page (profile of the sub-entity)",IFERROR(INDEX(Lists!$B$3:$B$6,MATCH(J376,Lists!$A$3:$A$6,0)),"Article")))))</f>
        <v/>
      </c>
      <c r="L376">
        <f>IF(B376="Pillar",Entity!$B$6&amp;"",IF(B376="Cluster",INDEX(Attributes!$I$3:$I$52,Q376)&amp;"",IF(B376="Supporting",INDEX(Values!$F$3:$F$502,P376)&amp;"","")))</f>
        <v/>
      </c>
      <c r="M376">
        <f>IF(B376="","",IF(L376&lt;&gt;"","Covered","Gap"))</f>
        <v/>
      </c>
      <c r="N376">
        <f>IF(B376="Pillar",SUMIFS(Values!$E$3:$E$502,Values!$I$3:$I$502,"Yes"),IF(B376="Cluster",SUMIFS(Values!$E$3:$E$502,Values!$A$3:$A$502,SUBSTITUTE(SUBSTITUTE(C376,"?","~?"),"*","~*"),Values!$I$3:$I$502,"Yes"),IF(B376="Supporting",N(INDEX(Values!$E$3:$E$502,P376)),"")))</f>
        <v/>
      </c>
      <c r="O376">
        <f>IF(B376="","",IF(B376="Pillar",100,IF(B376="Cluster",N(INDEX(Attributes!$E$3:$E$52,Q376))*25+IF(M376="Gap",10,0),N(INDEX(Attributes!$E$3:$E$52,Q376))*20+MIN(20,ROUND(LOG10(N(N376)+1)*5,0))+IF(M376="Gap",10,0)+IF(INDEX(Values!$D$3:$D$502,P376)="Yes",5,0))))</f>
        <v/>
      </c>
      <c r="P376">
        <f>IF(B376="Supporting",MATCH(A376-1-Entity!$B$14,Values!$J$3:$J$502,0),"")</f>
        <v/>
      </c>
      <c r="Q376">
        <f>IF(C376="","",MATCH(C376,Attributes!$A$3:$A$52,0))</f>
        <v/>
      </c>
      <c r="R376">
        <f>IF(B376="Pillar",SUBSTITUTE(Entity!$B$7,"{entity}",LOWER(Entity!$B$3)),IF(B376="Cluster",IF(INDEX(Attributes!$G$3:$G$52,Q376)&lt;&gt;"",INDEX(Attributes!$G$3:$G$52,Q376),SUBSTITUTE(SUBSTITUTE(Entity!$B$8,"{entity}",LOWER(Entity!$B$3)),"{attribute}",LOWER(C376))),IF(B376="Supporting",SUBSTITUTE(SUBSTITUTE(SUBSTITUTE(IF(INDEX(Attributes!$H$3:$H$52,Q376)&lt;&gt;"",INDEX(Attributes!$H$3:$H$52,Q376),Entity!$B$9),"{entity}",LOWER(Entity!$B$3)),"{value}",D376),"{attribute}",LOWER(C376)),"")))</f>
        <v/>
      </c>
    </row>
    <row r="377">
      <c r="A377">
        <f>ROW()-2</f>
        <v/>
      </c>
      <c r="B377">
        <f>IF(A377=1,"Pillar",IF(A377&lt;=1+Entity!$B$14,"Cluster",IF(A377&lt;=1+Entity!$B$14+Entity!$B$15,"Supporting","")))</f>
        <v/>
      </c>
      <c r="C377">
        <f>IF(B377="Cluster",INDEX(Attributes!$A$3:$A$52,MATCH(A377-1,Attributes!$P$3:$P$52,0)),IF(B377="Supporting",INDEX(Values!$A$3:$A$502,P377),""))</f>
        <v/>
      </c>
      <c r="D377">
        <f>IF(B377="Supporting",INDEX(Values!$B$3:$B$502,P377),"")</f>
        <v/>
      </c>
      <c r="E377">
        <f>IF(R377="","",UPPER(LEFT(R377,1))&amp;MID(R377,2,500))</f>
        <v/>
      </c>
      <c r="F377">
        <f>IF(E377="","",LOWER(SUBSTITUTE(SUBSTITUTE(SUBSTITUTE(SUBSTITUTE(SUBSTITUTE(SUBSTITUTE(SUBSTITUTE(TRIM(E377),":",""),",",""),"'",""),"&amp;","and"),"£",""),"  "," ")," ","-")))</f>
        <v/>
      </c>
      <c r="G377">
        <f>IF(B377="Cluster",$E$3,IF(B377="Supporting",INDEX($E$3:$E$553,MATCH(C377,$C$3:$C$553,0)),""))</f>
        <v/>
      </c>
      <c r="H377">
        <f>IF(B377="Supporting",IFERROR(INDEX($E$3:$E$553,1+Entity!$B$14+INDEX(Values!$O$3:$O$502,P377)),""),IF(B377="Cluster",IF(Entity!$B$14&lt;2,"",INDEX($E$3:$E$553,IF(A377-1=Entity!$B$14,2,A377+1))),""))</f>
        <v/>
      </c>
      <c r="I377">
        <f>IF(B377="Pillar",Entity!$B$14&amp;" cluster pages",IF(B377="Cluster",(COUNTIF($C$3:$C$553,SUBSTITUTE(SUBSTITUTE(C377,"?","~?"),"*","~*"))-1)&amp;" supporting pages",""))</f>
        <v/>
      </c>
      <c r="J377">
        <f>IF(B377="Pillar","Informational",IF(OR(B377="Cluster",B377="Supporting"),INDEX(Attributes!$D$3:$D$52,Q377)&amp;"",""))</f>
        <v/>
      </c>
      <c r="K377">
        <f>IF(B377="","",IF(B377="Pillar","Pillar guide (entity hub)",IF(B377="Cluster","Hub page for this attribute",IF(INDEX(Values!$C$3:$C$502,P377)="Yes","Entity page (profile of the sub-entity)",IFERROR(INDEX(Lists!$B$3:$B$6,MATCH(J377,Lists!$A$3:$A$6,0)),"Article")))))</f>
        <v/>
      </c>
      <c r="L377">
        <f>IF(B377="Pillar",Entity!$B$6&amp;"",IF(B377="Cluster",INDEX(Attributes!$I$3:$I$52,Q377)&amp;"",IF(B377="Supporting",INDEX(Values!$F$3:$F$502,P377)&amp;"","")))</f>
        <v/>
      </c>
      <c r="M377">
        <f>IF(B377="","",IF(L377&lt;&gt;"","Covered","Gap"))</f>
        <v/>
      </c>
      <c r="N377">
        <f>IF(B377="Pillar",SUMIFS(Values!$E$3:$E$502,Values!$I$3:$I$502,"Yes"),IF(B377="Cluster",SUMIFS(Values!$E$3:$E$502,Values!$A$3:$A$502,SUBSTITUTE(SUBSTITUTE(C377,"?","~?"),"*","~*"),Values!$I$3:$I$502,"Yes"),IF(B377="Supporting",N(INDEX(Values!$E$3:$E$502,P377)),"")))</f>
        <v/>
      </c>
      <c r="O377">
        <f>IF(B377="","",IF(B377="Pillar",100,IF(B377="Cluster",N(INDEX(Attributes!$E$3:$E$52,Q377))*25+IF(M377="Gap",10,0),N(INDEX(Attributes!$E$3:$E$52,Q377))*20+MIN(20,ROUND(LOG10(N(N377)+1)*5,0))+IF(M377="Gap",10,0)+IF(INDEX(Values!$D$3:$D$502,P377)="Yes",5,0))))</f>
        <v/>
      </c>
      <c r="P377">
        <f>IF(B377="Supporting",MATCH(A377-1-Entity!$B$14,Values!$J$3:$J$502,0),"")</f>
        <v/>
      </c>
      <c r="Q377">
        <f>IF(C377="","",MATCH(C377,Attributes!$A$3:$A$52,0))</f>
        <v/>
      </c>
      <c r="R377">
        <f>IF(B377="Pillar",SUBSTITUTE(Entity!$B$7,"{entity}",LOWER(Entity!$B$3)),IF(B377="Cluster",IF(INDEX(Attributes!$G$3:$G$52,Q377)&lt;&gt;"",INDEX(Attributes!$G$3:$G$52,Q377),SUBSTITUTE(SUBSTITUTE(Entity!$B$8,"{entity}",LOWER(Entity!$B$3)),"{attribute}",LOWER(C377))),IF(B377="Supporting",SUBSTITUTE(SUBSTITUTE(SUBSTITUTE(IF(INDEX(Attributes!$H$3:$H$52,Q377)&lt;&gt;"",INDEX(Attributes!$H$3:$H$52,Q377),Entity!$B$9),"{entity}",LOWER(Entity!$B$3)),"{value}",D377),"{attribute}",LOWER(C377)),"")))</f>
        <v/>
      </c>
    </row>
    <row r="378">
      <c r="A378">
        <f>ROW()-2</f>
        <v/>
      </c>
      <c r="B378">
        <f>IF(A378=1,"Pillar",IF(A378&lt;=1+Entity!$B$14,"Cluster",IF(A378&lt;=1+Entity!$B$14+Entity!$B$15,"Supporting","")))</f>
        <v/>
      </c>
      <c r="C378">
        <f>IF(B378="Cluster",INDEX(Attributes!$A$3:$A$52,MATCH(A378-1,Attributes!$P$3:$P$52,0)),IF(B378="Supporting",INDEX(Values!$A$3:$A$502,P378),""))</f>
        <v/>
      </c>
      <c r="D378">
        <f>IF(B378="Supporting",INDEX(Values!$B$3:$B$502,P378),"")</f>
        <v/>
      </c>
      <c r="E378">
        <f>IF(R378="","",UPPER(LEFT(R378,1))&amp;MID(R378,2,500))</f>
        <v/>
      </c>
      <c r="F378">
        <f>IF(E378="","",LOWER(SUBSTITUTE(SUBSTITUTE(SUBSTITUTE(SUBSTITUTE(SUBSTITUTE(SUBSTITUTE(SUBSTITUTE(TRIM(E378),":",""),",",""),"'",""),"&amp;","and"),"£",""),"  "," ")," ","-")))</f>
        <v/>
      </c>
      <c r="G378">
        <f>IF(B378="Cluster",$E$3,IF(B378="Supporting",INDEX($E$3:$E$553,MATCH(C378,$C$3:$C$553,0)),""))</f>
        <v/>
      </c>
      <c r="H378">
        <f>IF(B378="Supporting",IFERROR(INDEX($E$3:$E$553,1+Entity!$B$14+INDEX(Values!$O$3:$O$502,P378)),""),IF(B378="Cluster",IF(Entity!$B$14&lt;2,"",INDEX($E$3:$E$553,IF(A378-1=Entity!$B$14,2,A378+1))),""))</f>
        <v/>
      </c>
      <c r="I378">
        <f>IF(B378="Pillar",Entity!$B$14&amp;" cluster pages",IF(B378="Cluster",(COUNTIF($C$3:$C$553,SUBSTITUTE(SUBSTITUTE(C378,"?","~?"),"*","~*"))-1)&amp;" supporting pages",""))</f>
        <v/>
      </c>
      <c r="J378">
        <f>IF(B378="Pillar","Informational",IF(OR(B378="Cluster",B378="Supporting"),INDEX(Attributes!$D$3:$D$52,Q378)&amp;"",""))</f>
        <v/>
      </c>
      <c r="K378">
        <f>IF(B378="","",IF(B378="Pillar","Pillar guide (entity hub)",IF(B378="Cluster","Hub page for this attribute",IF(INDEX(Values!$C$3:$C$502,P378)="Yes","Entity page (profile of the sub-entity)",IFERROR(INDEX(Lists!$B$3:$B$6,MATCH(J378,Lists!$A$3:$A$6,0)),"Article")))))</f>
        <v/>
      </c>
      <c r="L378">
        <f>IF(B378="Pillar",Entity!$B$6&amp;"",IF(B378="Cluster",INDEX(Attributes!$I$3:$I$52,Q378)&amp;"",IF(B378="Supporting",INDEX(Values!$F$3:$F$502,P378)&amp;"","")))</f>
        <v/>
      </c>
      <c r="M378">
        <f>IF(B378="","",IF(L378&lt;&gt;"","Covered","Gap"))</f>
        <v/>
      </c>
      <c r="N378">
        <f>IF(B378="Pillar",SUMIFS(Values!$E$3:$E$502,Values!$I$3:$I$502,"Yes"),IF(B378="Cluster",SUMIFS(Values!$E$3:$E$502,Values!$A$3:$A$502,SUBSTITUTE(SUBSTITUTE(C378,"?","~?"),"*","~*"),Values!$I$3:$I$502,"Yes"),IF(B378="Supporting",N(INDEX(Values!$E$3:$E$502,P378)),"")))</f>
        <v/>
      </c>
      <c r="O378">
        <f>IF(B378="","",IF(B378="Pillar",100,IF(B378="Cluster",N(INDEX(Attributes!$E$3:$E$52,Q378))*25+IF(M378="Gap",10,0),N(INDEX(Attributes!$E$3:$E$52,Q378))*20+MIN(20,ROUND(LOG10(N(N378)+1)*5,0))+IF(M378="Gap",10,0)+IF(INDEX(Values!$D$3:$D$502,P378)="Yes",5,0))))</f>
        <v/>
      </c>
      <c r="P378">
        <f>IF(B378="Supporting",MATCH(A378-1-Entity!$B$14,Values!$J$3:$J$502,0),"")</f>
        <v/>
      </c>
      <c r="Q378">
        <f>IF(C378="","",MATCH(C378,Attributes!$A$3:$A$52,0))</f>
        <v/>
      </c>
      <c r="R378">
        <f>IF(B378="Pillar",SUBSTITUTE(Entity!$B$7,"{entity}",LOWER(Entity!$B$3)),IF(B378="Cluster",IF(INDEX(Attributes!$G$3:$G$52,Q378)&lt;&gt;"",INDEX(Attributes!$G$3:$G$52,Q378),SUBSTITUTE(SUBSTITUTE(Entity!$B$8,"{entity}",LOWER(Entity!$B$3)),"{attribute}",LOWER(C378))),IF(B378="Supporting",SUBSTITUTE(SUBSTITUTE(SUBSTITUTE(IF(INDEX(Attributes!$H$3:$H$52,Q378)&lt;&gt;"",INDEX(Attributes!$H$3:$H$52,Q378),Entity!$B$9),"{entity}",LOWER(Entity!$B$3)),"{value}",D378),"{attribute}",LOWER(C378)),"")))</f>
        <v/>
      </c>
    </row>
    <row r="379">
      <c r="A379">
        <f>ROW()-2</f>
        <v/>
      </c>
      <c r="B379">
        <f>IF(A379=1,"Pillar",IF(A379&lt;=1+Entity!$B$14,"Cluster",IF(A379&lt;=1+Entity!$B$14+Entity!$B$15,"Supporting","")))</f>
        <v/>
      </c>
      <c r="C379">
        <f>IF(B379="Cluster",INDEX(Attributes!$A$3:$A$52,MATCH(A379-1,Attributes!$P$3:$P$52,0)),IF(B379="Supporting",INDEX(Values!$A$3:$A$502,P379),""))</f>
        <v/>
      </c>
      <c r="D379">
        <f>IF(B379="Supporting",INDEX(Values!$B$3:$B$502,P379),"")</f>
        <v/>
      </c>
      <c r="E379">
        <f>IF(R379="","",UPPER(LEFT(R379,1))&amp;MID(R379,2,500))</f>
        <v/>
      </c>
      <c r="F379">
        <f>IF(E379="","",LOWER(SUBSTITUTE(SUBSTITUTE(SUBSTITUTE(SUBSTITUTE(SUBSTITUTE(SUBSTITUTE(SUBSTITUTE(TRIM(E379),":",""),",",""),"'",""),"&amp;","and"),"£",""),"  "," ")," ","-")))</f>
        <v/>
      </c>
      <c r="G379">
        <f>IF(B379="Cluster",$E$3,IF(B379="Supporting",INDEX($E$3:$E$553,MATCH(C379,$C$3:$C$553,0)),""))</f>
        <v/>
      </c>
      <c r="H379">
        <f>IF(B379="Supporting",IFERROR(INDEX($E$3:$E$553,1+Entity!$B$14+INDEX(Values!$O$3:$O$502,P379)),""),IF(B379="Cluster",IF(Entity!$B$14&lt;2,"",INDEX($E$3:$E$553,IF(A379-1=Entity!$B$14,2,A379+1))),""))</f>
        <v/>
      </c>
      <c r="I379">
        <f>IF(B379="Pillar",Entity!$B$14&amp;" cluster pages",IF(B379="Cluster",(COUNTIF($C$3:$C$553,SUBSTITUTE(SUBSTITUTE(C379,"?","~?"),"*","~*"))-1)&amp;" supporting pages",""))</f>
        <v/>
      </c>
      <c r="J379">
        <f>IF(B379="Pillar","Informational",IF(OR(B379="Cluster",B379="Supporting"),INDEX(Attributes!$D$3:$D$52,Q379)&amp;"",""))</f>
        <v/>
      </c>
      <c r="K379">
        <f>IF(B379="","",IF(B379="Pillar","Pillar guide (entity hub)",IF(B379="Cluster","Hub page for this attribute",IF(INDEX(Values!$C$3:$C$502,P379)="Yes","Entity page (profile of the sub-entity)",IFERROR(INDEX(Lists!$B$3:$B$6,MATCH(J379,Lists!$A$3:$A$6,0)),"Article")))))</f>
        <v/>
      </c>
      <c r="L379">
        <f>IF(B379="Pillar",Entity!$B$6&amp;"",IF(B379="Cluster",INDEX(Attributes!$I$3:$I$52,Q379)&amp;"",IF(B379="Supporting",INDEX(Values!$F$3:$F$502,P379)&amp;"","")))</f>
        <v/>
      </c>
      <c r="M379">
        <f>IF(B379="","",IF(L379&lt;&gt;"","Covered","Gap"))</f>
        <v/>
      </c>
      <c r="N379">
        <f>IF(B379="Pillar",SUMIFS(Values!$E$3:$E$502,Values!$I$3:$I$502,"Yes"),IF(B379="Cluster",SUMIFS(Values!$E$3:$E$502,Values!$A$3:$A$502,SUBSTITUTE(SUBSTITUTE(C379,"?","~?"),"*","~*"),Values!$I$3:$I$502,"Yes"),IF(B379="Supporting",N(INDEX(Values!$E$3:$E$502,P379)),"")))</f>
        <v/>
      </c>
      <c r="O379">
        <f>IF(B379="","",IF(B379="Pillar",100,IF(B379="Cluster",N(INDEX(Attributes!$E$3:$E$52,Q379))*25+IF(M379="Gap",10,0),N(INDEX(Attributes!$E$3:$E$52,Q379))*20+MIN(20,ROUND(LOG10(N(N379)+1)*5,0))+IF(M379="Gap",10,0)+IF(INDEX(Values!$D$3:$D$502,P379)="Yes",5,0))))</f>
        <v/>
      </c>
      <c r="P379">
        <f>IF(B379="Supporting",MATCH(A379-1-Entity!$B$14,Values!$J$3:$J$502,0),"")</f>
        <v/>
      </c>
      <c r="Q379">
        <f>IF(C379="","",MATCH(C379,Attributes!$A$3:$A$52,0))</f>
        <v/>
      </c>
      <c r="R379">
        <f>IF(B379="Pillar",SUBSTITUTE(Entity!$B$7,"{entity}",LOWER(Entity!$B$3)),IF(B379="Cluster",IF(INDEX(Attributes!$G$3:$G$52,Q379)&lt;&gt;"",INDEX(Attributes!$G$3:$G$52,Q379),SUBSTITUTE(SUBSTITUTE(Entity!$B$8,"{entity}",LOWER(Entity!$B$3)),"{attribute}",LOWER(C379))),IF(B379="Supporting",SUBSTITUTE(SUBSTITUTE(SUBSTITUTE(IF(INDEX(Attributes!$H$3:$H$52,Q379)&lt;&gt;"",INDEX(Attributes!$H$3:$H$52,Q379),Entity!$B$9),"{entity}",LOWER(Entity!$B$3)),"{value}",D379),"{attribute}",LOWER(C379)),"")))</f>
        <v/>
      </c>
    </row>
    <row r="380">
      <c r="A380">
        <f>ROW()-2</f>
        <v/>
      </c>
      <c r="B380">
        <f>IF(A380=1,"Pillar",IF(A380&lt;=1+Entity!$B$14,"Cluster",IF(A380&lt;=1+Entity!$B$14+Entity!$B$15,"Supporting","")))</f>
        <v/>
      </c>
      <c r="C380">
        <f>IF(B380="Cluster",INDEX(Attributes!$A$3:$A$52,MATCH(A380-1,Attributes!$P$3:$P$52,0)),IF(B380="Supporting",INDEX(Values!$A$3:$A$502,P380),""))</f>
        <v/>
      </c>
      <c r="D380">
        <f>IF(B380="Supporting",INDEX(Values!$B$3:$B$502,P380),"")</f>
        <v/>
      </c>
      <c r="E380">
        <f>IF(R380="","",UPPER(LEFT(R380,1))&amp;MID(R380,2,500))</f>
        <v/>
      </c>
      <c r="F380">
        <f>IF(E380="","",LOWER(SUBSTITUTE(SUBSTITUTE(SUBSTITUTE(SUBSTITUTE(SUBSTITUTE(SUBSTITUTE(SUBSTITUTE(TRIM(E380),":",""),",",""),"'",""),"&amp;","and"),"£",""),"  "," ")," ","-")))</f>
        <v/>
      </c>
      <c r="G380">
        <f>IF(B380="Cluster",$E$3,IF(B380="Supporting",INDEX($E$3:$E$553,MATCH(C380,$C$3:$C$553,0)),""))</f>
        <v/>
      </c>
      <c r="H380">
        <f>IF(B380="Supporting",IFERROR(INDEX($E$3:$E$553,1+Entity!$B$14+INDEX(Values!$O$3:$O$502,P380)),""),IF(B380="Cluster",IF(Entity!$B$14&lt;2,"",INDEX($E$3:$E$553,IF(A380-1=Entity!$B$14,2,A380+1))),""))</f>
        <v/>
      </c>
      <c r="I380">
        <f>IF(B380="Pillar",Entity!$B$14&amp;" cluster pages",IF(B380="Cluster",(COUNTIF($C$3:$C$553,SUBSTITUTE(SUBSTITUTE(C380,"?","~?"),"*","~*"))-1)&amp;" supporting pages",""))</f>
        <v/>
      </c>
      <c r="J380">
        <f>IF(B380="Pillar","Informational",IF(OR(B380="Cluster",B380="Supporting"),INDEX(Attributes!$D$3:$D$52,Q380)&amp;"",""))</f>
        <v/>
      </c>
      <c r="K380">
        <f>IF(B380="","",IF(B380="Pillar","Pillar guide (entity hub)",IF(B380="Cluster","Hub page for this attribute",IF(INDEX(Values!$C$3:$C$502,P380)="Yes","Entity page (profile of the sub-entity)",IFERROR(INDEX(Lists!$B$3:$B$6,MATCH(J380,Lists!$A$3:$A$6,0)),"Article")))))</f>
        <v/>
      </c>
      <c r="L380">
        <f>IF(B380="Pillar",Entity!$B$6&amp;"",IF(B380="Cluster",INDEX(Attributes!$I$3:$I$52,Q380)&amp;"",IF(B380="Supporting",INDEX(Values!$F$3:$F$502,P380)&amp;"","")))</f>
        <v/>
      </c>
      <c r="M380">
        <f>IF(B380="","",IF(L380&lt;&gt;"","Covered","Gap"))</f>
        <v/>
      </c>
      <c r="N380">
        <f>IF(B380="Pillar",SUMIFS(Values!$E$3:$E$502,Values!$I$3:$I$502,"Yes"),IF(B380="Cluster",SUMIFS(Values!$E$3:$E$502,Values!$A$3:$A$502,SUBSTITUTE(SUBSTITUTE(C380,"?","~?"),"*","~*"),Values!$I$3:$I$502,"Yes"),IF(B380="Supporting",N(INDEX(Values!$E$3:$E$502,P380)),"")))</f>
        <v/>
      </c>
      <c r="O380">
        <f>IF(B380="","",IF(B380="Pillar",100,IF(B380="Cluster",N(INDEX(Attributes!$E$3:$E$52,Q380))*25+IF(M380="Gap",10,0),N(INDEX(Attributes!$E$3:$E$52,Q380))*20+MIN(20,ROUND(LOG10(N(N380)+1)*5,0))+IF(M380="Gap",10,0)+IF(INDEX(Values!$D$3:$D$502,P380)="Yes",5,0))))</f>
        <v/>
      </c>
      <c r="P380">
        <f>IF(B380="Supporting",MATCH(A380-1-Entity!$B$14,Values!$J$3:$J$502,0),"")</f>
        <v/>
      </c>
      <c r="Q380">
        <f>IF(C380="","",MATCH(C380,Attributes!$A$3:$A$52,0))</f>
        <v/>
      </c>
      <c r="R380">
        <f>IF(B380="Pillar",SUBSTITUTE(Entity!$B$7,"{entity}",LOWER(Entity!$B$3)),IF(B380="Cluster",IF(INDEX(Attributes!$G$3:$G$52,Q380)&lt;&gt;"",INDEX(Attributes!$G$3:$G$52,Q380),SUBSTITUTE(SUBSTITUTE(Entity!$B$8,"{entity}",LOWER(Entity!$B$3)),"{attribute}",LOWER(C380))),IF(B380="Supporting",SUBSTITUTE(SUBSTITUTE(SUBSTITUTE(IF(INDEX(Attributes!$H$3:$H$52,Q380)&lt;&gt;"",INDEX(Attributes!$H$3:$H$52,Q380),Entity!$B$9),"{entity}",LOWER(Entity!$B$3)),"{value}",D380),"{attribute}",LOWER(C380)),"")))</f>
        <v/>
      </c>
    </row>
    <row r="381">
      <c r="A381">
        <f>ROW()-2</f>
        <v/>
      </c>
      <c r="B381">
        <f>IF(A381=1,"Pillar",IF(A381&lt;=1+Entity!$B$14,"Cluster",IF(A381&lt;=1+Entity!$B$14+Entity!$B$15,"Supporting","")))</f>
        <v/>
      </c>
      <c r="C381">
        <f>IF(B381="Cluster",INDEX(Attributes!$A$3:$A$52,MATCH(A381-1,Attributes!$P$3:$P$52,0)),IF(B381="Supporting",INDEX(Values!$A$3:$A$502,P381),""))</f>
        <v/>
      </c>
      <c r="D381">
        <f>IF(B381="Supporting",INDEX(Values!$B$3:$B$502,P381),"")</f>
        <v/>
      </c>
      <c r="E381">
        <f>IF(R381="","",UPPER(LEFT(R381,1))&amp;MID(R381,2,500))</f>
        <v/>
      </c>
      <c r="F381">
        <f>IF(E381="","",LOWER(SUBSTITUTE(SUBSTITUTE(SUBSTITUTE(SUBSTITUTE(SUBSTITUTE(SUBSTITUTE(SUBSTITUTE(TRIM(E381),":",""),",",""),"'",""),"&amp;","and"),"£",""),"  "," ")," ","-")))</f>
        <v/>
      </c>
      <c r="G381">
        <f>IF(B381="Cluster",$E$3,IF(B381="Supporting",INDEX($E$3:$E$553,MATCH(C381,$C$3:$C$553,0)),""))</f>
        <v/>
      </c>
      <c r="H381">
        <f>IF(B381="Supporting",IFERROR(INDEX($E$3:$E$553,1+Entity!$B$14+INDEX(Values!$O$3:$O$502,P381)),""),IF(B381="Cluster",IF(Entity!$B$14&lt;2,"",INDEX($E$3:$E$553,IF(A381-1=Entity!$B$14,2,A381+1))),""))</f>
        <v/>
      </c>
      <c r="I381">
        <f>IF(B381="Pillar",Entity!$B$14&amp;" cluster pages",IF(B381="Cluster",(COUNTIF($C$3:$C$553,SUBSTITUTE(SUBSTITUTE(C381,"?","~?"),"*","~*"))-1)&amp;" supporting pages",""))</f>
        <v/>
      </c>
      <c r="J381">
        <f>IF(B381="Pillar","Informational",IF(OR(B381="Cluster",B381="Supporting"),INDEX(Attributes!$D$3:$D$52,Q381)&amp;"",""))</f>
        <v/>
      </c>
      <c r="K381">
        <f>IF(B381="","",IF(B381="Pillar","Pillar guide (entity hub)",IF(B381="Cluster","Hub page for this attribute",IF(INDEX(Values!$C$3:$C$502,P381)="Yes","Entity page (profile of the sub-entity)",IFERROR(INDEX(Lists!$B$3:$B$6,MATCH(J381,Lists!$A$3:$A$6,0)),"Article")))))</f>
        <v/>
      </c>
      <c r="L381">
        <f>IF(B381="Pillar",Entity!$B$6&amp;"",IF(B381="Cluster",INDEX(Attributes!$I$3:$I$52,Q381)&amp;"",IF(B381="Supporting",INDEX(Values!$F$3:$F$502,P381)&amp;"","")))</f>
        <v/>
      </c>
      <c r="M381">
        <f>IF(B381="","",IF(L381&lt;&gt;"","Covered","Gap"))</f>
        <v/>
      </c>
      <c r="N381">
        <f>IF(B381="Pillar",SUMIFS(Values!$E$3:$E$502,Values!$I$3:$I$502,"Yes"),IF(B381="Cluster",SUMIFS(Values!$E$3:$E$502,Values!$A$3:$A$502,SUBSTITUTE(SUBSTITUTE(C381,"?","~?"),"*","~*"),Values!$I$3:$I$502,"Yes"),IF(B381="Supporting",N(INDEX(Values!$E$3:$E$502,P381)),"")))</f>
        <v/>
      </c>
      <c r="O381">
        <f>IF(B381="","",IF(B381="Pillar",100,IF(B381="Cluster",N(INDEX(Attributes!$E$3:$E$52,Q381))*25+IF(M381="Gap",10,0),N(INDEX(Attributes!$E$3:$E$52,Q381))*20+MIN(20,ROUND(LOG10(N(N381)+1)*5,0))+IF(M381="Gap",10,0)+IF(INDEX(Values!$D$3:$D$502,P381)="Yes",5,0))))</f>
        <v/>
      </c>
      <c r="P381">
        <f>IF(B381="Supporting",MATCH(A381-1-Entity!$B$14,Values!$J$3:$J$502,0),"")</f>
        <v/>
      </c>
      <c r="Q381">
        <f>IF(C381="","",MATCH(C381,Attributes!$A$3:$A$52,0))</f>
        <v/>
      </c>
      <c r="R381">
        <f>IF(B381="Pillar",SUBSTITUTE(Entity!$B$7,"{entity}",LOWER(Entity!$B$3)),IF(B381="Cluster",IF(INDEX(Attributes!$G$3:$G$52,Q381)&lt;&gt;"",INDEX(Attributes!$G$3:$G$52,Q381),SUBSTITUTE(SUBSTITUTE(Entity!$B$8,"{entity}",LOWER(Entity!$B$3)),"{attribute}",LOWER(C381))),IF(B381="Supporting",SUBSTITUTE(SUBSTITUTE(SUBSTITUTE(IF(INDEX(Attributes!$H$3:$H$52,Q381)&lt;&gt;"",INDEX(Attributes!$H$3:$H$52,Q381),Entity!$B$9),"{entity}",LOWER(Entity!$B$3)),"{value}",D381),"{attribute}",LOWER(C381)),"")))</f>
        <v/>
      </c>
    </row>
    <row r="382">
      <c r="A382">
        <f>ROW()-2</f>
        <v/>
      </c>
      <c r="B382">
        <f>IF(A382=1,"Pillar",IF(A382&lt;=1+Entity!$B$14,"Cluster",IF(A382&lt;=1+Entity!$B$14+Entity!$B$15,"Supporting","")))</f>
        <v/>
      </c>
      <c r="C382">
        <f>IF(B382="Cluster",INDEX(Attributes!$A$3:$A$52,MATCH(A382-1,Attributes!$P$3:$P$52,0)),IF(B382="Supporting",INDEX(Values!$A$3:$A$502,P382),""))</f>
        <v/>
      </c>
      <c r="D382">
        <f>IF(B382="Supporting",INDEX(Values!$B$3:$B$502,P382),"")</f>
        <v/>
      </c>
      <c r="E382">
        <f>IF(R382="","",UPPER(LEFT(R382,1))&amp;MID(R382,2,500))</f>
        <v/>
      </c>
      <c r="F382">
        <f>IF(E382="","",LOWER(SUBSTITUTE(SUBSTITUTE(SUBSTITUTE(SUBSTITUTE(SUBSTITUTE(SUBSTITUTE(SUBSTITUTE(TRIM(E382),":",""),",",""),"'",""),"&amp;","and"),"£",""),"  "," ")," ","-")))</f>
        <v/>
      </c>
      <c r="G382">
        <f>IF(B382="Cluster",$E$3,IF(B382="Supporting",INDEX($E$3:$E$553,MATCH(C382,$C$3:$C$553,0)),""))</f>
        <v/>
      </c>
      <c r="H382">
        <f>IF(B382="Supporting",IFERROR(INDEX($E$3:$E$553,1+Entity!$B$14+INDEX(Values!$O$3:$O$502,P382)),""),IF(B382="Cluster",IF(Entity!$B$14&lt;2,"",INDEX($E$3:$E$553,IF(A382-1=Entity!$B$14,2,A382+1))),""))</f>
        <v/>
      </c>
      <c r="I382">
        <f>IF(B382="Pillar",Entity!$B$14&amp;" cluster pages",IF(B382="Cluster",(COUNTIF($C$3:$C$553,SUBSTITUTE(SUBSTITUTE(C382,"?","~?"),"*","~*"))-1)&amp;" supporting pages",""))</f>
        <v/>
      </c>
      <c r="J382">
        <f>IF(B382="Pillar","Informational",IF(OR(B382="Cluster",B382="Supporting"),INDEX(Attributes!$D$3:$D$52,Q382)&amp;"",""))</f>
        <v/>
      </c>
      <c r="K382">
        <f>IF(B382="","",IF(B382="Pillar","Pillar guide (entity hub)",IF(B382="Cluster","Hub page for this attribute",IF(INDEX(Values!$C$3:$C$502,P382)="Yes","Entity page (profile of the sub-entity)",IFERROR(INDEX(Lists!$B$3:$B$6,MATCH(J382,Lists!$A$3:$A$6,0)),"Article")))))</f>
        <v/>
      </c>
      <c r="L382">
        <f>IF(B382="Pillar",Entity!$B$6&amp;"",IF(B382="Cluster",INDEX(Attributes!$I$3:$I$52,Q382)&amp;"",IF(B382="Supporting",INDEX(Values!$F$3:$F$502,P382)&amp;"","")))</f>
        <v/>
      </c>
      <c r="M382">
        <f>IF(B382="","",IF(L382&lt;&gt;"","Covered","Gap"))</f>
        <v/>
      </c>
      <c r="N382">
        <f>IF(B382="Pillar",SUMIFS(Values!$E$3:$E$502,Values!$I$3:$I$502,"Yes"),IF(B382="Cluster",SUMIFS(Values!$E$3:$E$502,Values!$A$3:$A$502,SUBSTITUTE(SUBSTITUTE(C382,"?","~?"),"*","~*"),Values!$I$3:$I$502,"Yes"),IF(B382="Supporting",N(INDEX(Values!$E$3:$E$502,P382)),"")))</f>
        <v/>
      </c>
      <c r="O382">
        <f>IF(B382="","",IF(B382="Pillar",100,IF(B382="Cluster",N(INDEX(Attributes!$E$3:$E$52,Q382))*25+IF(M382="Gap",10,0),N(INDEX(Attributes!$E$3:$E$52,Q382))*20+MIN(20,ROUND(LOG10(N(N382)+1)*5,0))+IF(M382="Gap",10,0)+IF(INDEX(Values!$D$3:$D$502,P382)="Yes",5,0))))</f>
        <v/>
      </c>
      <c r="P382">
        <f>IF(B382="Supporting",MATCH(A382-1-Entity!$B$14,Values!$J$3:$J$502,0),"")</f>
        <v/>
      </c>
      <c r="Q382">
        <f>IF(C382="","",MATCH(C382,Attributes!$A$3:$A$52,0))</f>
        <v/>
      </c>
      <c r="R382">
        <f>IF(B382="Pillar",SUBSTITUTE(Entity!$B$7,"{entity}",LOWER(Entity!$B$3)),IF(B382="Cluster",IF(INDEX(Attributes!$G$3:$G$52,Q382)&lt;&gt;"",INDEX(Attributes!$G$3:$G$52,Q382),SUBSTITUTE(SUBSTITUTE(Entity!$B$8,"{entity}",LOWER(Entity!$B$3)),"{attribute}",LOWER(C382))),IF(B382="Supporting",SUBSTITUTE(SUBSTITUTE(SUBSTITUTE(IF(INDEX(Attributes!$H$3:$H$52,Q382)&lt;&gt;"",INDEX(Attributes!$H$3:$H$52,Q382),Entity!$B$9),"{entity}",LOWER(Entity!$B$3)),"{value}",D382),"{attribute}",LOWER(C382)),"")))</f>
        <v/>
      </c>
    </row>
    <row r="383">
      <c r="A383">
        <f>ROW()-2</f>
        <v/>
      </c>
      <c r="B383">
        <f>IF(A383=1,"Pillar",IF(A383&lt;=1+Entity!$B$14,"Cluster",IF(A383&lt;=1+Entity!$B$14+Entity!$B$15,"Supporting","")))</f>
        <v/>
      </c>
      <c r="C383">
        <f>IF(B383="Cluster",INDEX(Attributes!$A$3:$A$52,MATCH(A383-1,Attributes!$P$3:$P$52,0)),IF(B383="Supporting",INDEX(Values!$A$3:$A$502,P383),""))</f>
        <v/>
      </c>
      <c r="D383">
        <f>IF(B383="Supporting",INDEX(Values!$B$3:$B$502,P383),"")</f>
        <v/>
      </c>
      <c r="E383">
        <f>IF(R383="","",UPPER(LEFT(R383,1))&amp;MID(R383,2,500))</f>
        <v/>
      </c>
      <c r="F383">
        <f>IF(E383="","",LOWER(SUBSTITUTE(SUBSTITUTE(SUBSTITUTE(SUBSTITUTE(SUBSTITUTE(SUBSTITUTE(SUBSTITUTE(TRIM(E383),":",""),",",""),"'",""),"&amp;","and"),"£",""),"  "," ")," ","-")))</f>
        <v/>
      </c>
      <c r="G383">
        <f>IF(B383="Cluster",$E$3,IF(B383="Supporting",INDEX($E$3:$E$553,MATCH(C383,$C$3:$C$553,0)),""))</f>
        <v/>
      </c>
      <c r="H383">
        <f>IF(B383="Supporting",IFERROR(INDEX($E$3:$E$553,1+Entity!$B$14+INDEX(Values!$O$3:$O$502,P383)),""),IF(B383="Cluster",IF(Entity!$B$14&lt;2,"",INDEX($E$3:$E$553,IF(A383-1=Entity!$B$14,2,A383+1))),""))</f>
        <v/>
      </c>
      <c r="I383">
        <f>IF(B383="Pillar",Entity!$B$14&amp;" cluster pages",IF(B383="Cluster",(COUNTIF($C$3:$C$553,SUBSTITUTE(SUBSTITUTE(C383,"?","~?"),"*","~*"))-1)&amp;" supporting pages",""))</f>
        <v/>
      </c>
      <c r="J383">
        <f>IF(B383="Pillar","Informational",IF(OR(B383="Cluster",B383="Supporting"),INDEX(Attributes!$D$3:$D$52,Q383)&amp;"",""))</f>
        <v/>
      </c>
      <c r="K383">
        <f>IF(B383="","",IF(B383="Pillar","Pillar guide (entity hub)",IF(B383="Cluster","Hub page for this attribute",IF(INDEX(Values!$C$3:$C$502,P383)="Yes","Entity page (profile of the sub-entity)",IFERROR(INDEX(Lists!$B$3:$B$6,MATCH(J383,Lists!$A$3:$A$6,0)),"Article")))))</f>
        <v/>
      </c>
      <c r="L383">
        <f>IF(B383="Pillar",Entity!$B$6&amp;"",IF(B383="Cluster",INDEX(Attributes!$I$3:$I$52,Q383)&amp;"",IF(B383="Supporting",INDEX(Values!$F$3:$F$502,P383)&amp;"","")))</f>
        <v/>
      </c>
      <c r="M383">
        <f>IF(B383="","",IF(L383&lt;&gt;"","Covered","Gap"))</f>
        <v/>
      </c>
      <c r="N383">
        <f>IF(B383="Pillar",SUMIFS(Values!$E$3:$E$502,Values!$I$3:$I$502,"Yes"),IF(B383="Cluster",SUMIFS(Values!$E$3:$E$502,Values!$A$3:$A$502,SUBSTITUTE(SUBSTITUTE(C383,"?","~?"),"*","~*"),Values!$I$3:$I$502,"Yes"),IF(B383="Supporting",N(INDEX(Values!$E$3:$E$502,P383)),"")))</f>
        <v/>
      </c>
      <c r="O383">
        <f>IF(B383="","",IF(B383="Pillar",100,IF(B383="Cluster",N(INDEX(Attributes!$E$3:$E$52,Q383))*25+IF(M383="Gap",10,0),N(INDEX(Attributes!$E$3:$E$52,Q383))*20+MIN(20,ROUND(LOG10(N(N383)+1)*5,0))+IF(M383="Gap",10,0)+IF(INDEX(Values!$D$3:$D$502,P383)="Yes",5,0))))</f>
        <v/>
      </c>
      <c r="P383">
        <f>IF(B383="Supporting",MATCH(A383-1-Entity!$B$14,Values!$J$3:$J$502,0),"")</f>
        <v/>
      </c>
      <c r="Q383">
        <f>IF(C383="","",MATCH(C383,Attributes!$A$3:$A$52,0))</f>
        <v/>
      </c>
      <c r="R383">
        <f>IF(B383="Pillar",SUBSTITUTE(Entity!$B$7,"{entity}",LOWER(Entity!$B$3)),IF(B383="Cluster",IF(INDEX(Attributes!$G$3:$G$52,Q383)&lt;&gt;"",INDEX(Attributes!$G$3:$G$52,Q383),SUBSTITUTE(SUBSTITUTE(Entity!$B$8,"{entity}",LOWER(Entity!$B$3)),"{attribute}",LOWER(C383))),IF(B383="Supporting",SUBSTITUTE(SUBSTITUTE(SUBSTITUTE(IF(INDEX(Attributes!$H$3:$H$52,Q383)&lt;&gt;"",INDEX(Attributes!$H$3:$H$52,Q383),Entity!$B$9),"{entity}",LOWER(Entity!$B$3)),"{value}",D383),"{attribute}",LOWER(C383)),"")))</f>
        <v/>
      </c>
    </row>
    <row r="384">
      <c r="A384">
        <f>ROW()-2</f>
        <v/>
      </c>
      <c r="B384">
        <f>IF(A384=1,"Pillar",IF(A384&lt;=1+Entity!$B$14,"Cluster",IF(A384&lt;=1+Entity!$B$14+Entity!$B$15,"Supporting","")))</f>
        <v/>
      </c>
      <c r="C384">
        <f>IF(B384="Cluster",INDEX(Attributes!$A$3:$A$52,MATCH(A384-1,Attributes!$P$3:$P$52,0)),IF(B384="Supporting",INDEX(Values!$A$3:$A$502,P384),""))</f>
        <v/>
      </c>
      <c r="D384">
        <f>IF(B384="Supporting",INDEX(Values!$B$3:$B$502,P384),"")</f>
        <v/>
      </c>
      <c r="E384">
        <f>IF(R384="","",UPPER(LEFT(R384,1))&amp;MID(R384,2,500))</f>
        <v/>
      </c>
      <c r="F384">
        <f>IF(E384="","",LOWER(SUBSTITUTE(SUBSTITUTE(SUBSTITUTE(SUBSTITUTE(SUBSTITUTE(SUBSTITUTE(SUBSTITUTE(TRIM(E384),":",""),",",""),"'",""),"&amp;","and"),"£",""),"  "," ")," ","-")))</f>
        <v/>
      </c>
      <c r="G384">
        <f>IF(B384="Cluster",$E$3,IF(B384="Supporting",INDEX($E$3:$E$553,MATCH(C384,$C$3:$C$553,0)),""))</f>
        <v/>
      </c>
      <c r="H384">
        <f>IF(B384="Supporting",IFERROR(INDEX($E$3:$E$553,1+Entity!$B$14+INDEX(Values!$O$3:$O$502,P384)),""),IF(B384="Cluster",IF(Entity!$B$14&lt;2,"",INDEX($E$3:$E$553,IF(A384-1=Entity!$B$14,2,A384+1))),""))</f>
        <v/>
      </c>
      <c r="I384">
        <f>IF(B384="Pillar",Entity!$B$14&amp;" cluster pages",IF(B384="Cluster",(COUNTIF($C$3:$C$553,SUBSTITUTE(SUBSTITUTE(C384,"?","~?"),"*","~*"))-1)&amp;" supporting pages",""))</f>
        <v/>
      </c>
      <c r="J384">
        <f>IF(B384="Pillar","Informational",IF(OR(B384="Cluster",B384="Supporting"),INDEX(Attributes!$D$3:$D$52,Q384)&amp;"",""))</f>
        <v/>
      </c>
      <c r="K384">
        <f>IF(B384="","",IF(B384="Pillar","Pillar guide (entity hub)",IF(B384="Cluster","Hub page for this attribute",IF(INDEX(Values!$C$3:$C$502,P384)="Yes","Entity page (profile of the sub-entity)",IFERROR(INDEX(Lists!$B$3:$B$6,MATCH(J384,Lists!$A$3:$A$6,0)),"Article")))))</f>
        <v/>
      </c>
      <c r="L384">
        <f>IF(B384="Pillar",Entity!$B$6&amp;"",IF(B384="Cluster",INDEX(Attributes!$I$3:$I$52,Q384)&amp;"",IF(B384="Supporting",INDEX(Values!$F$3:$F$502,P384)&amp;"","")))</f>
        <v/>
      </c>
      <c r="M384">
        <f>IF(B384="","",IF(L384&lt;&gt;"","Covered","Gap"))</f>
        <v/>
      </c>
      <c r="N384">
        <f>IF(B384="Pillar",SUMIFS(Values!$E$3:$E$502,Values!$I$3:$I$502,"Yes"),IF(B384="Cluster",SUMIFS(Values!$E$3:$E$502,Values!$A$3:$A$502,SUBSTITUTE(SUBSTITUTE(C384,"?","~?"),"*","~*"),Values!$I$3:$I$502,"Yes"),IF(B384="Supporting",N(INDEX(Values!$E$3:$E$502,P384)),"")))</f>
        <v/>
      </c>
      <c r="O384">
        <f>IF(B384="","",IF(B384="Pillar",100,IF(B384="Cluster",N(INDEX(Attributes!$E$3:$E$52,Q384))*25+IF(M384="Gap",10,0),N(INDEX(Attributes!$E$3:$E$52,Q384))*20+MIN(20,ROUND(LOG10(N(N384)+1)*5,0))+IF(M384="Gap",10,0)+IF(INDEX(Values!$D$3:$D$502,P384)="Yes",5,0))))</f>
        <v/>
      </c>
      <c r="P384">
        <f>IF(B384="Supporting",MATCH(A384-1-Entity!$B$14,Values!$J$3:$J$502,0),"")</f>
        <v/>
      </c>
      <c r="Q384">
        <f>IF(C384="","",MATCH(C384,Attributes!$A$3:$A$52,0))</f>
        <v/>
      </c>
      <c r="R384">
        <f>IF(B384="Pillar",SUBSTITUTE(Entity!$B$7,"{entity}",LOWER(Entity!$B$3)),IF(B384="Cluster",IF(INDEX(Attributes!$G$3:$G$52,Q384)&lt;&gt;"",INDEX(Attributes!$G$3:$G$52,Q384),SUBSTITUTE(SUBSTITUTE(Entity!$B$8,"{entity}",LOWER(Entity!$B$3)),"{attribute}",LOWER(C384))),IF(B384="Supporting",SUBSTITUTE(SUBSTITUTE(SUBSTITUTE(IF(INDEX(Attributes!$H$3:$H$52,Q384)&lt;&gt;"",INDEX(Attributes!$H$3:$H$52,Q384),Entity!$B$9),"{entity}",LOWER(Entity!$B$3)),"{value}",D384),"{attribute}",LOWER(C384)),"")))</f>
        <v/>
      </c>
    </row>
    <row r="385">
      <c r="A385">
        <f>ROW()-2</f>
        <v/>
      </c>
      <c r="B385">
        <f>IF(A385=1,"Pillar",IF(A385&lt;=1+Entity!$B$14,"Cluster",IF(A385&lt;=1+Entity!$B$14+Entity!$B$15,"Supporting","")))</f>
        <v/>
      </c>
      <c r="C385">
        <f>IF(B385="Cluster",INDEX(Attributes!$A$3:$A$52,MATCH(A385-1,Attributes!$P$3:$P$52,0)),IF(B385="Supporting",INDEX(Values!$A$3:$A$502,P385),""))</f>
        <v/>
      </c>
      <c r="D385">
        <f>IF(B385="Supporting",INDEX(Values!$B$3:$B$502,P385),"")</f>
        <v/>
      </c>
      <c r="E385">
        <f>IF(R385="","",UPPER(LEFT(R385,1))&amp;MID(R385,2,500))</f>
        <v/>
      </c>
      <c r="F385">
        <f>IF(E385="","",LOWER(SUBSTITUTE(SUBSTITUTE(SUBSTITUTE(SUBSTITUTE(SUBSTITUTE(SUBSTITUTE(SUBSTITUTE(TRIM(E385),":",""),",",""),"'",""),"&amp;","and"),"£",""),"  "," ")," ","-")))</f>
        <v/>
      </c>
      <c r="G385">
        <f>IF(B385="Cluster",$E$3,IF(B385="Supporting",INDEX($E$3:$E$553,MATCH(C385,$C$3:$C$553,0)),""))</f>
        <v/>
      </c>
      <c r="H385">
        <f>IF(B385="Supporting",IFERROR(INDEX($E$3:$E$553,1+Entity!$B$14+INDEX(Values!$O$3:$O$502,P385)),""),IF(B385="Cluster",IF(Entity!$B$14&lt;2,"",INDEX($E$3:$E$553,IF(A385-1=Entity!$B$14,2,A385+1))),""))</f>
        <v/>
      </c>
      <c r="I385">
        <f>IF(B385="Pillar",Entity!$B$14&amp;" cluster pages",IF(B385="Cluster",(COUNTIF($C$3:$C$553,SUBSTITUTE(SUBSTITUTE(C385,"?","~?"),"*","~*"))-1)&amp;" supporting pages",""))</f>
        <v/>
      </c>
      <c r="J385">
        <f>IF(B385="Pillar","Informational",IF(OR(B385="Cluster",B385="Supporting"),INDEX(Attributes!$D$3:$D$52,Q385)&amp;"",""))</f>
        <v/>
      </c>
      <c r="K385">
        <f>IF(B385="","",IF(B385="Pillar","Pillar guide (entity hub)",IF(B385="Cluster","Hub page for this attribute",IF(INDEX(Values!$C$3:$C$502,P385)="Yes","Entity page (profile of the sub-entity)",IFERROR(INDEX(Lists!$B$3:$B$6,MATCH(J385,Lists!$A$3:$A$6,0)),"Article")))))</f>
        <v/>
      </c>
      <c r="L385">
        <f>IF(B385="Pillar",Entity!$B$6&amp;"",IF(B385="Cluster",INDEX(Attributes!$I$3:$I$52,Q385)&amp;"",IF(B385="Supporting",INDEX(Values!$F$3:$F$502,P385)&amp;"","")))</f>
        <v/>
      </c>
      <c r="M385">
        <f>IF(B385="","",IF(L385&lt;&gt;"","Covered","Gap"))</f>
        <v/>
      </c>
      <c r="N385">
        <f>IF(B385="Pillar",SUMIFS(Values!$E$3:$E$502,Values!$I$3:$I$502,"Yes"),IF(B385="Cluster",SUMIFS(Values!$E$3:$E$502,Values!$A$3:$A$502,SUBSTITUTE(SUBSTITUTE(C385,"?","~?"),"*","~*"),Values!$I$3:$I$502,"Yes"),IF(B385="Supporting",N(INDEX(Values!$E$3:$E$502,P385)),"")))</f>
        <v/>
      </c>
      <c r="O385">
        <f>IF(B385="","",IF(B385="Pillar",100,IF(B385="Cluster",N(INDEX(Attributes!$E$3:$E$52,Q385))*25+IF(M385="Gap",10,0),N(INDEX(Attributes!$E$3:$E$52,Q385))*20+MIN(20,ROUND(LOG10(N(N385)+1)*5,0))+IF(M385="Gap",10,0)+IF(INDEX(Values!$D$3:$D$502,P385)="Yes",5,0))))</f>
        <v/>
      </c>
      <c r="P385">
        <f>IF(B385="Supporting",MATCH(A385-1-Entity!$B$14,Values!$J$3:$J$502,0),"")</f>
        <v/>
      </c>
      <c r="Q385">
        <f>IF(C385="","",MATCH(C385,Attributes!$A$3:$A$52,0))</f>
        <v/>
      </c>
      <c r="R385">
        <f>IF(B385="Pillar",SUBSTITUTE(Entity!$B$7,"{entity}",LOWER(Entity!$B$3)),IF(B385="Cluster",IF(INDEX(Attributes!$G$3:$G$52,Q385)&lt;&gt;"",INDEX(Attributes!$G$3:$G$52,Q385),SUBSTITUTE(SUBSTITUTE(Entity!$B$8,"{entity}",LOWER(Entity!$B$3)),"{attribute}",LOWER(C385))),IF(B385="Supporting",SUBSTITUTE(SUBSTITUTE(SUBSTITUTE(IF(INDEX(Attributes!$H$3:$H$52,Q385)&lt;&gt;"",INDEX(Attributes!$H$3:$H$52,Q385),Entity!$B$9),"{entity}",LOWER(Entity!$B$3)),"{value}",D385),"{attribute}",LOWER(C385)),"")))</f>
        <v/>
      </c>
    </row>
    <row r="386">
      <c r="A386">
        <f>ROW()-2</f>
        <v/>
      </c>
      <c r="B386">
        <f>IF(A386=1,"Pillar",IF(A386&lt;=1+Entity!$B$14,"Cluster",IF(A386&lt;=1+Entity!$B$14+Entity!$B$15,"Supporting","")))</f>
        <v/>
      </c>
      <c r="C386">
        <f>IF(B386="Cluster",INDEX(Attributes!$A$3:$A$52,MATCH(A386-1,Attributes!$P$3:$P$52,0)),IF(B386="Supporting",INDEX(Values!$A$3:$A$502,P386),""))</f>
        <v/>
      </c>
      <c r="D386">
        <f>IF(B386="Supporting",INDEX(Values!$B$3:$B$502,P386),"")</f>
        <v/>
      </c>
      <c r="E386">
        <f>IF(R386="","",UPPER(LEFT(R386,1))&amp;MID(R386,2,500))</f>
        <v/>
      </c>
      <c r="F386">
        <f>IF(E386="","",LOWER(SUBSTITUTE(SUBSTITUTE(SUBSTITUTE(SUBSTITUTE(SUBSTITUTE(SUBSTITUTE(SUBSTITUTE(TRIM(E386),":",""),",",""),"'",""),"&amp;","and"),"£",""),"  "," ")," ","-")))</f>
        <v/>
      </c>
      <c r="G386">
        <f>IF(B386="Cluster",$E$3,IF(B386="Supporting",INDEX($E$3:$E$553,MATCH(C386,$C$3:$C$553,0)),""))</f>
        <v/>
      </c>
      <c r="H386">
        <f>IF(B386="Supporting",IFERROR(INDEX($E$3:$E$553,1+Entity!$B$14+INDEX(Values!$O$3:$O$502,P386)),""),IF(B386="Cluster",IF(Entity!$B$14&lt;2,"",INDEX($E$3:$E$553,IF(A386-1=Entity!$B$14,2,A386+1))),""))</f>
        <v/>
      </c>
      <c r="I386">
        <f>IF(B386="Pillar",Entity!$B$14&amp;" cluster pages",IF(B386="Cluster",(COUNTIF($C$3:$C$553,SUBSTITUTE(SUBSTITUTE(C386,"?","~?"),"*","~*"))-1)&amp;" supporting pages",""))</f>
        <v/>
      </c>
      <c r="J386">
        <f>IF(B386="Pillar","Informational",IF(OR(B386="Cluster",B386="Supporting"),INDEX(Attributes!$D$3:$D$52,Q386)&amp;"",""))</f>
        <v/>
      </c>
      <c r="K386">
        <f>IF(B386="","",IF(B386="Pillar","Pillar guide (entity hub)",IF(B386="Cluster","Hub page for this attribute",IF(INDEX(Values!$C$3:$C$502,P386)="Yes","Entity page (profile of the sub-entity)",IFERROR(INDEX(Lists!$B$3:$B$6,MATCH(J386,Lists!$A$3:$A$6,0)),"Article")))))</f>
        <v/>
      </c>
      <c r="L386">
        <f>IF(B386="Pillar",Entity!$B$6&amp;"",IF(B386="Cluster",INDEX(Attributes!$I$3:$I$52,Q386)&amp;"",IF(B386="Supporting",INDEX(Values!$F$3:$F$502,P386)&amp;"","")))</f>
        <v/>
      </c>
      <c r="M386">
        <f>IF(B386="","",IF(L386&lt;&gt;"","Covered","Gap"))</f>
        <v/>
      </c>
      <c r="N386">
        <f>IF(B386="Pillar",SUMIFS(Values!$E$3:$E$502,Values!$I$3:$I$502,"Yes"),IF(B386="Cluster",SUMIFS(Values!$E$3:$E$502,Values!$A$3:$A$502,SUBSTITUTE(SUBSTITUTE(C386,"?","~?"),"*","~*"),Values!$I$3:$I$502,"Yes"),IF(B386="Supporting",N(INDEX(Values!$E$3:$E$502,P386)),"")))</f>
        <v/>
      </c>
      <c r="O386">
        <f>IF(B386="","",IF(B386="Pillar",100,IF(B386="Cluster",N(INDEX(Attributes!$E$3:$E$52,Q386))*25+IF(M386="Gap",10,0),N(INDEX(Attributes!$E$3:$E$52,Q386))*20+MIN(20,ROUND(LOG10(N(N386)+1)*5,0))+IF(M386="Gap",10,0)+IF(INDEX(Values!$D$3:$D$502,P386)="Yes",5,0))))</f>
        <v/>
      </c>
      <c r="P386">
        <f>IF(B386="Supporting",MATCH(A386-1-Entity!$B$14,Values!$J$3:$J$502,0),"")</f>
        <v/>
      </c>
      <c r="Q386">
        <f>IF(C386="","",MATCH(C386,Attributes!$A$3:$A$52,0))</f>
        <v/>
      </c>
      <c r="R386">
        <f>IF(B386="Pillar",SUBSTITUTE(Entity!$B$7,"{entity}",LOWER(Entity!$B$3)),IF(B386="Cluster",IF(INDEX(Attributes!$G$3:$G$52,Q386)&lt;&gt;"",INDEX(Attributes!$G$3:$G$52,Q386),SUBSTITUTE(SUBSTITUTE(Entity!$B$8,"{entity}",LOWER(Entity!$B$3)),"{attribute}",LOWER(C386))),IF(B386="Supporting",SUBSTITUTE(SUBSTITUTE(SUBSTITUTE(IF(INDEX(Attributes!$H$3:$H$52,Q386)&lt;&gt;"",INDEX(Attributes!$H$3:$H$52,Q386),Entity!$B$9),"{entity}",LOWER(Entity!$B$3)),"{value}",D386),"{attribute}",LOWER(C386)),"")))</f>
        <v/>
      </c>
    </row>
    <row r="387">
      <c r="A387">
        <f>ROW()-2</f>
        <v/>
      </c>
      <c r="B387">
        <f>IF(A387=1,"Pillar",IF(A387&lt;=1+Entity!$B$14,"Cluster",IF(A387&lt;=1+Entity!$B$14+Entity!$B$15,"Supporting","")))</f>
        <v/>
      </c>
      <c r="C387">
        <f>IF(B387="Cluster",INDEX(Attributes!$A$3:$A$52,MATCH(A387-1,Attributes!$P$3:$P$52,0)),IF(B387="Supporting",INDEX(Values!$A$3:$A$502,P387),""))</f>
        <v/>
      </c>
      <c r="D387">
        <f>IF(B387="Supporting",INDEX(Values!$B$3:$B$502,P387),"")</f>
        <v/>
      </c>
      <c r="E387">
        <f>IF(R387="","",UPPER(LEFT(R387,1))&amp;MID(R387,2,500))</f>
        <v/>
      </c>
      <c r="F387">
        <f>IF(E387="","",LOWER(SUBSTITUTE(SUBSTITUTE(SUBSTITUTE(SUBSTITUTE(SUBSTITUTE(SUBSTITUTE(SUBSTITUTE(TRIM(E387),":",""),",",""),"'",""),"&amp;","and"),"£",""),"  "," ")," ","-")))</f>
        <v/>
      </c>
      <c r="G387">
        <f>IF(B387="Cluster",$E$3,IF(B387="Supporting",INDEX($E$3:$E$553,MATCH(C387,$C$3:$C$553,0)),""))</f>
        <v/>
      </c>
      <c r="H387">
        <f>IF(B387="Supporting",IFERROR(INDEX($E$3:$E$553,1+Entity!$B$14+INDEX(Values!$O$3:$O$502,P387)),""),IF(B387="Cluster",IF(Entity!$B$14&lt;2,"",INDEX($E$3:$E$553,IF(A387-1=Entity!$B$14,2,A387+1))),""))</f>
        <v/>
      </c>
      <c r="I387">
        <f>IF(B387="Pillar",Entity!$B$14&amp;" cluster pages",IF(B387="Cluster",(COUNTIF($C$3:$C$553,SUBSTITUTE(SUBSTITUTE(C387,"?","~?"),"*","~*"))-1)&amp;" supporting pages",""))</f>
        <v/>
      </c>
      <c r="J387">
        <f>IF(B387="Pillar","Informational",IF(OR(B387="Cluster",B387="Supporting"),INDEX(Attributes!$D$3:$D$52,Q387)&amp;"",""))</f>
        <v/>
      </c>
      <c r="K387">
        <f>IF(B387="","",IF(B387="Pillar","Pillar guide (entity hub)",IF(B387="Cluster","Hub page for this attribute",IF(INDEX(Values!$C$3:$C$502,P387)="Yes","Entity page (profile of the sub-entity)",IFERROR(INDEX(Lists!$B$3:$B$6,MATCH(J387,Lists!$A$3:$A$6,0)),"Article")))))</f>
        <v/>
      </c>
      <c r="L387">
        <f>IF(B387="Pillar",Entity!$B$6&amp;"",IF(B387="Cluster",INDEX(Attributes!$I$3:$I$52,Q387)&amp;"",IF(B387="Supporting",INDEX(Values!$F$3:$F$502,P387)&amp;"","")))</f>
        <v/>
      </c>
      <c r="M387">
        <f>IF(B387="","",IF(L387&lt;&gt;"","Covered","Gap"))</f>
        <v/>
      </c>
      <c r="N387">
        <f>IF(B387="Pillar",SUMIFS(Values!$E$3:$E$502,Values!$I$3:$I$502,"Yes"),IF(B387="Cluster",SUMIFS(Values!$E$3:$E$502,Values!$A$3:$A$502,SUBSTITUTE(SUBSTITUTE(C387,"?","~?"),"*","~*"),Values!$I$3:$I$502,"Yes"),IF(B387="Supporting",N(INDEX(Values!$E$3:$E$502,P387)),"")))</f>
        <v/>
      </c>
      <c r="O387">
        <f>IF(B387="","",IF(B387="Pillar",100,IF(B387="Cluster",N(INDEX(Attributes!$E$3:$E$52,Q387))*25+IF(M387="Gap",10,0),N(INDEX(Attributes!$E$3:$E$52,Q387))*20+MIN(20,ROUND(LOG10(N(N387)+1)*5,0))+IF(M387="Gap",10,0)+IF(INDEX(Values!$D$3:$D$502,P387)="Yes",5,0))))</f>
        <v/>
      </c>
      <c r="P387">
        <f>IF(B387="Supporting",MATCH(A387-1-Entity!$B$14,Values!$J$3:$J$502,0),"")</f>
        <v/>
      </c>
      <c r="Q387">
        <f>IF(C387="","",MATCH(C387,Attributes!$A$3:$A$52,0))</f>
        <v/>
      </c>
      <c r="R387">
        <f>IF(B387="Pillar",SUBSTITUTE(Entity!$B$7,"{entity}",LOWER(Entity!$B$3)),IF(B387="Cluster",IF(INDEX(Attributes!$G$3:$G$52,Q387)&lt;&gt;"",INDEX(Attributes!$G$3:$G$52,Q387),SUBSTITUTE(SUBSTITUTE(Entity!$B$8,"{entity}",LOWER(Entity!$B$3)),"{attribute}",LOWER(C387))),IF(B387="Supporting",SUBSTITUTE(SUBSTITUTE(SUBSTITUTE(IF(INDEX(Attributes!$H$3:$H$52,Q387)&lt;&gt;"",INDEX(Attributes!$H$3:$H$52,Q387),Entity!$B$9),"{entity}",LOWER(Entity!$B$3)),"{value}",D387),"{attribute}",LOWER(C387)),"")))</f>
        <v/>
      </c>
    </row>
    <row r="388">
      <c r="A388">
        <f>ROW()-2</f>
        <v/>
      </c>
      <c r="B388">
        <f>IF(A388=1,"Pillar",IF(A388&lt;=1+Entity!$B$14,"Cluster",IF(A388&lt;=1+Entity!$B$14+Entity!$B$15,"Supporting","")))</f>
        <v/>
      </c>
      <c r="C388">
        <f>IF(B388="Cluster",INDEX(Attributes!$A$3:$A$52,MATCH(A388-1,Attributes!$P$3:$P$52,0)),IF(B388="Supporting",INDEX(Values!$A$3:$A$502,P388),""))</f>
        <v/>
      </c>
      <c r="D388">
        <f>IF(B388="Supporting",INDEX(Values!$B$3:$B$502,P388),"")</f>
        <v/>
      </c>
      <c r="E388">
        <f>IF(R388="","",UPPER(LEFT(R388,1))&amp;MID(R388,2,500))</f>
        <v/>
      </c>
      <c r="F388">
        <f>IF(E388="","",LOWER(SUBSTITUTE(SUBSTITUTE(SUBSTITUTE(SUBSTITUTE(SUBSTITUTE(SUBSTITUTE(SUBSTITUTE(TRIM(E388),":",""),",",""),"'",""),"&amp;","and"),"£",""),"  "," ")," ","-")))</f>
        <v/>
      </c>
      <c r="G388">
        <f>IF(B388="Cluster",$E$3,IF(B388="Supporting",INDEX($E$3:$E$553,MATCH(C388,$C$3:$C$553,0)),""))</f>
        <v/>
      </c>
      <c r="H388">
        <f>IF(B388="Supporting",IFERROR(INDEX($E$3:$E$553,1+Entity!$B$14+INDEX(Values!$O$3:$O$502,P388)),""),IF(B388="Cluster",IF(Entity!$B$14&lt;2,"",INDEX($E$3:$E$553,IF(A388-1=Entity!$B$14,2,A388+1))),""))</f>
        <v/>
      </c>
      <c r="I388">
        <f>IF(B388="Pillar",Entity!$B$14&amp;" cluster pages",IF(B388="Cluster",(COUNTIF($C$3:$C$553,SUBSTITUTE(SUBSTITUTE(C388,"?","~?"),"*","~*"))-1)&amp;" supporting pages",""))</f>
        <v/>
      </c>
      <c r="J388">
        <f>IF(B388="Pillar","Informational",IF(OR(B388="Cluster",B388="Supporting"),INDEX(Attributes!$D$3:$D$52,Q388)&amp;"",""))</f>
        <v/>
      </c>
      <c r="K388">
        <f>IF(B388="","",IF(B388="Pillar","Pillar guide (entity hub)",IF(B388="Cluster","Hub page for this attribute",IF(INDEX(Values!$C$3:$C$502,P388)="Yes","Entity page (profile of the sub-entity)",IFERROR(INDEX(Lists!$B$3:$B$6,MATCH(J388,Lists!$A$3:$A$6,0)),"Article")))))</f>
        <v/>
      </c>
      <c r="L388">
        <f>IF(B388="Pillar",Entity!$B$6&amp;"",IF(B388="Cluster",INDEX(Attributes!$I$3:$I$52,Q388)&amp;"",IF(B388="Supporting",INDEX(Values!$F$3:$F$502,P388)&amp;"","")))</f>
        <v/>
      </c>
      <c r="M388">
        <f>IF(B388="","",IF(L388&lt;&gt;"","Covered","Gap"))</f>
        <v/>
      </c>
      <c r="N388">
        <f>IF(B388="Pillar",SUMIFS(Values!$E$3:$E$502,Values!$I$3:$I$502,"Yes"),IF(B388="Cluster",SUMIFS(Values!$E$3:$E$502,Values!$A$3:$A$502,SUBSTITUTE(SUBSTITUTE(C388,"?","~?"),"*","~*"),Values!$I$3:$I$502,"Yes"),IF(B388="Supporting",N(INDEX(Values!$E$3:$E$502,P388)),"")))</f>
        <v/>
      </c>
      <c r="O388">
        <f>IF(B388="","",IF(B388="Pillar",100,IF(B388="Cluster",N(INDEX(Attributes!$E$3:$E$52,Q388))*25+IF(M388="Gap",10,0),N(INDEX(Attributes!$E$3:$E$52,Q388))*20+MIN(20,ROUND(LOG10(N(N388)+1)*5,0))+IF(M388="Gap",10,0)+IF(INDEX(Values!$D$3:$D$502,P388)="Yes",5,0))))</f>
        <v/>
      </c>
      <c r="P388">
        <f>IF(B388="Supporting",MATCH(A388-1-Entity!$B$14,Values!$J$3:$J$502,0),"")</f>
        <v/>
      </c>
      <c r="Q388">
        <f>IF(C388="","",MATCH(C388,Attributes!$A$3:$A$52,0))</f>
        <v/>
      </c>
      <c r="R388">
        <f>IF(B388="Pillar",SUBSTITUTE(Entity!$B$7,"{entity}",LOWER(Entity!$B$3)),IF(B388="Cluster",IF(INDEX(Attributes!$G$3:$G$52,Q388)&lt;&gt;"",INDEX(Attributes!$G$3:$G$52,Q388),SUBSTITUTE(SUBSTITUTE(Entity!$B$8,"{entity}",LOWER(Entity!$B$3)),"{attribute}",LOWER(C388))),IF(B388="Supporting",SUBSTITUTE(SUBSTITUTE(SUBSTITUTE(IF(INDEX(Attributes!$H$3:$H$52,Q388)&lt;&gt;"",INDEX(Attributes!$H$3:$H$52,Q388),Entity!$B$9),"{entity}",LOWER(Entity!$B$3)),"{value}",D388),"{attribute}",LOWER(C388)),"")))</f>
        <v/>
      </c>
    </row>
    <row r="389">
      <c r="A389">
        <f>ROW()-2</f>
        <v/>
      </c>
      <c r="B389">
        <f>IF(A389=1,"Pillar",IF(A389&lt;=1+Entity!$B$14,"Cluster",IF(A389&lt;=1+Entity!$B$14+Entity!$B$15,"Supporting","")))</f>
        <v/>
      </c>
      <c r="C389">
        <f>IF(B389="Cluster",INDEX(Attributes!$A$3:$A$52,MATCH(A389-1,Attributes!$P$3:$P$52,0)),IF(B389="Supporting",INDEX(Values!$A$3:$A$502,P389),""))</f>
        <v/>
      </c>
      <c r="D389">
        <f>IF(B389="Supporting",INDEX(Values!$B$3:$B$502,P389),"")</f>
        <v/>
      </c>
      <c r="E389">
        <f>IF(R389="","",UPPER(LEFT(R389,1))&amp;MID(R389,2,500))</f>
        <v/>
      </c>
      <c r="F389">
        <f>IF(E389="","",LOWER(SUBSTITUTE(SUBSTITUTE(SUBSTITUTE(SUBSTITUTE(SUBSTITUTE(SUBSTITUTE(SUBSTITUTE(TRIM(E389),":",""),",",""),"'",""),"&amp;","and"),"£",""),"  "," ")," ","-")))</f>
        <v/>
      </c>
      <c r="G389">
        <f>IF(B389="Cluster",$E$3,IF(B389="Supporting",INDEX($E$3:$E$553,MATCH(C389,$C$3:$C$553,0)),""))</f>
        <v/>
      </c>
      <c r="H389">
        <f>IF(B389="Supporting",IFERROR(INDEX($E$3:$E$553,1+Entity!$B$14+INDEX(Values!$O$3:$O$502,P389)),""),IF(B389="Cluster",IF(Entity!$B$14&lt;2,"",INDEX($E$3:$E$553,IF(A389-1=Entity!$B$14,2,A389+1))),""))</f>
        <v/>
      </c>
      <c r="I389">
        <f>IF(B389="Pillar",Entity!$B$14&amp;" cluster pages",IF(B389="Cluster",(COUNTIF($C$3:$C$553,SUBSTITUTE(SUBSTITUTE(C389,"?","~?"),"*","~*"))-1)&amp;" supporting pages",""))</f>
        <v/>
      </c>
      <c r="J389">
        <f>IF(B389="Pillar","Informational",IF(OR(B389="Cluster",B389="Supporting"),INDEX(Attributes!$D$3:$D$52,Q389)&amp;"",""))</f>
        <v/>
      </c>
      <c r="K389">
        <f>IF(B389="","",IF(B389="Pillar","Pillar guide (entity hub)",IF(B389="Cluster","Hub page for this attribute",IF(INDEX(Values!$C$3:$C$502,P389)="Yes","Entity page (profile of the sub-entity)",IFERROR(INDEX(Lists!$B$3:$B$6,MATCH(J389,Lists!$A$3:$A$6,0)),"Article")))))</f>
        <v/>
      </c>
      <c r="L389">
        <f>IF(B389="Pillar",Entity!$B$6&amp;"",IF(B389="Cluster",INDEX(Attributes!$I$3:$I$52,Q389)&amp;"",IF(B389="Supporting",INDEX(Values!$F$3:$F$502,P389)&amp;"","")))</f>
        <v/>
      </c>
      <c r="M389">
        <f>IF(B389="","",IF(L389&lt;&gt;"","Covered","Gap"))</f>
        <v/>
      </c>
      <c r="N389">
        <f>IF(B389="Pillar",SUMIFS(Values!$E$3:$E$502,Values!$I$3:$I$502,"Yes"),IF(B389="Cluster",SUMIFS(Values!$E$3:$E$502,Values!$A$3:$A$502,SUBSTITUTE(SUBSTITUTE(C389,"?","~?"),"*","~*"),Values!$I$3:$I$502,"Yes"),IF(B389="Supporting",N(INDEX(Values!$E$3:$E$502,P389)),"")))</f>
        <v/>
      </c>
      <c r="O389">
        <f>IF(B389="","",IF(B389="Pillar",100,IF(B389="Cluster",N(INDEX(Attributes!$E$3:$E$52,Q389))*25+IF(M389="Gap",10,0),N(INDEX(Attributes!$E$3:$E$52,Q389))*20+MIN(20,ROUND(LOG10(N(N389)+1)*5,0))+IF(M389="Gap",10,0)+IF(INDEX(Values!$D$3:$D$502,P389)="Yes",5,0))))</f>
        <v/>
      </c>
      <c r="P389">
        <f>IF(B389="Supporting",MATCH(A389-1-Entity!$B$14,Values!$J$3:$J$502,0),"")</f>
        <v/>
      </c>
      <c r="Q389">
        <f>IF(C389="","",MATCH(C389,Attributes!$A$3:$A$52,0))</f>
        <v/>
      </c>
      <c r="R389">
        <f>IF(B389="Pillar",SUBSTITUTE(Entity!$B$7,"{entity}",LOWER(Entity!$B$3)),IF(B389="Cluster",IF(INDEX(Attributes!$G$3:$G$52,Q389)&lt;&gt;"",INDEX(Attributes!$G$3:$G$52,Q389),SUBSTITUTE(SUBSTITUTE(Entity!$B$8,"{entity}",LOWER(Entity!$B$3)),"{attribute}",LOWER(C389))),IF(B389="Supporting",SUBSTITUTE(SUBSTITUTE(SUBSTITUTE(IF(INDEX(Attributes!$H$3:$H$52,Q389)&lt;&gt;"",INDEX(Attributes!$H$3:$H$52,Q389),Entity!$B$9),"{entity}",LOWER(Entity!$B$3)),"{value}",D389),"{attribute}",LOWER(C389)),"")))</f>
        <v/>
      </c>
    </row>
    <row r="390">
      <c r="A390">
        <f>ROW()-2</f>
        <v/>
      </c>
      <c r="B390">
        <f>IF(A390=1,"Pillar",IF(A390&lt;=1+Entity!$B$14,"Cluster",IF(A390&lt;=1+Entity!$B$14+Entity!$B$15,"Supporting","")))</f>
        <v/>
      </c>
      <c r="C390">
        <f>IF(B390="Cluster",INDEX(Attributes!$A$3:$A$52,MATCH(A390-1,Attributes!$P$3:$P$52,0)),IF(B390="Supporting",INDEX(Values!$A$3:$A$502,P390),""))</f>
        <v/>
      </c>
      <c r="D390">
        <f>IF(B390="Supporting",INDEX(Values!$B$3:$B$502,P390),"")</f>
        <v/>
      </c>
      <c r="E390">
        <f>IF(R390="","",UPPER(LEFT(R390,1))&amp;MID(R390,2,500))</f>
        <v/>
      </c>
      <c r="F390">
        <f>IF(E390="","",LOWER(SUBSTITUTE(SUBSTITUTE(SUBSTITUTE(SUBSTITUTE(SUBSTITUTE(SUBSTITUTE(SUBSTITUTE(TRIM(E390),":",""),",",""),"'",""),"&amp;","and"),"£",""),"  "," ")," ","-")))</f>
        <v/>
      </c>
      <c r="G390">
        <f>IF(B390="Cluster",$E$3,IF(B390="Supporting",INDEX($E$3:$E$553,MATCH(C390,$C$3:$C$553,0)),""))</f>
        <v/>
      </c>
      <c r="H390">
        <f>IF(B390="Supporting",IFERROR(INDEX($E$3:$E$553,1+Entity!$B$14+INDEX(Values!$O$3:$O$502,P390)),""),IF(B390="Cluster",IF(Entity!$B$14&lt;2,"",INDEX($E$3:$E$553,IF(A390-1=Entity!$B$14,2,A390+1))),""))</f>
        <v/>
      </c>
      <c r="I390">
        <f>IF(B390="Pillar",Entity!$B$14&amp;" cluster pages",IF(B390="Cluster",(COUNTIF($C$3:$C$553,SUBSTITUTE(SUBSTITUTE(C390,"?","~?"),"*","~*"))-1)&amp;" supporting pages",""))</f>
        <v/>
      </c>
      <c r="J390">
        <f>IF(B390="Pillar","Informational",IF(OR(B390="Cluster",B390="Supporting"),INDEX(Attributes!$D$3:$D$52,Q390)&amp;"",""))</f>
        <v/>
      </c>
      <c r="K390">
        <f>IF(B390="","",IF(B390="Pillar","Pillar guide (entity hub)",IF(B390="Cluster","Hub page for this attribute",IF(INDEX(Values!$C$3:$C$502,P390)="Yes","Entity page (profile of the sub-entity)",IFERROR(INDEX(Lists!$B$3:$B$6,MATCH(J390,Lists!$A$3:$A$6,0)),"Article")))))</f>
        <v/>
      </c>
      <c r="L390">
        <f>IF(B390="Pillar",Entity!$B$6&amp;"",IF(B390="Cluster",INDEX(Attributes!$I$3:$I$52,Q390)&amp;"",IF(B390="Supporting",INDEX(Values!$F$3:$F$502,P390)&amp;"","")))</f>
        <v/>
      </c>
      <c r="M390">
        <f>IF(B390="","",IF(L390&lt;&gt;"","Covered","Gap"))</f>
        <v/>
      </c>
      <c r="N390">
        <f>IF(B390="Pillar",SUMIFS(Values!$E$3:$E$502,Values!$I$3:$I$502,"Yes"),IF(B390="Cluster",SUMIFS(Values!$E$3:$E$502,Values!$A$3:$A$502,SUBSTITUTE(SUBSTITUTE(C390,"?","~?"),"*","~*"),Values!$I$3:$I$502,"Yes"),IF(B390="Supporting",N(INDEX(Values!$E$3:$E$502,P390)),"")))</f>
        <v/>
      </c>
      <c r="O390">
        <f>IF(B390="","",IF(B390="Pillar",100,IF(B390="Cluster",N(INDEX(Attributes!$E$3:$E$52,Q390))*25+IF(M390="Gap",10,0),N(INDEX(Attributes!$E$3:$E$52,Q390))*20+MIN(20,ROUND(LOG10(N(N390)+1)*5,0))+IF(M390="Gap",10,0)+IF(INDEX(Values!$D$3:$D$502,P390)="Yes",5,0))))</f>
        <v/>
      </c>
      <c r="P390">
        <f>IF(B390="Supporting",MATCH(A390-1-Entity!$B$14,Values!$J$3:$J$502,0),"")</f>
        <v/>
      </c>
      <c r="Q390">
        <f>IF(C390="","",MATCH(C390,Attributes!$A$3:$A$52,0))</f>
        <v/>
      </c>
      <c r="R390">
        <f>IF(B390="Pillar",SUBSTITUTE(Entity!$B$7,"{entity}",LOWER(Entity!$B$3)),IF(B390="Cluster",IF(INDEX(Attributes!$G$3:$G$52,Q390)&lt;&gt;"",INDEX(Attributes!$G$3:$G$52,Q390),SUBSTITUTE(SUBSTITUTE(Entity!$B$8,"{entity}",LOWER(Entity!$B$3)),"{attribute}",LOWER(C390))),IF(B390="Supporting",SUBSTITUTE(SUBSTITUTE(SUBSTITUTE(IF(INDEX(Attributes!$H$3:$H$52,Q390)&lt;&gt;"",INDEX(Attributes!$H$3:$H$52,Q390),Entity!$B$9),"{entity}",LOWER(Entity!$B$3)),"{value}",D390),"{attribute}",LOWER(C390)),"")))</f>
        <v/>
      </c>
    </row>
    <row r="391">
      <c r="A391">
        <f>ROW()-2</f>
        <v/>
      </c>
      <c r="B391">
        <f>IF(A391=1,"Pillar",IF(A391&lt;=1+Entity!$B$14,"Cluster",IF(A391&lt;=1+Entity!$B$14+Entity!$B$15,"Supporting","")))</f>
        <v/>
      </c>
      <c r="C391">
        <f>IF(B391="Cluster",INDEX(Attributes!$A$3:$A$52,MATCH(A391-1,Attributes!$P$3:$P$52,0)),IF(B391="Supporting",INDEX(Values!$A$3:$A$502,P391),""))</f>
        <v/>
      </c>
      <c r="D391">
        <f>IF(B391="Supporting",INDEX(Values!$B$3:$B$502,P391),"")</f>
        <v/>
      </c>
      <c r="E391">
        <f>IF(R391="","",UPPER(LEFT(R391,1))&amp;MID(R391,2,500))</f>
        <v/>
      </c>
      <c r="F391">
        <f>IF(E391="","",LOWER(SUBSTITUTE(SUBSTITUTE(SUBSTITUTE(SUBSTITUTE(SUBSTITUTE(SUBSTITUTE(SUBSTITUTE(TRIM(E391),":",""),",",""),"'",""),"&amp;","and"),"£",""),"  "," ")," ","-")))</f>
        <v/>
      </c>
      <c r="G391">
        <f>IF(B391="Cluster",$E$3,IF(B391="Supporting",INDEX($E$3:$E$553,MATCH(C391,$C$3:$C$553,0)),""))</f>
        <v/>
      </c>
      <c r="H391">
        <f>IF(B391="Supporting",IFERROR(INDEX($E$3:$E$553,1+Entity!$B$14+INDEX(Values!$O$3:$O$502,P391)),""),IF(B391="Cluster",IF(Entity!$B$14&lt;2,"",INDEX($E$3:$E$553,IF(A391-1=Entity!$B$14,2,A391+1))),""))</f>
        <v/>
      </c>
      <c r="I391">
        <f>IF(B391="Pillar",Entity!$B$14&amp;" cluster pages",IF(B391="Cluster",(COUNTIF($C$3:$C$553,SUBSTITUTE(SUBSTITUTE(C391,"?","~?"),"*","~*"))-1)&amp;" supporting pages",""))</f>
        <v/>
      </c>
      <c r="J391">
        <f>IF(B391="Pillar","Informational",IF(OR(B391="Cluster",B391="Supporting"),INDEX(Attributes!$D$3:$D$52,Q391)&amp;"",""))</f>
        <v/>
      </c>
      <c r="K391">
        <f>IF(B391="","",IF(B391="Pillar","Pillar guide (entity hub)",IF(B391="Cluster","Hub page for this attribute",IF(INDEX(Values!$C$3:$C$502,P391)="Yes","Entity page (profile of the sub-entity)",IFERROR(INDEX(Lists!$B$3:$B$6,MATCH(J391,Lists!$A$3:$A$6,0)),"Article")))))</f>
        <v/>
      </c>
      <c r="L391">
        <f>IF(B391="Pillar",Entity!$B$6&amp;"",IF(B391="Cluster",INDEX(Attributes!$I$3:$I$52,Q391)&amp;"",IF(B391="Supporting",INDEX(Values!$F$3:$F$502,P391)&amp;"","")))</f>
        <v/>
      </c>
      <c r="M391">
        <f>IF(B391="","",IF(L391&lt;&gt;"","Covered","Gap"))</f>
        <v/>
      </c>
      <c r="N391">
        <f>IF(B391="Pillar",SUMIFS(Values!$E$3:$E$502,Values!$I$3:$I$502,"Yes"),IF(B391="Cluster",SUMIFS(Values!$E$3:$E$502,Values!$A$3:$A$502,SUBSTITUTE(SUBSTITUTE(C391,"?","~?"),"*","~*"),Values!$I$3:$I$502,"Yes"),IF(B391="Supporting",N(INDEX(Values!$E$3:$E$502,P391)),"")))</f>
        <v/>
      </c>
      <c r="O391">
        <f>IF(B391="","",IF(B391="Pillar",100,IF(B391="Cluster",N(INDEX(Attributes!$E$3:$E$52,Q391))*25+IF(M391="Gap",10,0),N(INDEX(Attributes!$E$3:$E$52,Q391))*20+MIN(20,ROUND(LOG10(N(N391)+1)*5,0))+IF(M391="Gap",10,0)+IF(INDEX(Values!$D$3:$D$502,P391)="Yes",5,0))))</f>
        <v/>
      </c>
      <c r="P391">
        <f>IF(B391="Supporting",MATCH(A391-1-Entity!$B$14,Values!$J$3:$J$502,0),"")</f>
        <v/>
      </c>
      <c r="Q391">
        <f>IF(C391="","",MATCH(C391,Attributes!$A$3:$A$52,0))</f>
        <v/>
      </c>
      <c r="R391">
        <f>IF(B391="Pillar",SUBSTITUTE(Entity!$B$7,"{entity}",LOWER(Entity!$B$3)),IF(B391="Cluster",IF(INDEX(Attributes!$G$3:$G$52,Q391)&lt;&gt;"",INDEX(Attributes!$G$3:$G$52,Q391),SUBSTITUTE(SUBSTITUTE(Entity!$B$8,"{entity}",LOWER(Entity!$B$3)),"{attribute}",LOWER(C391))),IF(B391="Supporting",SUBSTITUTE(SUBSTITUTE(SUBSTITUTE(IF(INDEX(Attributes!$H$3:$H$52,Q391)&lt;&gt;"",INDEX(Attributes!$H$3:$H$52,Q391),Entity!$B$9),"{entity}",LOWER(Entity!$B$3)),"{value}",D391),"{attribute}",LOWER(C391)),"")))</f>
        <v/>
      </c>
    </row>
    <row r="392">
      <c r="A392">
        <f>ROW()-2</f>
        <v/>
      </c>
      <c r="B392">
        <f>IF(A392=1,"Pillar",IF(A392&lt;=1+Entity!$B$14,"Cluster",IF(A392&lt;=1+Entity!$B$14+Entity!$B$15,"Supporting","")))</f>
        <v/>
      </c>
      <c r="C392">
        <f>IF(B392="Cluster",INDEX(Attributes!$A$3:$A$52,MATCH(A392-1,Attributes!$P$3:$P$52,0)),IF(B392="Supporting",INDEX(Values!$A$3:$A$502,P392),""))</f>
        <v/>
      </c>
      <c r="D392">
        <f>IF(B392="Supporting",INDEX(Values!$B$3:$B$502,P392),"")</f>
        <v/>
      </c>
      <c r="E392">
        <f>IF(R392="","",UPPER(LEFT(R392,1))&amp;MID(R392,2,500))</f>
        <v/>
      </c>
      <c r="F392">
        <f>IF(E392="","",LOWER(SUBSTITUTE(SUBSTITUTE(SUBSTITUTE(SUBSTITUTE(SUBSTITUTE(SUBSTITUTE(SUBSTITUTE(TRIM(E392),":",""),",",""),"'",""),"&amp;","and"),"£",""),"  "," ")," ","-")))</f>
        <v/>
      </c>
      <c r="G392">
        <f>IF(B392="Cluster",$E$3,IF(B392="Supporting",INDEX($E$3:$E$553,MATCH(C392,$C$3:$C$553,0)),""))</f>
        <v/>
      </c>
      <c r="H392">
        <f>IF(B392="Supporting",IFERROR(INDEX($E$3:$E$553,1+Entity!$B$14+INDEX(Values!$O$3:$O$502,P392)),""),IF(B392="Cluster",IF(Entity!$B$14&lt;2,"",INDEX($E$3:$E$553,IF(A392-1=Entity!$B$14,2,A392+1))),""))</f>
        <v/>
      </c>
      <c r="I392">
        <f>IF(B392="Pillar",Entity!$B$14&amp;" cluster pages",IF(B392="Cluster",(COUNTIF($C$3:$C$553,SUBSTITUTE(SUBSTITUTE(C392,"?","~?"),"*","~*"))-1)&amp;" supporting pages",""))</f>
        <v/>
      </c>
      <c r="J392">
        <f>IF(B392="Pillar","Informational",IF(OR(B392="Cluster",B392="Supporting"),INDEX(Attributes!$D$3:$D$52,Q392)&amp;"",""))</f>
        <v/>
      </c>
      <c r="K392">
        <f>IF(B392="","",IF(B392="Pillar","Pillar guide (entity hub)",IF(B392="Cluster","Hub page for this attribute",IF(INDEX(Values!$C$3:$C$502,P392)="Yes","Entity page (profile of the sub-entity)",IFERROR(INDEX(Lists!$B$3:$B$6,MATCH(J392,Lists!$A$3:$A$6,0)),"Article")))))</f>
        <v/>
      </c>
      <c r="L392">
        <f>IF(B392="Pillar",Entity!$B$6&amp;"",IF(B392="Cluster",INDEX(Attributes!$I$3:$I$52,Q392)&amp;"",IF(B392="Supporting",INDEX(Values!$F$3:$F$502,P392)&amp;"","")))</f>
        <v/>
      </c>
      <c r="M392">
        <f>IF(B392="","",IF(L392&lt;&gt;"","Covered","Gap"))</f>
        <v/>
      </c>
      <c r="N392">
        <f>IF(B392="Pillar",SUMIFS(Values!$E$3:$E$502,Values!$I$3:$I$502,"Yes"),IF(B392="Cluster",SUMIFS(Values!$E$3:$E$502,Values!$A$3:$A$502,SUBSTITUTE(SUBSTITUTE(C392,"?","~?"),"*","~*"),Values!$I$3:$I$502,"Yes"),IF(B392="Supporting",N(INDEX(Values!$E$3:$E$502,P392)),"")))</f>
        <v/>
      </c>
      <c r="O392">
        <f>IF(B392="","",IF(B392="Pillar",100,IF(B392="Cluster",N(INDEX(Attributes!$E$3:$E$52,Q392))*25+IF(M392="Gap",10,0),N(INDEX(Attributes!$E$3:$E$52,Q392))*20+MIN(20,ROUND(LOG10(N(N392)+1)*5,0))+IF(M392="Gap",10,0)+IF(INDEX(Values!$D$3:$D$502,P392)="Yes",5,0))))</f>
        <v/>
      </c>
      <c r="P392">
        <f>IF(B392="Supporting",MATCH(A392-1-Entity!$B$14,Values!$J$3:$J$502,0),"")</f>
        <v/>
      </c>
      <c r="Q392">
        <f>IF(C392="","",MATCH(C392,Attributes!$A$3:$A$52,0))</f>
        <v/>
      </c>
      <c r="R392">
        <f>IF(B392="Pillar",SUBSTITUTE(Entity!$B$7,"{entity}",LOWER(Entity!$B$3)),IF(B392="Cluster",IF(INDEX(Attributes!$G$3:$G$52,Q392)&lt;&gt;"",INDEX(Attributes!$G$3:$G$52,Q392),SUBSTITUTE(SUBSTITUTE(Entity!$B$8,"{entity}",LOWER(Entity!$B$3)),"{attribute}",LOWER(C392))),IF(B392="Supporting",SUBSTITUTE(SUBSTITUTE(SUBSTITUTE(IF(INDEX(Attributes!$H$3:$H$52,Q392)&lt;&gt;"",INDEX(Attributes!$H$3:$H$52,Q392),Entity!$B$9),"{entity}",LOWER(Entity!$B$3)),"{value}",D392),"{attribute}",LOWER(C392)),"")))</f>
        <v/>
      </c>
    </row>
    <row r="393">
      <c r="A393">
        <f>ROW()-2</f>
        <v/>
      </c>
      <c r="B393">
        <f>IF(A393=1,"Pillar",IF(A393&lt;=1+Entity!$B$14,"Cluster",IF(A393&lt;=1+Entity!$B$14+Entity!$B$15,"Supporting","")))</f>
        <v/>
      </c>
      <c r="C393">
        <f>IF(B393="Cluster",INDEX(Attributes!$A$3:$A$52,MATCH(A393-1,Attributes!$P$3:$P$52,0)),IF(B393="Supporting",INDEX(Values!$A$3:$A$502,P393),""))</f>
        <v/>
      </c>
      <c r="D393">
        <f>IF(B393="Supporting",INDEX(Values!$B$3:$B$502,P393),"")</f>
        <v/>
      </c>
      <c r="E393">
        <f>IF(R393="","",UPPER(LEFT(R393,1))&amp;MID(R393,2,500))</f>
        <v/>
      </c>
      <c r="F393">
        <f>IF(E393="","",LOWER(SUBSTITUTE(SUBSTITUTE(SUBSTITUTE(SUBSTITUTE(SUBSTITUTE(SUBSTITUTE(SUBSTITUTE(TRIM(E393),":",""),",",""),"'",""),"&amp;","and"),"£",""),"  "," ")," ","-")))</f>
        <v/>
      </c>
      <c r="G393">
        <f>IF(B393="Cluster",$E$3,IF(B393="Supporting",INDEX($E$3:$E$553,MATCH(C393,$C$3:$C$553,0)),""))</f>
        <v/>
      </c>
      <c r="H393">
        <f>IF(B393="Supporting",IFERROR(INDEX($E$3:$E$553,1+Entity!$B$14+INDEX(Values!$O$3:$O$502,P393)),""),IF(B393="Cluster",IF(Entity!$B$14&lt;2,"",INDEX($E$3:$E$553,IF(A393-1=Entity!$B$14,2,A393+1))),""))</f>
        <v/>
      </c>
      <c r="I393">
        <f>IF(B393="Pillar",Entity!$B$14&amp;" cluster pages",IF(B393="Cluster",(COUNTIF($C$3:$C$553,SUBSTITUTE(SUBSTITUTE(C393,"?","~?"),"*","~*"))-1)&amp;" supporting pages",""))</f>
        <v/>
      </c>
      <c r="J393">
        <f>IF(B393="Pillar","Informational",IF(OR(B393="Cluster",B393="Supporting"),INDEX(Attributes!$D$3:$D$52,Q393)&amp;"",""))</f>
        <v/>
      </c>
      <c r="K393">
        <f>IF(B393="","",IF(B393="Pillar","Pillar guide (entity hub)",IF(B393="Cluster","Hub page for this attribute",IF(INDEX(Values!$C$3:$C$502,P393)="Yes","Entity page (profile of the sub-entity)",IFERROR(INDEX(Lists!$B$3:$B$6,MATCH(J393,Lists!$A$3:$A$6,0)),"Article")))))</f>
        <v/>
      </c>
      <c r="L393">
        <f>IF(B393="Pillar",Entity!$B$6&amp;"",IF(B393="Cluster",INDEX(Attributes!$I$3:$I$52,Q393)&amp;"",IF(B393="Supporting",INDEX(Values!$F$3:$F$502,P393)&amp;"","")))</f>
        <v/>
      </c>
      <c r="M393">
        <f>IF(B393="","",IF(L393&lt;&gt;"","Covered","Gap"))</f>
        <v/>
      </c>
      <c r="N393">
        <f>IF(B393="Pillar",SUMIFS(Values!$E$3:$E$502,Values!$I$3:$I$502,"Yes"),IF(B393="Cluster",SUMIFS(Values!$E$3:$E$502,Values!$A$3:$A$502,SUBSTITUTE(SUBSTITUTE(C393,"?","~?"),"*","~*"),Values!$I$3:$I$502,"Yes"),IF(B393="Supporting",N(INDEX(Values!$E$3:$E$502,P393)),"")))</f>
        <v/>
      </c>
      <c r="O393">
        <f>IF(B393="","",IF(B393="Pillar",100,IF(B393="Cluster",N(INDEX(Attributes!$E$3:$E$52,Q393))*25+IF(M393="Gap",10,0),N(INDEX(Attributes!$E$3:$E$52,Q393))*20+MIN(20,ROUND(LOG10(N(N393)+1)*5,0))+IF(M393="Gap",10,0)+IF(INDEX(Values!$D$3:$D$502,P393)="Yes",5,0))))</f>
        <v/>
      </c>
      <c r="P393">
        <f>IF(B393="Supporting",MATCH(A393-1-Entity!$B$14,Values!$J$3:$J$502,0),"")</f>
        <v/>
      </c>
      <c r="Q393">
        <f>IF(C393="","",MATCH(C393,Attributes!$A$3:$A$52,0))</f>
        <v/>
      </c>
      <c r="R393">
        <f>IF(B393="Pillar",SUBSTITUTE(Entity!$B$7,"{entity}",LOWER(Entity!$B$3)),IF(B393="Cluster",IF(INDEX(Attributes!$G$3:$G$52,Q393)&lt;&gt;"",INDEX(Attributes!$G$3:$G$52,Q393),SUBSTITUTE(SUBSTITUTE(Entity!$B$8,"{entity}",LOWER(Entity!$B$3)),"{attribute}",LOWER(C393))),IF(B393="Supporting",SUBSTITUTE(SUBSTITUTE(SUBSTITUTE(IF(INDEX(Attributes!$H$3:$H$52,Q393)&lt;&gt;"",INDEX(Attributes!$H$3:$H$52,Q393),Entity!$B$9),"{entity}",LOWER(Entity!$B$3)),"{value}",D393),"{attribute}",LOWER(C393)),"")))</f>
        <v/>
      </c>
    </row>
    <row r="394">
      <c r="A394">
        <f>ROW()-2</f>
        <v/>
      </c>
      <c r="B394">
        <f>IF(A394=1,"Pillar",IF(A394&lt;=1+Entity!$B$14,"Cluster",IF(A394&lt;=1+Entity!$B$14+Entity!$B$15,"Supporting","")))</f>
        <v/>
      </c>
      <c r="C394">
        <f>IF(B394="Cluster",INDEX(Attributes!$A$3:$A$52,MATCH(A394-1,Attributes!$P$3:$P$52,0)),IF(B394="Supporting",INDEX(Values!$A$3:$A$502,P394),""))</f>
        <v/>
      </c>
      <c r="D394">
        <f>IF(B394="Supporting",INDEX(Values!$B$3:$B$502,P394),"")</f>
        <v/>
      </c>
      <c r="E394">
        <f>IF(R394="","",UPPER(LEFT(R394,1))&amp;MID(R394,2,500))</f>
        <v/>
      </c>
      <c r="F394">
        <f>IF(E394="","",LOWER(SUBSTITUTE(SUBSTITUTE(SUBSTITUTE(SUBSTITUTE(SUBSTITUTE(SUBSTITUTE(SUBSTITUTE(TRIM(E394),":",""),",",""),"'",""),"&amp;","and"),"£",""),"  "," ")," ","-")))</f>
        <v/>
      </c>
      <c r="G394">
        <f>IF(B394="Cluster",$E$3,IF(B394="Supporting",INDEX($E$3:$E$553,MATCH(C394,$C$3:$C$553,0)),""))</f>
        <v/>
      </c>
      <c r="H394">
        <f>IF(B394="Supporting",IFERROR(INDEX($E$3:$E$553,1+Entity!$B$14+INDEX(Values!$O$3:$O$502,P394)),""),IF(B394="Cluster",IF(Entity!$B$14&lt;2,"",INDEX($E$3:$E$553,IF(A394-1=Entity!$B$14,2,A394+1))),""))</f>
        <v/>
      </c>
      <c r="I394">
        <f>IF(B394="Pillar",Entity!$B$14&amp;" cluster pages",IF(B394="Cluster",(COUNTIF($C$3:$C$553,SUBSTITUTE(SUBSTITUTE(C394,"?","~?"),"*","~*"))-1)&amp;" supporting pages",""))</f>
        <v/>
      </c>
      <c r="J394">
        <f>IF(B394="Pillar","Informational",IF(OR(B394="Cluster",B394="Supporting"),INDEX(Attributes!$D$3:$D$52,Q394)&amp;"",""))</f>
        <v/>
      </c>
      <c r="K394">
        <f>IF(B394="","",IF(B394="Pillar","Pillar guide (entity hub)",IF(B394="Cluster","Hub page for this attribute",IF(INDEX(Values!$C$3:$C$502,P394)="Yes","Entity page (profile of the sub-entity)",IFERROR(INDEX(Lists!$B$3:$B$6,MATCH(J394,Lists!$A$3:$A$6,0)),"Article")))))</f>
        <v/>
      </c>
      <c r="L394">
        <f>IF(B394="Pillar",Entity!$B$6&amp;"",IF(B394="Cluster",INDEX(Attributes!$I$3:$I$52,Q394)&amp;"",IF(B394="Supporting",INDEX(Values!$F$3:$F$502,P394)&amp;"","")))</f>
        <v/>
      </c>
      <c r="M394">
        <f>IF(B394="","",IF(L394&lt;&gt;"","Covered","Gap"))</f>
        <v/>
      </c>
      <c r="N394">
        <f>IF(B394="Pillar",SUMIFS(Values!$E$3:$E$502,Values!$I$3:$I$502,"Yes"),IF(B394="Cluster",SUMIFS(Values!$E$3:$E$502,Values!$A$3:$A$502,SUBSTITUTE(SUBSTITUTE(C394,"?","~?"),"*","~*"),Values!$I$3:$I$502,"Yes"),IF(B394="Supporting",N(INDEX(Values!$E$3:$E$502,P394)),"")))</f>
        <v/>
      </c>
      <c r="O394">
        <f>IF(B394="","",IF(B394="Pillar",100,IF(B394="Cluster",N(INDEX(Attributes!$E$3:$E$52,Q394))*25+IF(M394="Gap",10,0),N(INDEX(Attributes!$E$3:$E$52,Q394))*20+MIN(20,ROUND(LOG10(N(N394)+1)*5,0))+IF(M394="Gap",10,0)+IF(INDEX(Values!$D$3:$D$502,P394)="Yes",5,0))))</f>
        <v/>
      </c>
      <c r="P394">
        <f>IF(B394="Supporting",MATCH(A394-1-Entity!$B$14,Values!$J$3:$J$502,0),"")</f>
        <v/>
      </c>
      <c r="Q394">
        <f>IF(C394="","",MATCH(C394,Attributes!$A$3:$A$52,0))</f>
        <v/>
      </c>
      <c r="R394">
        <f>IF(B394="Pillar",SUBSTITUTE(Entity!$B$7,"{entity}",LOWER(Entity!$B$3)),IF(B394="Cluster",IF(INDEX(Attributes!$G$3:$G$52,Q394)&lt;&gt;"",INDEX(Attributes!$G$3:$G$52,Q394),SUBSTITUTE(SUBSTITUTE(Entity!$B$8,"{entity}",LOWER(Entity!$B$3)),"{attribute}",LOWER(C394))),IF(B394="Supporting",SUBSTITUTE(SUBSTITUTE(SUBSTITUTE(IF(INDEX(Attributes!$H$3:$H$52,Q394)&lt;&gt;"",INDEX(Attributes!$H$3:$H$52,Q394),Entity!$B$9),"{entity}",LOWER(Entity!$B$3)),"{value}",D394),"{attribute}",LOWER(C394)),"")))</f>
        <v/>
      </c>
    </row>
    <row r="395">
      <c r="A395">
        <f>ROW()-2</f>
        <v/>
      </c>
      <c r="B395">
        <f>IF(A395=1,"Pillar",IF(A395&lt;=1+Entity!$B$14,"Cluster",IF(A395&lt;=1+Entity!$B$14+Entity!$B$15,"Supporting","")))</f>
        <v/>
      </c>
      <c r="C395">
        <f>IF(B395="Cluster",INDEX(Attributes!$A$3:$A$52,MATCH(A395-1,Attributes!$P$3:$P$52,0)),IF(B395="Supporting",INDEX(Values!$A$3:$A$502,P395),""))</f>
        <v/>
      </c>
      <c r="D395">
        <f>IF(B395="Supporting",INDEX(Values!$B$3:$B$502,P395),"")</f>
        <v/>
      </c>
      <c r="E395">
        <f>IF(R395="","",UPPER(LEFT(R395,1))&amp;MID(R395,2,500))</f>
        <v/>
      </c>
      <c r="F395">
        <f>IF(E395="","",LOWER(SUBSTITUTE(SUBSTITUTE(SUBSTITUTE(SUBSTITUTE(SUBSTITUTE(SUBSTITUTE(SUBSTITUTE(TRIM(E395),":",""),",",""),"'",""),"&amp;","and"),"£",""),"  "," ")," ","-")))</f>
        <v/>
      </c>
      <c r="G395">
        <f>IF(B395="Cluster",$E$3,IF(B395="Supporting",INDEX($E$3:$E$553,MATCH(C395,$C$3:$C$553,0)),""))</f>
        <v/>
      </c>
      <c r="H395">
        <f>IF(B395="Supporting",IFERROR(INDEX($E$3:$E$553,1+Entity!$B$14+INDEX(Values!$O$3:$O$502,P395)),""),IF(B395="Cluster",IF(Entity!$B$14&lt;2,"",INDEX($E$3:$E$553,IF(A395-1=Entity!$B$14,2,A395+1))),""))</f>
        <v/>
      </c>
      <c r="I395">
        <f>IF(B395="Pillar",Entity!$B$14&amp;" cluster pages",IF(B395="Cluster",(COUNTIF($C$3:$C$553,SUBSTITUTE(SUBSTITUTE(C395,"?","~?"),"*","~*"))-1)&amp;" supporting pages",""))</f>
        <v/>
      </c>
      <c r="J395">
        <f>IF(B395="Pillar","Informational",IF(OR(B395="Cluster",B395="Supporting"),INDEX(Attributes!$D$3:$D$52,Q395)&amp;"",""))</f>
        <v/>
      </c>
      <c r="K395">
        <f>IF(B395="","",IF(B395="Pillar","Pillar guide (entity hub)",IF(B395="Cluster","Hub page for this attribute",IF(INDEX(Values!$C$3:$C$502,P395)="Yes","Entity page (profile of the sub-entity)",IFERROR(INDEX(Lists!$B$3:$B$6,MATCH(J395,Lists!$A$3:$A$6,0)),"Article")))))</f>
        <v/>
      </c>
      <c r="L395">
        <f>IF(B395="Pillar",Entity!$B$6&amp;"",IF(B395="Cluster",INDEX(Attributes!$I$3:$I$52,Q395)&amp;"",IF(B395="Supporting",INDEX(Values!$F$3:$F$502,P395)&amp;"","")))</f>
        <v/>
      </c>
      <c r="M395">
        <f>IF(B395="","",IF(L395&lt;&gt;"","Covered","Gap"))</f>
        <v/>
      </c>
      <c r="N395">
        <f>IF(B395="Pillar",SUMIFS(Values!$E$3:$E$502,Values!$I$3:$I$502,"Yes"),IF(B395="Cluster",SUMIFS(Values!$E$3:$E$502,Values!$A$3:$A$502,SUBSTITUTE(SUBSTITUTE(C395,"?","~?"),"*","~*"),Values!$I$3:$I$502,"Yes"),IF(B395="Supporting",N(INDEX(Values!$E$3:$E$502,P395)),"")))</f>
        <v/>
      </c>
      <c r="O395">
        <f>IF(B395="","",IF(B395="Pillar",100,IF(B395="Cluster",N(INDEX(Attributes!$E$3:$E$52,Q395))*25+IF(M395="Gap",10,0),N(INDEX(Attributes!$E$3:$E$52,Q395))*20+MIN(20,ROUND(LOG10(N(N395)+1)*5,0))+IF(M395="Gap",10,0)+IF(INDEX(Values!$D$3:$D$502,P395)="Yes",5,0))))</f>
        <v/>
      </c>
      <c r="P395">
        <f>IF(B395="Supporting",MATCH(A395-1-Entity!$B$14,Values!$J$3:$J$502,0),"")</f>
        <v/>
      </c>
      <c r="Q395">
        <f>IF(C395="","",MATCH(C395,Attributes!$A$3:$A$52,0))</f>
        <v/>
      </c>
      <c r="R395">
        <f>IF(B395="Pillar",SUBSTITUTE(Entity!$B$7,"{entity}",LOWER(Entity!$B$3)),IF(B395="Cluster",IF(INDEX(Attributes!$G$3:$G$52,Q395)&lt;&gt;"",INDEX(Attributes!$G$3:$G$52,Q395),SUBSTITUTE(SUBSTITUTE(Entity!$B$8,"{entity}",LOWER(Entity!$B$3)),"{attribute}",LOWER(C395))),IF(B395="Supporting",SUBSTITUTE(SUBSTITUTE(SUBSTITUTE(IF(INDEX(Attributes!$H$3:$H$52,Q395)&lt;&gt;"",INDEX(Attributes!$H$3:$H$52,Q395),Entity!$B$9),"{entity}",LOWER(Entity!$B$3)),"{value}",D395),"{attribute}",LOWER(C395)),"")))</f>
        <v/>
      </c>
    </row>
    <row r="396">
      <c r="A396">
        <f>ROW()-2</f>
        <v/>
      </c>
      <c r="B396">
        <f>IF(A396=1,"Pillar",IF(A396&lt;=1+Entity!$B$14,"Cluster",IF(A396&lt;=1+Entity!$B$14+Entity!$B$15,"Supporting","")))</f>
        <v/>
      </c>
      <c r="C396">
        <f>IF(B396="Cluster",INDEX(Attributes!$A$3:$A$52,MATCH(A396-1,Attributes!$P$3:$P$52,0)),IF(B396="Supporting",INDEX(Values!$A$3:$A$502,P396),""))</f>
        <v/>
      </c>
      <c r="D396">
        <f>IF(B396="Supporting",INDEX(Values!$B$3:$B$502,P396),"")</f>
        <v/>
      </c>
      <c r="E396">
        <f>IF(R396="","",UPPER(LEFT(R396,1))&amp;MID(R396,2,500))</f>
        <v/>
      </c>
      <c r="F396">
        <f>IF(E396="","",LOWER(SUBSTITUTE(SUBSTITUTE(SUBSTITUTE(SUBSTITUTE(SUBSTITUTE(SUBSTITUTE(SUBSTITUTE(TRIM(E396),":",""),",",""),"'",""),"&amp;","and"),"£",""),"  "," ")," ","-")))</f>
        <v/>
      </c>
      <c r="G396">
        <f>IF(B396="Cluster",$E$3,IF(B396="Supporting",INDEX($E$3:$E$553,MATCH(C396,$C$3:$C$553,0)),""))</f>
        <v/>
      </c>
      <c r="H396">
        <f>IF(B396="Supporting",IFERROR(INDEX($E$3:$E$553,1+Entity!$B$14+INDEX(Values!$O$3:$O$502,P396)),""),IF(B396="Cluster",IF(Entity!$B$14&lt;2,"",INDEX($E$3:$E$553,IF(A396-1=Entity!$B$14,2,A396+1))),""))</f>
        <v/>
      </c>
      <c r="I396">
        <f>IF(B396="Pillar",Entity!$B$14&amp;" cluster pages",IF(B396="Cluster",(COUNTIF($C$3:$C$553,SUBSTITUTE(SUBSTITUTE(C396,"?","~?"),"*","~*"))-1)&amp;" supporting pages",""))</f>
        <v/>
      </c>
      <c r="J396">
        <f>IF(B396="Pillar","Informational",IF(OR(B396="Cluster",B396="Supporting"),INDEX(Attributes!$D$3:$D$52,Q396)&amp;"",""))</f>
        <v/>
      </c>
      <c r="K396">
        <f>IF(B396="","",IF(B396="Pillar","Pillar guide (entity hub)",IF(B396="Cluster","Hub page for this attribute",IF(INDEX(Values!$C$3:$C$502,P396)="Yes","Entity page (profile of the sub-entity)",IFERROR(INDEX(Lists!$B$3:$B$6,MATCH(J396,Lists!$A$3:$A$6,0)),"Article")))))</f>
        <v/>
      </c>
      <c r="L396">
        <f>IF(B396="Pillar",Entity!$B$6&amp;"",IF(B396="Cluster",INDEX(Attributes!$I$3:$I$52,Q396)&amp;"",IF(B396="Supporting",INDEX(Values!$F$3:$F$502,P396)&amp;"","")))</f>
        <v/>
      </c>
      <c r="M396">
        <f>IF(B396="","",IF(L396&lt;&gt;"","Covered","Gap"))</f>
        <v/>
      </c>
      <c r="N396">
        <f>IF(B396="Pillar",SUMIFS(Values!$E$3:$E$502,Values!$I$3:$I$502,"Yes"),IF(B396="Cluster",SUMIFS(Values!$E$3:$E$502,Values!$A$3:$A$502,SUBSTITUTE(SUBSTITUTE(C396,"?","~?"),"*","~*"),Values!$I$3:$I$502,"Yes"),IF(B396="Supporting",N(INDEX(Values!$E$3:$E$502,P396)),"")))</f>
        <v/>
      </c>
      <c r="O396">
        <f>IF(B396="","",IF(B396="Pillar",100,IF(B396="Cluster",N(INDEX(Attributes!$E$3:$E$52,Q396))*25+IF(M396="Gap",10,0),N(INDEX(Attributes!$E$3:$E$52,Q396))*20+MIN(20,ROUND(LOG10(N(N396)+1)*5,0))+IF(M396="Gap",10,0)+IF(INDEX(Values!$D$3:$D$502,P396)="Yes",5,0))))</f>
        <v/>
      </c>
      <c r="P396">
        <f>IF(B396="Supporting",MATCH(A396-1-Entity!$B$14,Values!$J$3:$J$502,0),"")</f>
        <v/>
      </c>
      <c r="Q396">
        <f>IF(C396="","",MATCH(C396,Attributes!$A$3:$A$52,0))</f>
        <v/>
      </c>
      <c r="R396">
        <f>IF(B396="Pillar",SUBSTITUTE(Entity!$B$7,"{entity}",LOWER(Entity!$B$3)),IF(B396="Cluster",IF(INDEX(Attributes!$G$3:$G$52,Q396)&lt;&gt;"",INDEX(Attributes!$G$3:$G$52,Q396),SUBSTITUTE(SUBSTITUTE(Entity!$B$8,"{entity}",LOWER(Entity!$B$3)),"{attribute}",LOWER(C396))),IF(B396="Supporting",SUBSTITUTE(SUBSTITUTE(SUBSTITUTE(IF(INDEX(Attributes!$H$3:$H$52,Q396)&lt;&gt;"",INDEX(Attributes!$H$3:$H$52,Q396),Entity!$B$9),"{entity}",LOWER(Entity!$B$3)),"{value}",D396),"{attribute}",LOWER(C396)),"")))</f>
        <v/>
      </c>
    </row>
    <row r="397">
      <c r="A397">
        <f>ROW()-2</f>
        <v/>
      </c>
      <c r="B397">
        <f>IF(A397=1,"Pillar",IF(A397&lt;=1+Entity!$B$14,"Cluster",IF(A397&lt;=1+Entity!$B$14+Entity!$B$15,"Supporting","")))</f>
        <v/>
      </c>
      <c r="C397">
        <f>IF(B397="Cluster",INDEX(Attributes!$A$3:$A$52,MATCH(A397-1,Attributes!$P$3:$P$52,0)),IF(B397="Supporting",INDEX(Values!$A$3:$A$502,P397),""))</f>
        <v/>
      </c>
      <c r="D397">
        <f>IF(B397="Supporting",INDEX(Values!$B$3:$B$502,P397),"")</f>
        <v/>
      </c>
      <c r="E397">
        <f>IF(R397="","",UPPER(LEFT(R397,1))&amp;MID(R397,2,500))</f>
        <v/>
      </c>
      <c r="F397">
        <f>IF(E397="","",LOWER(SUBSTITUTE(SUBSTITUTE(SUBSTITUTE(SUBSTITUTE(SUBSTITUTE(SUBSTITUTE(SUBSTITUTE(TRIM(E397),":",""),",",""),"'",""),"&amp;","and"),"£",""),"  "," ")," ","-")))</f>
        <v/>
      </c>
      <c r="G397">
        <f>IF(B397="Cluster",$E$3,IF(B397="Supporting",INDEX($E$3:$E$553,MATCH(C397,$C$3:$C$553,0)),""))</f>
        <v/>
      </c>
      <c r="H397">
        <f>IF(B397="Supporting",IFERROR(INDEX($E$3:$E$553,1+Entity!$B$14+INDEX(Values!$O$3:$O$502,P397)),""),IF(B397="Cluster",IF(Entity!$B$14&lt;2,"",INDEX($E$3:$E$553,IF(A397-1=Entity!$B$14,2,A397+1))),""))</f>
        <v/>
      </c>
      <c r="I397">
        <f>IF(B397="Pillar",Entity!$B$14&amp;" cluster pages",IF(B397="Cluster",(COUNTIF($C$3:$C$553,SUBSTITUTE(SUBSTITUTE(C397,"?","~?"),"*","~*"))-1)&amp;" supporting pages",""))</f>
        <v/>
      </c>
      <c r="J397">
        <f>IF(B397="Pillar","Informational",IF(OR(B397="Cluster",B397="Supporting"),INDEX(Attributes!$D$3:$D$52,Q397)&amp;"",""))</f>
        <v/>
      </c>
      <c r="K397">
        <f>IF(B397="","",IF(B397="Pillar","Pillar guide (entity hub)",IF(B397="Cluster","Hub page for this attribute",IF(INDEX(Values!$C$3:$C$502,P397)="Yes","Entity page (profile of the sub-entity)",IFERROR(INDEX(Lists!$B$3:$B$6,MATCH(J397,Lists!$A$3:$A$6,0)),"Article")))))</f>
        <v/>
      </c>
      <c r="L397">
        <f>IF(B397="Pillar",Entity!$B$6&amp;"",IF(B397="Cluster",INDEX(Attributes!$I$3:$I$52,Q397)&amp;"",IF(B397="Supporting",INDEX(Values!$F$3:$F$502,P397)&amp;"","")))</f>
        <v/>
      </c>
      <c r="M397">
        <f>IF(B397="","",IF(L397&lt;&gt;"","Covered","Gap"))</f>
        <v/>
      </c>
      <c r="N397">
        <f>IF(B397="Pillar",SUMIFS(Values!$E$3:$E$502,Values!$I$3:$I$502,"Yes"),IF(B397="Cluster",SUMIFS(Values!$E$3:$E$502,Values!$A$3:$A$502,SUBSTITUTE(SUBSTITUTE(C397,"?","~?"),"*","~*"),Values!$I$3:$I$502,"Yes"),IF(B397="Supporting",N(INDEX(Values!$E$3:$E$502,P397)),"")))</f>
        <v/>
      </c>
      <c r="O397">
        <f>IF(B397="","",IF(B397="Pillar",100,IF(B397="Cluster",N(INDEX(Attributes!$E$3:$E$52,Q397))*25+IF(M397="Gap",10,0),N(INDEX(Attributes!$E$3:$E$52,Q397))*20+MIN(20,ROUND(LOG10(N(N397)+1)*5,0))+IF(M397="Gap",10,0)+IF(INDEX(Values!$D$3:$D$502,P397)="Yes",5,0))))</f>
        <v/>
      </c>
      <c r="P397">
        <f>IF(B397="Supporting",MATCH(A397-1-Entity!$B$14,Values!$J$3:$J$502,0),"")</f>
        <v/>
      </c>
      <c r="Q397">
        <f>IF(C397="","",MATCH(C397,Attributes!$A$3:$A$52,0))</f>
        <v/>
      </c>
      <c r="R397">
        <f>IF(B397="Pillar",SUBSTITUTE(Entity!$B$7,"{entity}",LOWER(Entity!$B$3)),IF(B397="Cluster",IF(INDEX(Attributes!$G$3:$G$52,Q397)&lt;&gt;"",INDEX(Attributes!$G$3:$G$52,Q397),SUBSTITUTE(SUBSTITUTE(Entity!$B$8,"{entity}",LOWER(Entity!$B$3)),"{attribute}",LOWER(C397))),IF(B397="Supporting",SUBSTITUTE(SUBSTITUTE(SUBSTITUTE(IF(INDEX(Attributes!$H$3:$H$52,Q397)&lt;&gt;"",INDEX(Attributes!$H$3:$H$52,Q397),Entity!$B$9),"{entity}",LOWER(Entity!$B$3)),"{value}",D397),"{attribute}",LOWER(C397)),"")))</f>
        <v/>
      </c>
    </row>
    <row r="398">
      <c r="A398">
        <f>ROW()-2</f>
        <v/>
      </c>
      <c r="B398">
        <f>IF(A398=1,"Pillar",IF(A398&lt;=1+Entity!$B$14,"Cluster",IF(A398&lt;=1+Entity!$B$14+Entity!$B$15,"Supporting","")))</f>
        <v/>
      </c>
      <c r="C398">
        <f>IF(B398="Cluster",INDEX(Attributes!$A$3:$A$52,MATCH(A398-1,Attributes!$P$3:$P$52,0)),IF(B398="Supporting",INDEX(Values!$A$3:$A$502,P398),""))</f>
        <v/>
      </c>
      <c r="D398">
        <f>IF(B398="Supporting",INDEX(Values!$B$3:$B$502,P398),"")</f>
        <v/>
      </c>
      <c r="E398">
        <f>IF(R398="","",UPPER(LEFT(R398,1))&amp;MID(R398,2,500))</f>
        <v/>
      </c>
      <c r="F398">
        <f>IF(E398="","",LOWER(SUBSTITUTE(SUBSTITUTE(SUBSTITUTE(SUBSTITUTE(SUBSTITUTE(SUBSTITUTE(SUBSTITUTE(TRIM(E398),":",""),",",""),"'",""),"&amp;","and"),"£",""),"  "," ")," ","-")))</f>
        <v/>
      </c>
      <c r="G398">
        <f>IF(B398="Cluster",$E$3,IF(B398="Supporting",INDEX($E$3:$E$553,MATCH(C398,$C$3:$C$553,0)),""))</f>
        <v/>
      </c>
      <c r="H398">
        <f>IF(B398="Supporting",IFERROR(INDEX($E$3:$E$553,1+Entity!$B$14+INDEX(Values!$O$3:$O$502,P398)),""),IF(B398="Cluster",IF(Entity!$B$14&lt;2,"",INDEX($E$3:$E$553,IF(A398-1=Entity!$B$14,2,A398+1))),""))</f>
        <v/>
      </c>
      <c r="I398">
        <f>IF(B398="Pillar",Entity!$B$14&amp;" cluster pages",IF(B398="Cluster",(COUNTIF($C$3:$C$553,SUBSTITUTE(SUBSTITUTE(C398,"?","~?"),"*","~*"))-1)&amp;" supporting pages",""))</f>
        <v/>
      </c>
      <c r="J398">
        <f>IF(B398="Pillar","Informational",IF(OR(B398="Cluster",B398="Supporting"),INDEX(Attributes!$D$3:$D$52,Q398)&amp;"",""))</f>
        <v/>
      </c>
      <c r="K398">
        <f>IF(B398="","",IF(B398="Pillar","Pillar guide (entity hub)",IF(B398="Cluster","Hub page for this attribute",IF(INDEX(Values!$C$3:$C$502,P398)="Yes","Entity page (profile of the sub-entity)",IFERROR(INDEX(Lists!$B$3:$B$6,MATCH(J398,Lists!$A$3:$A$6,0)),"Article")))))</f>
        <v/>
      </c>
      <c r="L398">
        <f>IF(B398="Pillar",Entity!$B$6&amp;"",IF(B398="Cluster",INDEX(Attributes!$I$3:$I$52,Q398)&amp;"",IF(B398="Supporting",INDEX(Values!$F$3:$F$502,P398)&amp;"","")))</f>
        <v/>
      </c>
      <c r="M398">
        <f>IF(B398="","",IF(L398&lt;&gt;"","Covered","Gap"))</f>
        <v/>
      </c>
      <c r="N398">
        <f>IF(B398="Pillar",SUMIFS(Values!$E$3:$E$502,Values!$I$3:$I$502,"Yes"),IF(B398="Cluster",SUMIFS(Values!$E$3:$E$502,Values!$A$3:$A$502,SUBSTITUTE(SUBSTITUTE(C398,"?","~?"),"*","~*"),Values!$I$3:$I$502,"Yes"),IF(B398="Supporting",N(INDEX(Values!$E$3:$E$502,P398)),"")))</f>
        <v/>
      </c>
      <c r="O398">
        <f>IF(B398="","",IF(B398="Pillar",100,IF(B398="Cluster",N(INDEX(Attributes!$E$3:$E$52,Q398))*25+IF(M398="Gap",10,0),N(INDEX(Attributes!$E$3:$E$52,Q398))*20+MIN(20,ROUND(LOG10(N(N398)+1)*5,0))+IF(M398="Gap",10,0)+IF(INDEX(Values!$D$3:$D$502,P398)="Yes",5,0))))</f>
        <v/>
      </c>
      <c r="P398">
        <f>IF(B398="Supporting",MATCH(A398-1-Entity!$B$14,Values!$J$3:$J$502,0),"")</f>
        <v/>
      </c>
      <c r="Q398">
        <f>IF(C398="","",MATCH(C398,Attributes!$A$3:$A$52,0))</f>
        <v/>
      </c>
      <c r="R398">
        <f>IF(B398="Pillar",SUBSTITUTE(Entity!$B$7,"{entity}",LOWER(Entity!$B$3)),IF(B398="Cluster",IF(INDEX(Attributes!$G$3:$G$52,Q398)&lt;&gt;"",INDEX(Attributes!$G$3:$G$52,Q398),SUBSTITUTE(SUBSTITUTE(Entity!$B$8,"{entity}",LOWER(Entity!$B$3)),"{attribute}",LOWER(C398))),IF(B398="Supporting",SUBSTITUTE(SUBSTITUTE(SUBSTITUTE(IF(INDEX(Attributes!$H$3:$H$52,Q398)&lt;&gt;"",INDEX(Attributes!$H$3:$H$52,Q398),Entity!$B$9),"{entity}",LOWER(Entity!$B$3)),"{value}",D398),"{attribute}",LOWER(C398)),"")))</f>
        <v/>
      </c>
    </row>
    <row r="399">
      <c r="A399">
        <f>ROW()-2</f>
        <v/>
      </c>
      <c r="B399">
        <f>IF(A399=1,"Pillar",IF(A399&lt;=1+Entity!$B$14,"Cluster",IF(A399&lt;=1+Entity!$B$14+Entity!$B$15,"Supporting","")))</f>
        <v/>
      </c>
      <c r="C399">
        <f>IF(B399="Cluster",INDEX(Attributes!$A$3:$A$52,MATCH(A399-1,Attributes!$P$3:$P$52,0)),IF(B399="Supporting",INDEX(Values!$A$3:$A$502,P399),""))</f>
        <v/>
      </c>
      <c r="D399">
        <f>IF(B399="Supporting",INDEX(Values!$B$3:$B$502,P399),"")</f>
        <v/>
      </c>
      <c r="E399">
        <f>IF(R399="","",UPPER(LEFT(R399,1))&amp;MID(R399,2,500))</f>
        <v/>
      </c>
      <c r="F399">
        <f>IF(E399="","",LOWER(SUBSTITUTE(SUBSTITUTE(SUBSTITUTE(SUBSTITUTE(SUBSTITUTE(SUBSTITUTE(SUBSTITUTE(TRIM(E399),":",""),",",""),"'",""),"&amp;","and"),"£",""),"  "," ")," ","-")))</f>
        <v/>
      </c>
      <c r="G399">
        <f>IF(B399="Cluster",$E$3,IF(B399="Supporting",INDEX($E$3:$E$553,MATCH(C399,$C$3:$C$553,0)),""))</f>
        <v/>
      </c>
      <c r="H399">
        <f>IF(B399="Supporting",IFERROR(INDEX($E$3:$E$553,1+Entity!$B$14+INDEX(Values!$O$3:$O$502,P399)),""),IF(B399="Cluster",IF(Entity!$B$14&lt;2,"",INDEX($E$3:$E$553,IF(A399-1=Entity!$B$14,2,A399+1))),""))</f>
        <v/>
      </c>
      <c r="I399">
        <f>IF(B399="Pillar",Entity!$B$14&amp;" cluster pages",IF(B399="Cluster",(COUNTIF($C$3:$C$553,SUBSTITUTE(SUBSTITUTE(C399,"?","~?"),"*","~*"))-1)&amp;" supporting pages",""))</f>
        <v/>
      </c>
      <c r="J399">
        <f>IF(B399="Pillar","Informational",IF(OR(B399="Cluster",B399="Supporting"),INDEX(Attributes!$D$3:$D$52,Q399)&amp;"",""))</f>
        <v/>
      </c>
      <c r="K399">
        <f>IF(B399="","",IF(B399="Pillar","Pillar guide (entity hub)",IF(B399="Cluster","Hub page for this attribute",IF(INDEX(Values!$C$3:$C$502,P399)="Yes","Entity page (profile of the sub-entity)",IFERROR(INDEX(Lists!$B$3:$B$6,MATCH(J399,Lists!$A$3:$A$6,0)),"Article")))))</f>
        <v/>
      </c>
      <c r="L399">
        <f>IF(B399="Pillar",Entity!$B$6&amp;"",IF(B399="Cluster",INDEX(Attributes!$I$3:$I$52,Q399)&amp;"",IF(B399="Supporting",INDEX(Values!$F$3:$F$502,P399)&amp;"","")))</f>
        <v/>
      </c>
      <c r="M399">
        <f>IF(B399="","",IF(L399&lt;&gt;"","Covered","Gap"))</f>
        <v/>
      </c>
      <c r="N399">
        <f>IF(B399="Pillar",SUMIFS(Values!$E$3:$E$502,Values!$I$3:$I$502,"Yes"),IF(B399="Cluster",SUMIFS(Values!$E$3:$E$502,Values!$A$3:$A$502,SUBSTITUTE(SUBSTITUTE(C399,"?","~?"),"*","~*"),Values!$I$3:$I$502,"Yes"),IF(B399="Supporting",N(INDEX(Values!$E$3:$E$502,P399)),"")))</f>
        <v/>
      </c>
      <c r="O399">
        <f>IF(B399="","",IF(B399="Pillar",100,IF(B399="Cluster",N(INDEX(Attributes!$E$3:$E$52,Q399))*25+IF(M399="Gap",10,0),N(INDEX(Attributes!$E$3:$E$52,Q399))*20+MIN(20,ROUND(LOG10(N(N399)+1)*5,0))+IF(M399="Gap",10,0)+IF(INDEX(Values!$D$3:$D$502,P399)="Yes",5,0))))</f>
        <v/>
      </c>
      <c r="P399">
        <f>IF(B399="Supporting",MATCH(A399-1-Entity!$B$14,Values!$J$3:$J$502,0),"")</f>
        <v/>
      </c>
      <c r="Q399">
        <f>IF(C399="","",MATCH(C399,Attributes!$A$3:$A$52,0))</f>
        <v/>
      </c>
      <c r="R399">
        <f>IF(B399="Pillar",SUBSTITUTE(Entity!$B$7,"{entity}",LOWER(Entity!$B$3)),IF(B399="Cluster",IF(INDEX(Attributes!$G$3:$G$52,Q399)&lt;&gt;"",INDEX(Attributes!$G$3:$G$52,Q399),SUBSTITUTE(SUBSTITUTE(Entity!$B$8,"{entity}",LOWER(Entity!$B$3)),"{attribute}",LOWER(C399))),IF(B399="Supporting",SUBSTITUTE(SUBSTITUTE(SUBSTITUTE(IF(INDEX(Attributes!$H$3:$H$52,Q399)&lt;&gt;"",INDEX(Attributes!$H$3:$H$52,Q399),Entity!$B$9),"{entity}",LOWER(Entity!$B$3)),"{value}",D399),"{attribute}",LOWER(C399)),"")))</f>
        <v/>
      </c>
    </row>
    <row r="400">
      <c r="A400">
        <f>ROW()-2</f>
        <v/>
      </c>
      <c r="B400">
        <f>IF(A400=1,"Pillar",IF(A400&lt;=1+Entity!$B$14,"Cluster",IF(A400&lt;=1+Entity!$B$14+Entity!$B$15,"Supporting","")))</f>
        <v/>
      </c>
      <c r="C400">
        <f>IF(B400="Cluster",INDEX(Attributes!$A$3:$A$52,MATCH(A400-1,Attributes!$P$3:$P$52,0)),IF(B400="Supporting",INDEX(Values!$A$3:$A$502,P400),""))</f>
        <v/>
      </c>
      <c r="D400">
        <f>IF(B400="Supporting",INDEX(Values!$B$3:$B$502,P400),"")</f>
        <v/>
      </c>
      <c r="E400">
        <f>IF(R400="","",UPPER(LEFT(R400,1))&amp;MID(R400,2,500))</f>
        <v/>
      </c>
      <c r="F400">
        <f>IF(E400="","",LOWER(SUBSTITUTE(SUBSTITUTE(SUBSTITUTE(SUBSTITUTE(SUBSTITUTE(SUBSTITUTE(SUBSTITUTE(TRIM(E400),":",""),",",""),"'",""),"&amp;","and"),"£",""),"  "," ")," ","-")))</f>
        <v/>
      </c>
      <c r="G400">
        <f>IF(B400="Cluster",$E$3,IF(B400="Supporting",INDEX($E$3:$E$553,MATCH(C400,$C$3:$C$553,0)),""))</f>
        <v/>
      </c>
      <c r="H400">
        <f>IF(B400="Supporting",IFERROR(INDEX($E$3:$E$553,1+Entity!$B$14+INDEX(Values!$O$3:$O$502,P400)),""),IF(B400="Cluster",IF(Entity!$B$14&lt;2,"",INDEX($E$3:$E$553,IF(A400-1=Entity!$B$14,2,A400+1))),""))</f>
        <v/>
      </c>
      <c r="I400">
        <f>IF(B400="Pillar",Entity!$B$14&amp;" cluster pages",IF(B400="Cluster",(COUNTIF($C$3:$C$553,SUBSTITUTE(SUBSTITUTE(C400,"?","~?"),"*","~*"))-1)&amp;" supporting pages",""))</f>
        <v/>
      </c>
      <c r="J400">
        <f>IF(B400="Pillar","Informational",IF(OR(B400="Cluster",B400="Supporting"),INDEX(Attributes!$D$3:$D$52,Q400)&amp;"",""))</f>
        <v/>
      </c>
      <c r="K400">
        <f>IF(B400="","",IF(B400="Pillar","Pillar guide (entity hub)",IF(B400="Cluster","Hub page for this attribute",IF(INDEX(Values!$C$3:$C$502,P400)="Yes","Entity page (profile of the sub-entity)",IFERROR(INDEX(Lists!$B$3:$B$6,MATCH(J400,Lists!$A$3:$A$6,0)),"Article")))))</f>
        <v/>
      </c>
      <c r="L400">
        <f>IF(B400="Pillar",Entity!$B$6&amp;"",IF(B400="Cluster",INDEX(Attributes!$I$3:$I$52,Q400)&amp;"",IF(B400="Supporting",INDEX(Values!$F$3:$F$502,P400)&amp;"","")))</f>
        <v/>
      </c>
      <c r="M400">
        <f>IF(B400="","",IF(L400&lt;&gt;"","Covered","Gap"))</f>
        <v/>
      </c>
      <c r="N400">
        <f>IF(B400="Pillar",SUMIFS(Values!$E$3:$E$502,Values!$I$3:$I$502,"Yes"),IF(B400="Cluster",SUMIFS(Values!$E$3:$E$502,Values!$A$3:$A$502,SUBSTITUTE(SUBSTITUTE(C400,"?","~?"),"*","~*"),Values!$I$3:$I$502,"Yes"),IF(B400="Supporting",N(INDEX(Values!$E$3:$E$502,P400)),"")))</f>
        <v/>
      </c>
      <c r="O400">
        <f>IF(B400="","",IF(B400="Pillar",100,IF(B400="Cluster",N(INDEX(Attributes!$E$3:$E$52,Q400))*25+IF(M400="Gap",10,0),N(INDEX(Attributes!$E$3:$E$52,Q400))*20+MIN(20,ROUND(LOG10(N(N400)+1)*5,0))+IF(M400="Gap",10,0)+IF(INDEX(Values!$D$3:$D$502,P400)="Yes",5,0))))</f>
        <v/>
      </c>
      <c r="P400">
        <f>IF(B400="Supporting",MATCH(A400-1-Entity!$B$14,Values!$J$3:$J$502,0),"")</f>
        <v/>
      </c>
      <c r="Q400">
        <f>IF(C400="","",MATCH(C400,Attributes!$A$3:$A$52,0))</f>
        <v/>
      </c>
      <c r="R400">
        <f>IF(B400="Pillar",SUBSTITUTE(Entity!$B$7,"{entity}",LOWER(Entity!$B$3)),IF(B400="Cluster",IF(INDEX(Attributes!$G$3:$G$52,Q400)&lt;&gt;"",INDEX(Attributes!$G$3:$G$52,Q400),SUBSTITUTE(SUBSTITUTE(Entity!$B$8,"{entity}",LOWER(Entity!$B$3)),"{attribute}",LOWER(C400))),IF(B400="Supporting",SUBSTITUTE(SUBSTITUTE(SUBSTITUTE(IF(INDEX(Attributes!$H$3:$H$52,Q400)&lt;&gt;"",INDEX(Attributes!$H$3:$H$52,Q400),Entity!$B$9),"{entity}",LOWER(Entity!$B$3)),"{value}",D400),"{attribute}",LOWER(C400)),"")))</f>
        <v/>
      </c>
    </row>
    <row r="401">
      <c r="A401">
        <f>ROW()-2</f>
        <v/>
      </c>
      <c r="B401">
        <f>IF(A401=1,"Pillar",IF(A401&lt;=1+Entity!$B$14,"Cluster",IF(A401&lt;=1+Entity!$B$14+Entity!$B$15,"Supporting","")))</f>
        <v/>
      </c>
      <c r="C401">
        <f>IF(B401="Cluster",INDEX(Attributes!$A$3:$A$52,MATCH(A401-1,Attributes!$P$3:$P$52,0)),IF(B401="Supporting",INDEX(Values!$A$3:$A$502,P401),""))</f>
        <v/>
      </c>
      <c r="D401">
        <f>IF(B401="Supporting",INDEX(Values!$B$3:$B$502,P401),"")</f>
        <v/>
      </c>
      <c r="E401">
        <f>IF(R401="","",UPPER(LEFT(R401,1))&amp;MID(R401,2,500))</f>
        <v/>
      </c>
      <c r="F401">
        <f>IF(E401="","",LOWER(SUBSTITUTE(SUBSTITUTE(SUBSTITUTE(SUBSTITUTE(SUBSTITUTE(SUBSTITUTE(SUBSTITUTE(TRIM(E401),":",""),",",""),"'",""),"&amp;","and"),"£",""),"  "," ")," ","-")))</f>
        <v/>
      </c>
      <c r="G401">
        <f>IF(B401="Cluster",$E$3,IF(B401="Supporting",INDEX($E$3:$E$553,MATCH(C401,$C$3:$C$553,0)),""))</f>
        <v/>
      </c>
      <c r="H401">
        <f>IF(B401="Supporting",IFERROR(INDEX($E$3:$E$553,1+Entity!$B$14+INDEX(Values!$O$3:$O$502,P401)),""),IF(B401="Cluster",IF(Entity!$B$14&lt;2,"",INDEX($E$3:$E$553,IF(A401-1=Entity!$B$14,2,A401+1))),""))</f>
        <v/>
      </c>
      <c r="I401">
        <f>IF(B401="Pillar",Entity!$B$14&amp;" cluster pages",IF(B401="Cluster",(COUNTIF($C$3:$C$553,SUBSTITUTE(SUBSTITUTE(C401,"?","~?"),"*","~*"))-1)&amp;" supporting pages",""))</f>
        <v/>
      </c>
      <c r="J401">
        <f>IF(B401="Pillar","Informational",IF(OR(B401="Cluster",B401="Supporting"),INDEX(Attributes!$D$3:$D$52,Q401)&amp;"",""))</f>
        <v/>
      </c>
      <c r="K401">
        <f>IF(B401="","",IF(B401="Pillar","Pillar guide (entity hub)",IF(B401="Cluster","Hub page for this attribute",IF(INDEX(Values!$C$3:$C$502,P401)="Yes","Entity page (profile of the sub-entity)",IFERROR(INDEX(Lists!$B$3:$B$6,MATCH(J401,Lists!$A$3:$A$6,0)),"Article")))))</f>
        <v/>
      </c>
      <c r="L401">
        <f>IF(B401="Pillar",Entity!$B$6&amp;"",IF(B401="Cluster",INDEX(Attributes!$I$3:$I$52,Q401)&amp;"",IF(B401="Supporting",INDEX(Values!$F$3:$F$502,P401)&amp;"","")))</f>
        <v/>
      </c>
      <c r="M401">
        <f>IF(B401="","",IF(L401&lt;&gt;"","Covered","Gap"))</f>
        <v/>
      </c>
      <c r="N401">
        <f>IF(B401="Pillar",SUMIFS(Values!$E$3:$E$502,Values!$I$3:$I$502,"Yes"),IF(B401="Cluster",SUMIFS(Values!$E$3:$E$502,Values!$A$3:$A$502,SUBSTITUTE(SUBSTITUTE(C401,"?","~?"),"*","~*"),Values!$I$3:$I$502,"Yes"),IF(B401="Supporting",N(INDEX(Values!$E$3:$E$502,P401)),"")))</f>
        <v/>
      </c>
      <c r="O401">
        <f>IF(B401="","",IF(B401="Pillar",100,IF(B401="Cluster",N(INDEX(Attributes!$E$3:$E$52,Q401))*25+IF(M401="Gap",10,0),N(INDEX(Attributes!$E$3:$E$52,Q401))*20+MIN(20,ROUND(LOG10(N(N401)+1)*5,0))+IF(M401="Gap",10,0)+IF(INDEX(Values!$D$3:$D$502,P401)="Yes",5,0))))</f>
        <v/>
      </c>
      <c r="P401">
        <f>IF(B401="Supporting",MATCH(A401-1-Entity!$B$14,Values!$J$3:$J$502,0),"")</f>
        <v/>
      </c>
      <c r="Q401">
        <f>IF(C401="","",MATCH(C401,Attributes!$A$3:$A$52,0))</f>
        <v/>
      </c>
      <c r="R401">
        <f>IF(B401="Pillar",SUBSTITUTE(Entity!$B$7,"{entity}",LOWER(Entity!$B$3)),IF(B401="Cluster",IF(INDEX(Attributes!$G$3:$G$52,Q401)&lt;&gt;"",INDEX(Attributes!$G$3:$G$52,Q401),SUBSTITUTE(SUBSTITUTE(Entity!$B$8,"{entity}",LOWER(Entity!$B$3)),"{attribute}",LOWER(C401))),IF(B401="Supporting",SUBSTITUTE(SUBSTITUTE(SUBSTITUTE(IF(INDEX(Attributes!$H$3:$H$52,Q401)&lt;&gt;"",INDEX(Attributes!$H$3:$H$52,Q401),Entity!$B$9),"{entity}",LOWER(Entity!$B$3)),"{value}",D401),"{attribute}",LOWER(C401)),"")))</f>
        <v/>
      </c>
    </row>
    <row r="402">
      <c r="A402">
        <f>ROW()-2</f>
        <v/>
      </c>
      <c r="B402">
        <f>IF(A402=1,"Pillar",IF(A402&lt;=1+Entity!$B$14,"Cluster",IF(A402&lt;=1+Entity!$B$14+Entity!$B$15,"Supporting","")))</f>
        <v/>
      </c>
      <c r="C402">
        <f>IF(B402="Cluster",INDEX(Attributes!$A$3:$A$52,MATCH(A402-1,Attributes!$P$3:$P$52,0)),IF(B402="Supporting",INDEX(Values!$A$3:$A$502,P402),""))</f>
        <v/>
      </c>
      <c r="D402">
        <f>IF(B402="Supporting",INDEX(Values!$B$3:$B$502,P402),"")</f>
        <v/>
      </c>
      <c r="E402">
        <f>IF(R402="","",UPPER(LEFT(R402,1))&amp;MID(R402,2,500))</f>
        <v/>
      </c>
      <c r="F402">
        <f>IF(E402="","",LOWER(SUBSTITUTE(SUBSTITUTE(SUBSTITUTE(SUBSTITUTE(SUBSTITUTE(SUBSTITUTE(SUBSTITUTE(TRIM(E402),":",""),",",""),"'",""),"&amp;","and"),"£",""),"  "," ")," ","-")))</f>
        <v/>
      </c>
      <c r="G402">
        <f>IF(B402="Cluster",$E$3,IF(B402="Supporting",INDEX($E$3:$E$553,MATCH(C402,$C$3:$C$553,0)),""))</f>
        <v/>
      </c>
      <c r="H402">
        <f>IF(B402="Supporting",IFERROR(INDEX($E$3:$E$553,1+Entity!$B$14+INDEX(Values!$O$3:$O$502,P402)),""),IF(B402="Cluster",IF(Entity!$B$14&lt;2,"",INDEX($E$3:$E$553,IF(A402-1=Entity!$B$14,2,A402+1))),""))</f>
        <v/>
      </c>
      <c r="I402">
        <f>IF(B402="Pillar",Entity!$B$14&amp;" cluster pages",IF(B402="Cluster",(COUNTIF($C$3:$C$553,SUBSTITUTE(SUBSTITUTE(C402,"?","~?"),"*","~*"))-1)&amp;" supporting pages",""))</f>
        <v/>
      </c>
      <c r="J402">
        <f>IF(B402="Pillar","Informational",IF(OR(B402="Cluster",B402="Supporting"),INDEX(Attributes!$D$3:$D$52,Q402)&amp;"",""))</f>
        <v/>
      </c>
      <c r="K402">
        <f>IF(B402="","",IF(B402="Pillar","Pillar guide (entity hub)",IF(B402="Cluster","Hub page for this attribute",IF(INDEX(Values!$C$3:$C$502,P402)="Yes","Entity page (profile of the sub-entity)",IFERROR(INDEX(Lists!$B$3:$B$6,MATCH(J402,Lists!$A$3:$A$6,0)),"Article")))))</f>
        <v/>
      </c>
      <c r="L402">
        <f>IF(B402="Pillar",Entity!$B$6&amp;"",IF(B402="Cluster",INDEX(Attributes!$I$3:$I$52,Q402)&amp;"",IF(B402="Supporting",INDEX(Values!$F$3:$F$502,P402)&amp;"","")))</f>
        <v/>
      </c>
      <c r="M402">
        <f>IF(B402="","",IF(L402&lt;&gt;"","Covered","Gap"))</f>
        <v/>
      </c>
      <c r="N402">
        <f>IF(B402="Pillar",SUMIFS(Values!$E$3:$E$502,Values!$I$3:$I$502,"Yes"),IF(B402="Cluster",SUMIFS(Values!$E$3:$E$502,Values!$A$3:$A$502,SUBSTITUTE(SUBSTITUTE(C402,"?","~?"),"*","~*"),Values!$I$3:$I$502,"Yes"),IF(B402="Supporting",N(INDEX(Values!$E$3:$E$502,P402)),"")))</f>
        <v/>
      </c>
      <c r="O402">
        <f>IF(B402="","",IF(B402="Pillar",100,IF(B402="Cluster",N(INDEX(Attributes!$E$3:$E$52,Q402))*25+IF(M402="Gap",10,0),N(INDEX(Attributes!$E$3:$E$52,Q402))*20+MIN(20,ROUND(LOG10(N(N402)+1)*5,0))+IF(M402="Gap",10,0)+IF(INDEX(Values!$D$3:$D$502,P402)="Yes",5,0))))</f>
        <v/>
      </c>
      <c r="P402">
        <f>IF(B402="Supporting",MATCH(A402-1-Entity!$B$14,Values!$J$3:$J$502,0),"")</f>
        <v/>
      </c>
      <c r="Q402">
        <f>IF(C402="","",MATCH(C402,Attributes!$A$3:$A$52,0))</f>
        <v/>
      </c>
      <c r="R402">
        <f>IF(B402="Pillar",SUBSTITUTE(Entity!$B$7,"{entity}",LOWER(Entity!$B$3)),IF(B402="Cluster",IF(INDEX(Attributes!$G$3:$G$52,Q402)&lt;&gt;"",INDEX(Attributes!$G$3:$G$52,Q402),SUBSTITUTE(SUBSTITUTE(Entity!$B$8,"{entity}",LOWER(Entity!$B$3)),"{attribute}",LOWER(C402))),IF(B402="Supporting",SUBSTITUTE(SUBSTITUTE(SUBSTITUTE(IF(INDEX(Attributes!$H$3:$H$52,Q402)&lt;&gt;"",INDEX(Attributes!$H$3:$H$52,Q402),Entity!$B$9),"{entity}",LOWER(Entity!$B$3)),"{value}",D402),"{attribute}",LOWER(C402)),"")))</f>
        <v/>
      </c>
    </row>
    <row r="403">
      <c r="A403">
        <f>ROW()-2</f>
        <v/>
      </c>
      <c r="B403">
        <f>IF(A403=1,"Pillar",IF(A403&lt;=1+Entity!$B$14,"Cluster",IF(A403&lt;=1+Entity!$B$14+Entity!$B$15,"Supporting","")))</f>
        <v/>
      </c>
      <c r="C403">
        <f>IF(B403="Cluster",INDEX(Attributes!$A$3:$A$52,MATCH(A403-1,Attributes!$P$3:$P$52,0)),IF(B403="Supporting",INDEX(Values!$A$3:$A$502,P403),""))</f>
        <v/>
      </c>
      <c r="D403">
        <f>IF(B403="Supporting",INDEX(Values!$B$3:$B$502,P403),"")</f>
        <v/>
      </c>
      <c r="E403">
        <f>IF(R403="","",UPPER(LEFT(R403,1))&amp;MID(R403,2,500))</f>
        <v/>
      </c>
      <c r="F403">
        <f>IF(E403="","",LOWER(SUBSTITUTE(SUBSTITUTE(SUBSTITUTE(SUBSTITUTE(SUBSTITUTE(SUBSTITUTE(SUBSTITUTE(TRIM(E403),":",""),",",""),"'",""),"&amp;","and"),"£",""),"  "," ")," ","-")))</f>
        <v/>
      </c>
      <c r="G403">
        <f>IF(B403="Cluster",$E$3,IF(B403="Supporting",INDEX($E$3:$E$553,MATCH(C403,$C$3:$C$553,0)),""))</f>
        <v/>
      </c>
      <c r="H403">
        <f>IF(B403="Supporting",IFERROR(INDEX($E$3:$E$553,1+Entity!$B$14+INDEX(Values!$O$3:$O$502,P403)),""),IF(B403="Cluster",IF(Entity!$B$14&lt;2,"",INDEX($E$3:$E$553,IF(A403-1=Entity!$B$14,2,A403+1))),""))</f>
        <v/>
      </c>
      <c r="I403">
        <f>IF(B403="Pillar",Entity!$B$14&amp;" cluster pages",IF(B403="Cluster",(COUNTIF($C$3:$C$553,SUBSTITUTE(SUBSTITUTE(C403,"?","~?"),"*","~*"))-1)&amp;" supporting pages",""))</f>
        <v/>
      </c>
      <c r="J403">
        <f>IF(B403="Pillar","Informational",IF(OR(B403="Cluster",B403="Supporting"),INDEX(Attributes!$D$3:$D$52,Q403)&amp;"",""))</f>
        <v/>
      </c>
      <c r="K403">
        <f>IF(B403="","",IF(B403="Pillar","Pillar guide (entity hub)",IF(B403="Cluster","Hub page for this attribute",IF(INDEX(Values!$C$3:$C$502,P403)="Yes","Entity page (profile of the sub-entity)",IFERROR(INDEX(Lists!$B$3:$B$6,MATCH(J403,Lists!$A$3:$A$6,0)),"Article")))))</f>
        <v/>
      </c>
      <c r="L403">
        <f>IF(B403="Pillar",Entity!$B$6&amp;"",IF(B403="Cluster",INDEX(Attributes!$I$3:$I$52,Q403)&amp;"",IF(B403="Supporting",INDEX(Values!$F$3:$F$502,P403)&amp;"","")))</f>
        <v/>
      </c>
      <c r="M403">
        <f>IF(B403="","",IF(L403&lt;&gt;"","Covered","Gap"))</f>
        <v/>
      </c>
      <c r="N403">
        <f>IF(B403="Pillar",SUMIFS(Values!$E$3:$E$502,Values!$I$3:$I$502,"Yes"),IF(B403="Cluster",SUMIFS(Values!$E$3:$E$502,Values!$A$3:$A$502,SUBSTITUTE(SUBSTITUTE(C403,"?","~?"),"*","~*"),Values!$I$3:$I$502,"Yes"),IF(B403="Supporting",N(INDEX(Values!$E$3:$E$502,P403)),"")))</f>
        <v/>
      </c>
      <c r="O403">
        <f>IF(B403="","",IF(B403="Pillar",100,IF(B403="Cluster",N(INDEX(Attributes!$E$3:$E$52,Q403))*25+IF(M403="Gap",10,0),N(INDEX(Attributes!$E$3:$E$52,Q403))*20+MIN(20,ROUND(LOG10(N(N403)+1)*5,0))+IF(M403="Gap",10,0)+IF(INDEX(Values!$D$3:$D$502,P403)="Yes",5,0))))</f>
        <v/>
      </c>
      <c r="P403">
        <f>IF(B403="Supporting",MATCH(A403-1-Entity!$B$14,Values!$J$3:$J$502,0),"")</f>
        <v/>
      </c>
      <c r="Q403">
        <f>IF(C403="","",MATCH(C403,Attributes!$A$3:$A$52,0))</f>
        <v/>
      </c>
      <c r="R403">
        <f>IF(B403="Pillar",SUBSTITUTE(Entity!$B$7,"{entity}",LOWER(Entity!$B$3)),IF(B403="Cluster",IF(INDEX(Attributes!$G$3:$G$52,Q403)&lt;&gt;"",INDEX(Attributes!$G$3:$G$52,Q403),SUBSTITUTE(SUBSTITUTE(Entity!$B$8,"{entity}",LOWER(Entity!$B$3)),"{attribute}",LOWER(C403))),IF(B403="Supporting",SUBSTITUTE(SUBSTITUTE(SUBSTITUTE(IF(INDEX(Attributes!$H$3:$H$52,Q403)&lt;&gt;"",INDEX(Attributes!$H$3:$H$52,Q403),Entity!$B$9),"{entity}",LOWER(Entity!$B$3)),"{value}",D403),"{attribute}",LOWER(C403)),"")))</f>
        <v/>
      </c>
    </row>
    <row r="404">
      <c r="A404">
        <f>ROW()-2</f>
        <v/>
      </c>
      <c r="B404">
        <f>IF(A404=1,"Pillar",IF(A404&lt;=1+Entity!$B$14,"Cluster",IF(A404&lt;=1+Entity!$B$14+Entity!$B$15,"Supporting","")))</f>
        <v/>
      </c>
      <c r="C404">
        <f>IF(B404="Cluster",INDEX(Attributes!$A$3:$A$52,MATCH(A404-1,Attributes!$P$3:$P$52,0)),IF(B404="Supporting",INDEX(Values!$A$3:$A$502,P404),""))</f>
        <v/>
      </c>
      <c r="D404">
        <f>IF(B404="Supporting",INDEX(Values!$B$3:$B$502,P404),"")</f>
        <v/>
      </c>
      <c r="E404">
        <f>IF(R404="","",UPPER(LEFT(R404,1))&amp;MID(R404,2,500))</f>
        <v/>
      </c>
      <c r="F404">
        <f>IF(E404="","",LOWER(SUBSTITUTE(SUBSTITUTE(SUBSTITUTE(SUBSTITUTE(SUBSTITUTE(SUBSTITUTE(SUBSTITUTE(TRIM(E404),":",""),",",""),"'",""),"&amp;","and"),"£",""),"  "," ")," ","-")))</f>
        <v/>
      </c>
      <c r="G404">
        <f>IF(B404="Cluster",$E$3,IF(B404="Supporting",INDEX($E$3:$E$553,MATCH(C404,$C$3:$C$553,0)),""))</f>
        <v/>
      </c>
      <c r="H404">
        <f>IF(B404="Supporting",IFERROR(INDEX($E$3:$E$553,1+Entity!$B$14+INDEX(Values!$O$3:$O$502,P404)),""),IF(B404="Cluster",IF(Entity!$B$14&lt;2,"",INDEX($E$3:$E$553,IF(A404-1=Entity!$B$14,2,A404+1))),""))</f>
        <v/>
      </c>
      <c r="I404">
        <f>IF(B404="Pillar",Entity!$B$14&amp;" cluster pages",IF(B404="Cluster",(COUNTIF($C$3:$C$553,SUBSTITUTE(SUBSTITUTE(C404,"?","~?"),"*","~*"))-1)&amp;" supporting pages",""))</f>
        <v/>
      </c>
      <c r="J404">
        <f>IF(B404="Pillar","Informational",IF(OR(B404="Cluster",B404="Supporting"),INDEX(Attributes!$D$3:$D$52,Q404)&amp;"",""))</f>
        <v/>
      </c>
      <c r="K404">
        <f>IF(B404="","",IF(B404="Pillar","Pillar guide (entity hub)",IF(B404="Cluster","Hub page for this attribute",IF(INDEX(Values!$C$3:$C$502,P404)="Yes","Entity page (profile of the sub-entity)",IFERROR(INDEX(Lists!$B$3:$B$6,MATCH(J404,Lists!$A$3:$A$6,0)),"Article")))))</f>
        <v/>
      </c>
      <c r="L404">
        <f>IF(B404="Pillar",Entity!$B$6&amp;"",IF(B404="Cluster",INDEX(Attributes!$I$3:$I$52,Q404)&amp;"",IF(B404="Supporting",INDEX(Values!$F$3:$F$502,P404)&amp;"","")))</f>
        <v/>
      </c>
      <c r="M404">
        <f>IF(B404="","",IF(L404&lt;&gt;"","Covered","Gap"))</f>
        <v/>
      </c>
      <c r="N404">
        <f>IF(B404="Pillar",SUMIFS(Values!$E$3:$E$502,Values!$I$3:$I$502,"Yes"),IF(B404="Cluster",SUMIFS(Values!$E$3:$E$502,Values!$A$3:$A$502,SUBSTITUTE(SUBSTITUTE(C404,"?","~?"),"*","~*"),Values!$I$3:$I$502,"Yes"),IF(B404="Supporting",N(INDEX(Values!$E$3:$E$502,P404)),"")))</f>
        <v/>
      </c>
      <c r="O404">
        <f>IF(B404="","",IF(B404="Pillar",100,IF(B404="Cluster",N(INDEX(Attributes!$E$3:$E$52,Q404))*25+IF(M404="Gap",10,0),N(INDEX(Attributes!$E$3:$E$52,Q404))*20+MIN(20,ROUND(LOG10(N(N404)+1)*5,0))+IF(M404="Gap",10,0)+IF(INDEX(Values!$D$3:$D$502,P404)="Yes",5,0))))</f>
        <v/>
      </c>
      <c r="P404">
        <f>IF(B404="Supporting",MATCH(A404-1-Entity!$B$14,Values!$J$3:$J$502,0),"")</f>
        <v/>
      </c>
      <c r="Q404">
        <f>IF(C404="","",MATCH(C404,Attributes!$A$3:$A$52,0))</f>
        <v/>
      </c>
      <c r="R404">
        <f>IF(B404="Pillar",SUBSTITUTE(Entity!$B$7,"{entity}",LOWER(Entity!$B$3)),IF(B404="Cluster",IF(INDEX(Attributes!$G$3:$G$52,Q404)&lt;&gt;"",INDEX(Attributes!$G$3:$G$52,Q404),SUBSTITUTE(SUBSTITUTE(Entity!$B$8,"{entity}",LOWER(Entity!$B$3)),"{attribute}",LOWER(C404))),IF(B404="Supporting",SUBSTITUTE(SUBSTITUTE(SUBSTITUTE(IF(INDEX(Attributes!$H$3:$H$52,Q404)&lt;&gt;"",INDEX(Attributes!$H$3:$H$52,Q404),Entity!$B$9),"{entity}",LOWER(Entity!$B$3)),"{value}",D404),"{attribute}",LOWER(C404)),"")))</f>
        <v/>
      </c>
    </row>
    <row r="405">
      <c r="A405">
        <f>ROW()-2</f>
        <v/>
      </c>
      <c r="B405">
        <f>IF(A405=1,"Pillar",IF(A405&lt;=1+Entity!$B$14,"Cluster",IF(A405&lt;=1+Entity!$B$14+Entity!$B$15,"Supporting","")))</f>
        <v/>
      </c>
      <c r="C405">
        <f>IF(B405="Cluster",INDEX(Attributes!$A$3:$A$52,MATCH(A405-1,Attributes!$P$3:$P$52,0)),IF(B405="Supporting",INDEX(Values!$A$3:$A$502,P405),""))</f>
        <v/>
      </c>
      <c r="D405">
        <f>IF(B405="Supporting",INDEX(Values!$B$3:$B$502,P405),"")</f>
        <v/>
      </c>
      <c r="E405">
        <f>IF(R405="","",UPPER(LEFT(R405,1))&amp;MID(R405,2,500))</f>
        <v/>
      </c>
      <c r="F405">
        <f>IF(E405="","",LOWER(SUBSTITUTE(SUBSTITUTE(SUBSTITUTE(SUBSTITUTE(SUBSTITUTE(SUBSTITUTE(SUBSTITUTE(TRIM(E405),":",""),",",""),"'",""),"&amp;","and"),"£",""),"  "," ")," ","-")))</f>
        <v/>
      </c>
      <c r="G405">
        <f>IF(B405="Cluster",$E$3,IF(B405="Supporting",INDEX($E$3:$E$553,MATCH(C405,$C$3:$C$553,0)),""))</f>
        <v/>
      </c>
      <c r="H405">
        <f>IF(B405="Supporting",IFERROR(INDEX($E$3:$E$553,1+Entity!$B$14+INDEX(Values!$O$3:$O$502,P405)),""),IF(B405="Cluster",IF(Entity!$B$14&lt;2,"",INDEX($E$3:$E$553,IF(A405-1=Entity!$B$14,2,A405+1))),""))</f>
        <v/>
      </c>
      <c r="I405">
        <f>IF(B405="Pillar",Entity!$B$14&amp;" cluster pages",IF(B405="Cluster",(COUNTIF($C$3:$C$553,SUBSTITUTE(SUBSTITUTE(C405,"?","~?"),"*","~*"))-1)&amp;" supporting pages",""))</f>
        <v/>
      </c>
      <c r="J405">
        <f>IF(B405="Pillar","Informational",IF(OR(B405="Cluster",B405="Supporting"),INDEX(Attributes!$D$3:$D$52,Q405)&amp;"",""))</f>
        <v/>
      </c>
      <c r="K405">
        <f>IF(B405="","",IF(B405="Pillar","Pillar guide (entity hub)",IF(B405="Cluster","Hub page for this attribute",IF(INDEX(Values!$C$3:$C$502,P405)="Yes","Entity page (profile of the sub-entity)",IFERROR(INDEX(Lists!$B$3:$B$6,MATCH(J405,Lists!$A$3:$A$6,0)),"Article")))))</f>
        <v/>
      </c>
      <c r="L405">
        <f>IF(B405="Pillar",Entity!$B$6&amp;"",IF(B405="Cluster",INDEX(Attributes!$I$3:$I$52,Q405)&amp;"",IF(B405="Supporting",INDEX(Values!$F$3:$F$502,P405)&amp;"","")))</f>
        <v/>
      </c>
      <c r="M405">
        <f>IF(B405="","",IF(L405&lt;&gt;"","Covered","Gap"))</f>
        <v/>
      </c>
      <c r="N405">
        <f>IF(B405="Pillar",SUMIFS(Values!$E$3:$E$502,Values!$I$3:$I$502,"Yes"),IF(B405="Cluster",SUMIFS(Values!$E$3:$E$502,Values!$A$3:$A$502,SUBSTITUTE(SUBSTITUTE(C405,"?","~?"),"*","~*"),Values!$I$3:$I$502,"Yes"),IF(B405="Supporting",N(INDEX(Values!$E$3:$E$502,P405)),"")))</f>
        <v/>
      </c>
      <c r="O405">
        <f>IF(B405="","",IF(B405="Pillar",100,IF(B405="Cluster",N(INDEX(Attributes!$E$3:$E$52,Q405))*25+IF(M405="Gap",10,0),N(INDEX(Attributes!$E$3:$E$52,Q405))*20+MIN(20,ROUND(LOG10(N(N405)+1)*5,0))+IF(M405="Gap",10,0)+IF(INDEX(Values!$D$3:$D$502,P405)="Yes",5,0))))</f>
        <v/>
      </c>
      <c r="P405">
        <f>IF(B405="Supporting",MATCH(A405-1-Entity!$B$14,Values!$J$3:$J$502,0),"")</f>
        <v/>
      </c>
      <c r="Q405">
        <f>IF(C405="","",MATCH(C405,Attributes!$A$3:$A$52,0))</f>
        <v/>
      </c>
      <c r="R405">
        <f>IF(B405="Pillar",SUBSTITUTE(Entity!$B$7,"{entity}",LOWER(Entity!$B$3)),IF(B405="Cluster",IF(INDEX(Attributes!$G$3:$G$52,Q405)&lt;&gt;"",INDEX(Attributes!$G$3:$G$52,Q405),SUBSTITUTE(SUBSTITUTE(Entity!$B$8,"{entity}",LOWER(Entity!$B$3)),"{attribute}",LOWER(C405))),IF(B405="Supporting",SUBSTITUTE(SUBSTITUTE(SUBSTITUTE(IF(INDEX(Attributes!$H$3:$H$52,Q405)&lt;&gt;"",INDEX(Attributes!$H$3:$H$52,Q405),Entity!$B$9),"{entity}",LOWER(Entity!$B$3)),"{value}",D405),"{attribute}",LOWER(C405)),"")))</f>
        <v/>
      </c>
    </row>
    <row r="406">
      <c r="A406">
        <f>ROW()-2</f>
        <v/>
      </c>
      <c r="B406">
        <f>IF(A406=1,"Pillar",IF(A406&lt;=1+Entity!$B$14,"Cluster",IF(A406&lt;=1+Entity!$B$14+Entity!$B$15,"Supporting","")))</f>
        <v/>
      </c>
      <c r="C406">
        <f>IF(B406="Cluster",INDEX(Attributes!$A$3:$A$52,MATCH(A406-1,Attributes!$P$3:$P$52,0)),IF(B406="Supporting",INDEX(Values!$A$3:$A$502,P406),""))</f>
        <v/>
      </c>
      <c r="D406">
        <f>IF(B406="Supporting",INDEX(Values!$B$3:$B$502,P406),"")</f>
        <v/>
      </c>
      <c r="E406">
        <f>IF(R406="","",UPPER(LEFT(R406,1))&amp;MID(R406,2,500))</f>
        <v/>
      </c>
      <c r="F406">
        <f>IF(E406="","",LOWER(SUBSTITUTE(SUBSTITUTE(SUBSTITUTE(SUBSTITUTE(SUBSTITUTE(SUBSTITUTE(SUBSTITUTE(TRIM(E406),":",""),",",""),"'",""),"&amp;","and"),"£",""),"  "," ")," ","-")))</f>
        <v/>
      </c>
      <c r="G406">
        <f>IF(B406="Cluster",$E$3,IF(B406="Supporting",INDEX($E$3:$E$553,MATCH(C406,$C$3:$C$553,0)),""))</f>
        <v/>
      </c>
      <c r="H406">
        <f>IF(B406="Supporting",IFERROR(INDEX($E$3:$E$553,1+Entity!$B$14+INDEX(Values!$O$3:$O$502,P406)),""),IF(B406="Cluster",IF(Entity!$B$14&lt;2,"",INDEX($E$3:$E$553,IF(A406-1=Entity!$B$14,2,A406+1))),""))</f>
        <v/>
      </c>
      <c r="I406">
        <f>IF(B406="Pillar",Entity!$B$14&amp;" cluster pages",IF(B406="Cluster",(COUNTIF($C$3:$C$553,SUBSTITUTE(SUBSTITUTE(C406,"?","~?"),"*","~*"))-1)&amp;" supporting pages",""))</f>
        <v/>
      </c>
      <c r="J406">
        <f>IF(B406="Pillar","Informational",IF(OR(B406="Cluster",B406="Supporting"),INDEX(Attributes!$D$3:$D$52,Q406)&amp;"",""))</f>
        <v/>
      </c>
      <c r="K406">
        <f>IF(B406="","",IF(B406="Pillar","Pillar guide (entity hub)",IF(B406="Cluster","Hub page for this attribute",IF(INDEX(Values!$C$3:$C$502,P406)="Yes","Entity page (profile of the sub-entity)",IFERROR(INDEX(Lists!$B$3:$B$6,MATCH(J406,Lists!$A$3:$A$6,0)),"Article")))))</f>
        <v/>
      </c>
      <c r="L406">
        <f>IF(B406="Pillar",Entity!$B$6&amp;"",IF(B406="Cluster",INDEX(Attributes!$I$3:$I$52,Q406)&amp;"",IF(B406="Supporting",INDEX(Values!$F$3:$F$502,P406)&amp;"","")))</f>
        <v/>
      </c>
      <c r="M406">
        <f>IF(B406="","",IF(L406&lt;&gt;"","Covered","Gap"))</f>
        <v/>
      </c>
      <c r="N406">
        <f>IF(B406="Pillar",SUMIFS(Values!$E$3:$E$502,Values!$I$3:$I$502,"Yes"),IF(B406="Cluster",SUMIFS(Values!$E$3:$E$502,Values!$A$3:$A$502,SUBSTITUTE(SUBSTITUTE(C406,"?","~?"),"*","~*"),Values!$I$3:$I$502,"Yes"),IF(B406="Supporting",N(INDEX(Values!$E$3:$E$502,P406)),"")))</f>
        <v/>
      </c>
      <c r="O406">
        <f>IF(B406="","",IF(B406="Pillar",100,IF(B406="Cluster",N(INDEX(Attributes!$E$3:$E$52,Q406))*25+IF(M406="Gap",10,0),N(INDEX(Attributes!$E$3:$E$52,Q406))*20+MIN(20,ROUND(LOG10(N(N406)+1)*5,0))+IF(M406="Gap",10,0)+IF(INDEX(Values!$D$3:$D$502,P406)="Yes",5,0))))</f>
        <v/>
      </c>
      <c r="P406">
        <f>IF(B406="Supporting",MATCH(A406-1-Entity!$B$14,Values!$J$3:$J$502,0),"")</f>
        <v/>
      </c>
      <c r="Q406">
        <f>IF(C406="","",MATCH(C406,Attributes!$A$3:$A$52,0))</f>
        <v/>
      </c>
      <c r="R406">
        <f>IF(B406="Pillar",SUBSTITUTE(Entity!$B$7,"{entity}",LOWER(Entity!$B$3)),IF(B406="Cluster",IF(INDEX(Attributes!$G$3:$G$52,Q406)&lt;&gt;"",INDEX(Attributes!$G$3:$G$52,Q406),SUBSTITUTE(SUBSTITUTE(Entity!$B$8,"{entity}",LOWER(Entity!$B$3)),"{attribute}",LOWER(C406))),IF(B406="Supporting",SUBSTITUTE(SUBSTITUTE(SUBSTITUTE(IF(INDEX(Attributes!$H$3:$H$52,Q406)&lt;&gt;"",INDEX(Attributes!$H$3:$H$52,Q406),Entity!$B$9),"{entity}",LOWER(Entity!$B$3)),"{value}",D406),"{attribute}",LOWER(C406)),"")))</f>
        <v/>
      </c>
    </row>
    <row r="407">
      <c r="A407">
        <f>ROW()-2</f>
        <v/>
      </c>
      <c r="B407">
        <f>IF(A407=1,"Pillar",IF(A407&lt;=1+Entity!$B$14,"Cluster",IF(A407&lt;=1+Entity!$B$14+Entity!$B$15,"Supporting","")))</f>
        <v/>
      </c>
      <c r="C407">
        <f>IF(B407="Cluster",INDEX(Attributes!$A$3:$A$52,MATCH(A407-1,Attributes!$P$3:$P$52,0)),IF(B407="Supporting",INDEX(Values!$A$3:$A$502,P407),""))</f>
        <v/>
      </c>
      <c r="D407">
        <f>IF(B407="Supporting",INDEX(Values!$B$3:$B$502,P407),"")</f>
        <v/>
      </c>
      <c r="E407">
        <f>IF(R407="","",UPPER(LEFT(R407,1))&amp;MID(R407,2,500))</f>
        <v/>
      </c>
      <c r="F407">
        <f>IF(E407="","",LOWER(SUBSTITUTE(SUBSTITUTE(SUBSTITUTE(SUBSTITUTE(SUBSTITUTE(SUBSTITUTE(SUBSTITUTE(TRIM(E407),":",""),",",""),"'",""),"&amp;","and"),"£",""),"  "," ")," ","-")))</f>
        <v/>
      </c>
      <c r="G407">
        <f>IF(B407="Cluster",$E$3,IF(B407="Supporting",INDEX($E$3:$E$553,MATCH(C407,$C$3:$C$553,0)),""))</f>
        <v/>
      </c>
      <c r="H407">
        <f>IF(B407="Supporting",IFERROR(INDEX($E$3:$E$553,1+Entity!$B$14+INDEX(Values!$O$3:$O$502,P407)),""),IF(B407="Cluster",IF(Entity!$B$14&lt;2,"",INDEX($E$3:$E$553,IF(A407-1=Entity!$B$14,2,A407+1))),""))</f>
        <v/>
      </c>
      <c r="I407">
        <f>IF(B407="Pillar",Entity!$B$14&amp;" cluster pages",IF(B407="Cluster",(COUNTIF($C$3:$C$553,SUBSTITUTE(SUBSTITUTE(C407,"?","~?"),"*","~*"))-1)&amp;" supporting pages",""))</f>
        <v/>
      </c>
      <c r="J407">
        <f>IF(B407="Pillar","Informational",IF(OR(B407="Cluster",B407="Supporting"),INDEX(Attributes!$D$3:$D$52,Q407)&amp;"",""))</f>
        <v/>
      </c>
      <c r="K407">
        <f>IF(B407="","",IF(B407="Pillar","Pillar guide (entity hub)",IF(B407="Cluster","Hub page for this attribute",IF(INDEX(Values!$C$3:$C$502,P407)="Yes","Entity page (profile of the sub-entity)",IFERROR(INDEX(Lists!$B$3:$B$6,MATCH(J407,Lists!$A$3:$A$6,0)),"Article")))))</f>
        <v/>
      </c>
      <c r="L407">
        <f>IF(B407="Pillar",Entity!$B$6&amp;"",IF(B407="Cluster",INDEX(Attributes!$I$3:$I$52,Q407)&amp;"",IF(B407="Supporting",INDEX(Values!$F$3:$F$502,P407)&amp;"","")))</f>
        <v/>
      </c>
      <c r="M407">
        <f>IF(B407="","",IF(L407&lt;&gt;"","Covered","Gap"))</f>
        <v/>
      </c>
      <c r="N407">
        <f>IF(B407="Pillar",SUMIFS(Values!$E$3:$E$502,Values!$I$3:$I$502,"Yes"),IF(B407="Cluster",SUMIFS(Values!$E$3:$E$502,Values!$A$3:$A$502,SUBSTITUTE(SUBSTITUTE(C407,"?","~?"),"*","~*"),Values!$I$3:$I$502,"Yes"),IF(B407="Supporting",N(INDEX(Values!$E$3:$E$502,P407)),"")))</f>
        <v/>
      </c>
      <c r="O407">
        <f>IF(B407="","",IF(B407="Pillar",100,IF(B407="Cluster",N(INDEX(Attributes!$E$3:$E$52,Q407))*25+IF(M407="Gap",10,0),N(INDEX(Attributes!$E$3:$E$52,Q407))*20+MIN(20,ROUND(LOG10(N(N407)+1)*5,0))+IF(M407="Gap",10,0)+IF(INDEX(Values!$D$3:$D$502,P407)="Yes",5,0))))</f>
        <v/>
      </c>
      <c r="P407">
        <f>IF(B407="Supporting",MATCH(A407-1-Entity!$B$14,Values!$J$3:$J$502,0),"")</f>
        <v/>
      </c>
      <c r="Q407">
        <f>IF(C407="","",MATCH(C407,Attributes!$A$3:$A$52,0))</f>
        <v/>
      </c>
      <c r="R407">
        <f>IF(B407="Pillar",SUBSTITUTE(Entity!$B$7,"{entity}",LOWER(Entity!$B$3)),IF(B407="Cluster",IF(INDEX(Attributes!$G$3:$G$52,Q407)&lt;&gt;"",INDEX(Attributes!$G$3:$G$52,Q407),SUBSTITUTE(SUBSTITUTE(Entity!$B$8,"{entity}",LOWER(Entity!$B$3)),"{attribute}",LOWER(C407))),IF(B407="Supporting",SUBSTITUTE(SUBSTITUTE(SUBSTITUTE(IF(INDEX(Attributes!$H$3:$H$52,Q407)&lt;&gt;"",INDEX(Attributes!$H$3:$H$52,Q407),Entity!$B$9),"{entity}",LOWER(Entity!$B$3)),"{value}",D407),"{attribute}",LOWER(C407)),"")))</f>
        <v/>
      </c>
    </row>
    <row r="408">
      <c r="A408">
        <f>ROW()-2</f>
        <v/>
      </c>
      <c r="B408">
        <f>IF(A408=1,"Pillar",IF(A408&lt;=1+Entity!$B$14,"Cluster",IF(A408&lt;=1+Entity!$B$14+Entity!$B$15,"Supporting","")))</f>
        <v/>
      </c>
      <c r="C408">
        <f>IF(B408="Cluster",INDEX(Attributes!$A$3:$A$52,MATCH(A408-1,Attributes!$P$3:$P$52,0)),IF(B408="Supporting",INDEX(Values!$A$3:$A$502,P408),""))</f>
        <v/>
      </c>
      <c r="D408">
        <f>IF(B408="Supporting",INDEX(Values!$B$3:$B$502,P408),"")</f>
        <v/>
      </c>
      <c r="E408">
        <f>IF(R408="","",UPPER(LEFT(R408,1))&amp;MID(R408,2,500))</f>
        <v/>
      </c>
      <c r="F408">
        <f>IF(E408="","",LOWER(SUBSTITUTE(SUBSTITUTE(SUBSTITUTE(SUBSTITUTE(SUBSTITUTE(SUBSTITUTE(SUBSTITUTE(TRIM(E408),":",""),",",""),"'",""),"&amp;","and"),"£",""),"  "," ")," ","-")))</f>
        <v/>
      </c>
      <c r="G408">
        <f>IF(B408="Cluster",$E$3,IF(B408="Supporting",INDEX($E$3:$E$553,MATCH(C408,$C$3:$C$553,0)),""))</f>
        <v/>
      </c>
      <c r="H408">
        <f>IF(B408="Supporting",IFERROR(INDEX($E$3:$E$553,1+Entity!$B$14+INDEX(Values!$O$3:$O$502,P408)),""),IF(B408="Cluster",IF(Entity!$B$14&lt;2,"",INDEX($E$3:$E$553,IF(A408-1=Entity!$B$14,2,A408+1))),""))</f>
        <v/>
      </c>
      <c r="I408">
        <f>IF(B408="Pillar",Entity!$B$14&amp;" cluster pages",IF(B408="Cluster",(COUNTIF($C$3:$C$553,SUBSTITUTE(SUBSTITUTE(C408,"?","~?"),"*","~*"))-1)&amp;" supporting pages",""))</f>
        <v/>
      </c>
      <c r="J408">
        <f>IF(B408="Pillar","Informational",IF(OR(B408="Cluster",B408="Supporting"),INDEX(Attributes!$D$3:$D$52,Q408)&amp;"",""))</f>
        <v/>
      </c>
      <c r="K408">
        <f>IF(B408="","",IF(B408="Pillar","Pillar guide (entity hub)",IF(B408="Cluster","Hub page for this attribute",IF(INDEX(Values!$C$3:$C$502,P408)="Yes","Entity page (profile of the sub-entity)",IFERROR(INDEX(Lists!$B$3:$B$6,MATCH(J408,Lists!$A$3:$A$6,0)),"Article")))))</f>
        <v/>
      </c>
      <c r="L408">
        <f>IF(B408="Pillar",Entity!$B$6&amp;"",IF(B408="Cluster",INDEX(Attributes!$I$3:$I$52,Q408)&amp;"",IF(B408="Supporting",INDEX(Values!$F$3:$F$502,P408)&amp;"","")))</f>
        <v/>
      </c>
      <c r="M408">
        <f>IF(B408="","",IF(L408&lt;&gt;"","Covered","Gap"))</f>
        <v/>
      </c>
      <c r="N408">
        <f>IF(B408="Pillar",SUMIFS(Values!$E$3:$E$502,Values!$I$3:$I$502,"Yes"),IF(B408="Cluster",SUMIFS(Values!$E$3:$E$502,Values!$A$3:$A$502,SUBSTITUTE(SUBSTITUTE(C408,"?","~?"),"*","~*"),Values!$I$3:$I$502,"Yes"),IF(B408="Supporting",N(INDEX(Values!$E$3:$E$502,P408)),"")))</f>
        <v/>
      </c>
      <c r="O408">
        <f>IF(B408="","",IF(B408="Pillar",100,IF(B408="Cluster",N(INDEX(Attributes!$E$3:$E$52,Q408))*25+IF(M408="Gap",10,0),N(INDEX(Attributes!$E$3:$E$52,Q408))*20+MIN(20,ROUND(LOG10(N(N408)+1)*5,0))+IF(M408="Gap",10,0)+IF(INDEX(Values!$D$3:$D$502,P408)="Yes",5,0))))</f>
        <v/>
      </c>
      <c r="P408">
        <f>IF(B408="Supporting",MATCH(A408-1-Entity!$B$14,Values!$J$3:$J$502,0),"")</f>
        <v/>
      </c>
      <c r="Q408">
        <f>IF(C408="","",MATCH(C408,Attributes!$A$3:$A$52,0))</f>
        <v/>
      </c>
      <c r="R408">
        <f>IF(B408="Pillar",SUBSTITUTE(Entity!$B$7,"{entity}",LOWER(Entity!$B$3)),IF(B408="Cluster",IF(INDEX(Attributes!$G$3:$G$52,Q408)&lt;&gt;"",INDEX(Attributes!$G$3:$G$52,Q408),SUBSTITUTE(SUBSTITUTE(Entity!$B$8,"{entity}",LOWER(Entity!$B$3)),"{attribute}",LOWER(C408))),IF(B408="Supporting",SUBSTITUTE(SUBSTITUTE(SUBSTITUTE(IF(INDEX(Attributes!$H$3:$H$52,Q408)&lt;&gt;"",INDEX(Attributes!$H$3:$H$52,Q408),Entity!$B$9),"{entity}",LOWER(Entity!$B$3)),"{value}",D408),"{attribute}",LOWER(C408)),"")))</f>
        <v/>
      </c>
    </row>
    <row r="409">
      <c r="A409">
        <f>ROW()-2</f>
        <v/>
      </c>
      <c r="B409">
        <f>IF(A409=1,"Pillar",IF(A409&lt;=1+Entity!$B$14,"Cluster",IF(A409&lt;=1+Entity!$B$14+Entity!$B$15,"Supporting","")))</f>
        <v/>
      </c>
      <c r="C409">
        <f>IF(B409="Cluster",INDEX(Attributes!$A$3:$A$52,MATCH(A409-1,Attributes!$P$3:$P$52,0)),IF(B409="Supporting",INDEX(Values!$A$3:$A$502,P409),""))</f>
        <v/>
      </c>
      <c r="D409">
        <f>IF(B409="Supporting",INDEX(Values!$B$3:$B$502,P409),"")</f>
        <v/>
      </c>
      <c r="E409">
        <f>IF(R409="","",UPPER(LEFT(R409,1))&amp;MID(R409,2,500))</f>
        <v/>
      </c>
      <c r="F409">
        <f>IF(E409="","",LOWER(SUBSTITUTE(SUBSTITUTE(SUBSTITUTE(SUBSTITUTE(SUBSTITUTE(SUBSTITUTE(SUBSTITUTE(TRIM(E409),":",""),",",""),"'",""),"&amp;","and"),"£",""),"  "," ")," ","-")))</f>
        <v/>
      </c>
      <c r="G409">
        <f>IF(B409="Cluster",$E$3,IF(B409="Supporting",INDEX($E$3:$E$553,MATCH(C409,$C$3:$C$553,0)),""))</f>
        <v/>
      </c>
      <c r="H409">
        <f>IF(B409="Supporting",IFERROR(INDEX($E$3:$E$553,1+Entity!$B$14+INDEX(Values!$O$3:$O$502,P409)),""),IF(B409="Cluster",IF(Entity!$B$14&lt;2,"",INDEX($E$3:$E$553,IF(A409-1=Entity!$B$14,2,A409+1))),""))</f>
        <v/>
      </c>
      <c r="I409">
        <f>IF(B409="Pillar",Entity!$B$14&amp;" cluster pages",IF(B409="Cluster",(COUNTIF($C$3:$C$553,SUBSTITUTE(SUBSTITUTE(C409,"?","~?"),"*","~*"))-1)&amp;" supporting pages",""))</f>
        <v/>
      </c>
      <c r="J409">
        <f>IF(B409="Pillar","Informational",IF(OR(B409="Cluster",B409="Supporting"),INDEX(Attributes!$D$3:$D$52,Q409)&amp;"",""))</f>
        <v/>
      </c>
      <c r="K409">
        <f>IF(B409="","",IF(B409="Pillar","Pillar guide (entity hub)",IF(B409="Cluster","Hub page for this attribute",IF(INDEX(Values!$C$3:$C$502,P409)="Yes","Entity page (profile of the sub-entity)",IFERROR(INDEX(Lists!$B$3:$B$6,MATCH(J409,Lists!$A$3:$A$6,0)),"Article")))))</f>
        <v/>
      </c>
      <c r="L409">
        <f>IF(B409="Pillar",Entity!$B$6&amp;"",IF(B409="Cluster",INDEX(Attributes!$I$3:$I$52,Q409)&amp;"",IF(B409="Supporting",INDEX(Values!$F$3:$F$502,P409)&amp;"","")))</f>
        <v/>
      </c>
      <c r="M409">
        <f>IF(B409="","",IF(L409&lt;&gt;"","Covered","Gap"))</f>
        <v/>
      </c>
      <c r="N409">
        <f>IF(B409="Pillar",SUMIFS(Values!$E$3:$E$502,Values!$I$3:$I$502,"Yes"),IF(B409="Cluster",SUMIFS(Values!$E$3:$E$502,Values!$A$3:$A$502,SUBSTITUTE(SUBSTITUTE(C409,"?","~?"),"*","~*"),Values!$I$3:$I$502,"Yes"),IF(B409="Supporting",N(INDEX(Values!$E$3:$E$502,P409)),"")))</f>
        <v/>
      </c>
      <c r="O409">
        <f>IF(B409="","",IF(B409="Pillar",100,IF(B409="Cluster",N(INDEX(Attributes!$E$3:$E$52,Q409))*25+IF(M409="Gap",10,0),N(INDEX(Attributes!$E$3:$E$52,Q409))*20+MIN(20,ROUND(LOG10(N(N409)+1)*5,0))+IF(M409="Gap",10,0)+IF(INDEX(Values!$D$3:$D$502,P409)="Yes",5,0))))</f>
        <v/>
      </c>
      <c r="P409">
        <f>IF(B409="Supporting",MATCH(A409-1-Entity!$B$14,Values!$J$3:$J$502,0),"")</f>
        <v/>
      </c>
      <c r="Q409">
        <f>IF(C409="","",MATCH(C409,Attributes!$A$3:$A$52,0))</f>
        <v/>
      </c>
      <c r="R409">
        <f>IF(B409="Pillar",SUBSTITUTE(Entity!$B$7,"{entity}",LOWER(Entity!$B$3)),IF(B409="Cluster",IF(INDEX(Attributes!$G$3:$G$52,Q409)&lt;&gt;"",INDEX(Attributes!$G$3:$G$52,Q409),SUBSTITUTE(SUBSTITUTE(Entity!$B$8,"{entity}",LOWER(Entity!$B$3)),"{attribute}",LOWER(C409))),IF(B409="Supporting",SUBSTITUTE(SUBSTITUTE(SUBSTITUTE(IF(INDEX(Attributes!$H$3:$H$52,Q409)&lt;&gt;"",INDEX(Attributes!$H$3:$H$52,Q409),Entity!$B$9),"{entity}",LOWER(Entity!$B$3)),"{value}",D409),"{attribute}",LOWER(C409)),"")))</f>
        <v/>
      </c>
    </row>
    <row r="410">
      <c r="A410">
        <f>ROW()-2</f>
        <v/>
      </c>
      <c r="B410">
        <f>IF(A410=1,"Pillar",IF(A410&lt;=1+Entity!$B$14,"Cluster",IF(A410&lt;=1+Entity!$B$14+Entity!$B$15,"Supporting","")))</f>
        <v/>
      </c>
      <c r="C410">
        <f>IF(B410="Cluster",INDEX(Attributes!$A$3:$A$52,MATCH(A410-1,Attributes!$P$3:$P$52,0)),IF(B410="Supporting",INDEX(Values!$A$3:$A$502,P410),""))</f>
        <v/>
      </c>
      <c r="D410">
        <f>IF(B410="Supporting",INDEX(Values!$B$3:$B$502,P410),"")</f>
        <v/>
      </c>
      <c r="E410">
        <f>IF(R410="","",UPPER(LEFT(R410,1))&amp;MID(R410,2,500))</f>
        <v/>
      </c>
      <c r="F410">
        <f>IF(E410="","",LOWER(SUBSTITUTE(SUBSTITUTE(SUBSTITUTE(SUBSTITUTE(SUBSTITUTE(SUBSTITUTE(SUBSTITUTE(TRIM(E410),":",""),",",""),"'",""),"&amp;","and"),"£",""),"  "," ")," ","-")))</f>
        <v/>
      </c>
      <c r="G410">
        <f>IF(B410="Cluster",$E$3,IF(B410="Supporting",INDEX($E$3:$E$553,MATCH(C410,$C$3:$C$553,0)),""))</f>
        <v/>
      </c>
      <c r="H410">
        <f>IF(B410="Supporting",IFERROR(INDEX($E$3:$E$553,1+Entity!$B$14+INDEX(Values!$O$3:$O$502,P410)),""),IF(B410="Cluster",IF(Entity!$B$14&lt;2,"",INDEX($E$3:$E$553,IF(A410-1=Entity!$B$14,2,A410+1))),""))</f>
        <v/>
      </c>
      <c r="I410">
        <f>IF(B410="Pillar",Entity!$B$14&amp;" cluster pages",IF(B410="Cluster",(COUNTIF($C$3:$C$553,SUBSTITUTE(SUBSTITUTE(C410,"?","~?"),"*","~*"))-1)&amp;" supporting pages",""))</f>
        <v/>
      </c>
      <c r="J410">
        <f>IF(B410="Pillar","Informational",IF(OR(B410="Cluster",B410="Supporting"),INDEX(Attributes!$D$3:$D$52,Q410)&amp;"",""))</f>
        <v/>
      </c>
      <c r="K410">
        <f>IF(B410="","",IF(B410="Pillar","Pillar guide (entity hub)",IF(B410="Cluster","Hub page for this attribute",IF(INDEX(Values!$C$3:$C$502,P410)="Yes","Entity page (profile of the sub-entity)",IFERROR(INDEX(Lists!$B$3:$B$6,MATCH(J410,Lists!$A$3:$A$6,0)),"Article")))))</f>
        <v/>
      </c>
      <c r="L410">
        <f>IF(B410="Pillar",Entity!$B$6&amp;"",IF(B410="Cluster",INDEX(Attributes!$I$3:$I$52,Q410)&amp;"",IF(B410="Supporting",INDEX(Values!$F$3:$F$502,P410)&amp;"","")))</f>
        <v/>
      </c>
      <c r="M410">
        <f>IF(B410="","",IF(L410&lt;&gt;"","Covered","Gap"))</f>
        <v/>
      </c>
      <c r="N410">
        <f>IF(B410="Pillar",SUMIFS(Values!$E$3:$E$502,Values!$I$3:$I$502,"Yes"),IF(B410="Cluster",SUMIFS(Values!$E$3:$E$502,Values!$A$3:$A$502,SUBSTITUTE(SUBSTITUTE(C410,"?","~?"),"*","~*"),Values!$I$3:$I$502,"Yes"),IF(B410="Supporting",N(INDEX(Values!$E$3:$E$502,P410)),"")))</f>
        <v/>
      </c>
      <c r="O410">
        <f>IF(B410="","",IF(B410="Pillar",100,IF(B410="Cluster",N(INDEX(Attributes!$E$3:$E$52,Q410))*25+IF(M410="Gap",10,0),N(INDEX(Attributes!$E$3:$E$52,Q410))*20+MIN(20,ROUND(LOG10(N(N410)+1)*5,0))+IF(M410="Gap",10,0)+IF(INDEX(Values!$D$3:$D$502,P410)="Yes",5,0))))</f>
        <v/>
      </c>
      <c r="P410">
        <f>IF(B410="Supporting",MATCH(A410-1-Entity!$B$14,Values!$J$3:$J$502,0),"")</f>
        <v/>
      </c>
      <c r="Q410">
        <f>IF(C410="","",MATCH(C410,Attributes!$A$3:$A$52,0))</f>
        <v/>
      </c>
      <c r="R410">
        <f>IF(B410="Pillar",SUBSTITUTE(Entity!$B$7,"{entity}",LOWER(Entity!$B$3)),IF(B410="Cluster",IF(INDEX(Attributes!$G$3:$G$52,Q410)&lt;&gt;"",INDEX(Attributes!$G$3:$G$52,Q410),SUBSTITUTE(SUBSTITUTE(Entity!$B$8,"{entity}",LOWER(Entity!$B$3)),"{attribute}",LOWER(C410))),IF(B410="Supporting",SUBSTITUTE(SUBSTITUTE(SUBSTITUTE(IF(INDEX(Attributes!$H$3:$H$52,Q410)&lt;&gt;"",INDEX(Attributes!$H$3:$H$52,Q410),Entity!$B$9),"{entity}",LOWER(Entity!$B$3)),"{value}",D410),"{attribute}",LOWER(C410)),"")))</f>
        <v/>
      </c>
    </row>
    <row r="411">
      <c r="A411">
        <f>ROW()-2</f>
        <v/>
      </c>
      <c r="B411">
        <f>IF(A411=1,"Pillar",IF(A411&lt;=1+Entity!$B$14,"Cluster",IF(A411&lt;=1+Entity!$B$14+Entity!$B$15,"Supporting","")))</f>
        <v/>
      </c>
      <c r="C411">
        <f>IF(B411="Cluster",INDEX(Attributes!$A$3:$A$52,MATCH(A411-1,Attributes!$P$3:$P$52,0)),IF(B411="Supporting",INDEX(Values!$A$3:$A$502,P411),""))</f>
        <v/>
      </c>
      <c r="D411">
        <f>IF(B411="Supporting",INDEX(Values!$B$3:$B$502,P411),"")</f>
        <v/>
      </c>
      <c r="E411">
        <f>IF(R411="","",UPPER(LEFT(R411,1))&amp;MID(R411,2,500))</f>
        <v/>
      </c>
      <c r="F411">
        <f>IF(E411="","",LOWER(SUBSTITUTE(SUBSTITUTE(SUBSTITUTE(SUBSTITUTE(SUBSTITUTE(SUBSTITUTE(SUBSTITUTE(TRIM(E411),":",""),",",""),"'",""),"&amp;","and"),"£",""),"  "," ")," ","-")))</f>
        <v/>
      </c>
      <c r="G411">
        <f>IF(B411="Cluster",$E$3,IF(B411="Supporting",INDEX($E$3:$E$553,MATCH(C411,$C$3:$C$553,0)),""))</f>
        <v/>
      </c>
      <c r="H411">
        <f>IF(B411="Supporting",IFERROR(INDEX($E$3:$E$553,1+Entity!$B$14+INDEX(Values!$O$3:$O$502,P411)),""),IF(B411="Cluster",IF(Entity!$B$14&lt;2,"",INDEX($E$3:$E$553,IF(A411-1=Entity!$B$14,2,A411+1))),""))</f>
        <v/>
      </c>
      <c r="I411">
        <f>IF(B411="Pillar",Entity!$B$14&amp;" cluster pages",IF(B411="Cluster",(COUNTIF($C$3:$C$553,SUBSTITUTE(SUBSTITUTE(C411,"?","~?"),"*","~*"))-1)&amp;" supporting pages",""))</f>
        <v/>
      </c>
      <c r="J411">
        <f>IF(B411="Pillar","Informational",IF(OR(B411="Cluster",B411="Supporting"),INDEX(Attributes!$D$3:$D$52,Q411)&amp;"",""))</f>
        <v/>
      </c>
      <c r="K411">
        <f>IF(B411="","",IF(B411="Pillar","Pillar guide (entity hub)",IF(B411="Cluster","Hub page for this attribute",IF(INDEX(Values!$C$3:$C$502,P411)="Yes","Entity page (profile of the sub-entity)",IFERROR(INDEX(Lists!$B$3:$B$6,MATCH(J411,Lists!$A$3:$A$6,0)),"Article")))))</f>
        <v/>
      </c>
      <c r="L411">
        <f>IF(B411="Pillar",Entity!$B$6&amp;"",IF(B411="Cluster",INDEX(Attributes!$I$3:$I$52,Q411)&amp;"",IF(B411="Supporting",INDEX(Values!$F$3:$F$502,P411)&amp;"","")))</f>
        <v/>
      </c>
      <c r="M411">
        <f>IF(B411="","",IF(L411&lt;&gt;"","Covered","Gap"))</f>
        <v/>
      </c>
      <c r="N411">
        <f>IF(B411="Pillar",SUMIFS(Values!$E$3:$E$502,Values!$I$3:$I$502,"Yes"),IF(B411="Cluster",SUMIFS(Values!$E$3:$E$502,Values!$A$3:$A$502,SUBSTITUTE(SUBSTITUTE(C411,"?","~?"),"*","~*"),Values!$I$3:$I$502,"Yes"),IF(B411="Supporting",N(INDEX(Values!$E$3:$E$502,P411)),"")))</f>
        <v/>
      </c>
      <c r="O411">
        <f>IF(B411="","",IF(B411="Pillar",100,IF(B411="Cluster",N(INDEX(Attributes!$E$3:$E$52,Q411))*25+IF(M411="Gap",10,0),N(INDEX(Attributes!$E$3:$E$52,Q411))*20+MIN(20,ROUND(LOG10(N(N411)+1)*5,0))+IF(M411="Gap",10,0)+IF(INDEX(Values!$D$3:$D$502,P411)="Yes",5,0))))</f>
        <v/>
      </c>
      <c r="P411">
        <f>IF(B411="Supporting",MATCH(A411-1-Entity!$B$14,Values!$J$3:$J$502,0),"")</f>
        <v/>
      </c>
      <c r="Q411">
        <f>IF(C411="","",MATCH(C411,Attributes!$A$3:$A$52,0))</f>
        <v/>
      </c>
      <c r="R411">
        <f>IF(B411="Pillar",SUBSTITUTE(Entity!$B$7,"{entity}",LOWER(Entity!$B$3)),IF(B411="Cluster",IF(INDEX(Attributes!$G$3:$G$52,Q411)&lt;&gt;"",INDEX(Attributes!$G$3:$G$52,Q411),SUBSTITUTE(SUBSTITUTE(Entity!$B$8,"{entity}",LOWER(Entity!$B$3)),"{attribute}",LOWER(C411))),IF(B411="Supporting",SUBSTITUTE(SUBSTITUTE(SUBSTITUTE(IF(INDEX(Attributes!$H$3:$H$52,Q411)&lt;&gt;"",INDEX(Attributes!$H$3:$H$52,Q411),Entity!$B$9),"{entity}",LOWER(Entity!$B$3)),"{value}",D411),"{attribute}",LOWER(C411)),"")))</f>
        <v/>
      </c>
    </row>
    <row r="412">
      <c r="A412">
        <f>ROW()-2</f>
        <v/>
      </c>
      <c r="B412">
        <f>IF(A412=1,"Pillar",IF(A412&lt;=1+Entity!$B$14,"Cluster",IF(A412&lt;=1+Entity!$B$14+Entity!$B$15,"Supporting","")))</f>
        <v/>
      </c>
      <c r="C412">
        <f>IF(B412="Cluster",INDEX(Attributes!$A$3:$A$52,MATCH(A412-1,Attributes!$P$3:$P$52,0)),IF(B412="Supporting",INDEX(Values!$A$3:$A$502,P412),""))</f>
        <v/>
      </c>
      <c r="D412">
        <f>IF(B412="Supporting",INDEX(Values!$B$3:$B$502,P412),"")</f>
        <v/>
      </c>
      <c r="E412">
        <f>IF(R412="","",UPPER(LEFT(R412,1))&amp;MID(R412,2,500))</f>
        <v/>
      </c>
      <c r="F412">
        <f>IF(E412="","",LOWER(SUBSTITUTE(SUBSTITUTE(SUBSTITUTE(SUBSTITUTE(SUBSTITUTE(SUBSTITUTE(SUBSTITUTE(TRIM(E412),":",""),",",""),"'",""),"&amp;","and"),"£",""),"  "," ")," ","-")))</f>
        <v/>
      </c>
      <c r="G412">
        <f>IF(B412="Cluster",$E$3,IF(B412="Supporting",INDEX($E$3:$E$553,MATCH(C412,$C$3:$C$553,0)),""))</f>
        <v/>
      </c>
      <c r="H412">
        <f>IF(B412="Supporting",IFERROR(INDEX($E$3:$E$553,1+Entity!$B$14+INDEX(Values!$O$3:$O$502,P412)),""),IF(B412="Cluster",IF(Entity!$B$14&lt;2,"",INDEX($E$3:$E$553,IF(A412-1=Entity!$B$14,2,A412+1))),""))</f>
        <v/>
      </c>
      <c r="I412">
        <f>IF(B412="Pillar",Entity!$B$14&amp;" cluster pages",IF(B412="Cluster",(COUNTIF($C$3:$C$553,SUBSTITUTE(SUBSTITUTE(C412,"?","~?"),"*","~*"))-1)&amp;" supporting pages",""))</f>
        <v/>
      </c>
      <c r="J412">
        <f>IF(B412="Pillar","Informational",IF(OR(B412="Cluster",B412="Supporting"),INDEX(Attributes!$D$3:$D$52,Q412)&amp;"",""))</f>
        <v/>
      </c>
      <c r="K412">
        <f>IF(B412="","",IF(B412="Pillar","Pillar guide (entity hub)",IF(B412="Cluster","Hub page for this attribute",IF(INDEX(Values!$C$3:$C$502,P412)="Yes","Entity page (profile of the sub-entity)",IFERROR(INDEX(Lists!$B$3:$B$6,MATCH(J412,Lists!$A$3:$A$6,0)),"Article")))))</f>
        <v/>
      </c>
      <c r="L412">
        <f>IF(B412="Pillar",Entity!$B$6&amp;"",IF(B412="Cluster",INDEX(Attributes!$I$3:$I$52,Q412)&amp;"",IF(B412="Supporting",INDEX(Values!$F$3:$F$502,P412)&amp;"","")))</f>
        <v/>
      </c>
      <c r="M412">
        <f>IF(B412="","",IF(L412&lt;&gt;"","Covered","Gap"))</f>
        <v/>
      </c>
      <c r="N412">
        <f>IF(B412="Pillar",SUMIFS(Values!$E$3:$E$502,Values!$I$3:$I$502,"Yes"),IF(B412="Cluster",SUMIFS(Values!$E$3:$E$502,Values!$A$3:$A$502,SUBSTITUTE(SUBSTITUTE(C412,"?","~?"),"*","~*"),Values!$I$3:$I$502,"Yes"),IF(B412="Supporting",N(INDEX(Values!$E$3:$E$502,P412)),"")))</f>
        <v/>
      </c>
      <c r="O412">
        <f>IF(B412="","",IF(B412="Pillar",100,IF(B412="Cluster",N(INDEX(Attributes!$E$3:$E$52,Q412))*25+IF(M412="Gap",10,0),N(INDEX(Attributes!$E$3:$E$52,Q412))*20+MIN(20,ROUND(LOG10(N(N412)+1)*5,0))+IF(M412="Gap",10,0)+IF(INDEX(Values!$D$3:$D$502,P412)="Yes",5,0))))</f>
        <v/>
      </c>
      <c r="P412">
        <f>IF(B412="Supporting",MATCH(A412-1-Entity!$B$14,Values!$J$3:$J$502,0),"")</f>
        <v/>
      </c>
      <c r="Q412">
        <f>IF(C412="","",MATCH(C412,Attributes!$A$3:$A$52,0))</f>
        <v/>
      </c>
      <c r="R412">
        <f>IF(B412="Pillar",SUBSTITUTE(Entity!$B$7,"{entity}",LOWER(Entity!$B$3)),IF(B412="Cluster",IF(INDEX(Attributes!$G$3:$G$52,Q412)&lt;&gt;"",INDEX(Attributes!$G$3:$G$52,Q412),SUBSTITUTE(SUBSTITUTE(Entity!$B$8,"{entity}",LOWER(Entity!$B$3)),"{attribute}",LOWER(C412))),IF(B412="Supporting",SUBSTITUTE(SUBSTITUTE(SUBSTITUTE(IF(INDEX(Attributes!$H$3:$H$52,Q412)&lt;&gt;"",INDEX(Attributes!$H$3:$H$52,Q412),Entity!$B$9),"{entity}",LOWER(Entity!$B$3)),"{value}",D412),"{attribute}",LOWER(C412)),"")))</f>
        <v/>
      </c>
    </row>
    <row r="413">
      <c r="A413">
        <f>ROW()-2</f>
        <v/>
      </c>
      <c r="B413">
        <f>IF(A413=1,"Pillar",IF(A413&lt;=1+Entity!$B$14,"Cluster",IF(A413&lt;=1+Entity!$B$14+Entity!$B$15,"Supporting","")))</f>
        <v/>
      </c>
      <c r="C413">
        <f>IF(B413="Cluster",INDEX(Attributes!$A$3:$A$52,MATCH(A413-1,Attributes!$P$3:$P$52,0)),IF(B413="Supporting",INDEX(Values!$A$3:$A$502,P413),""))</f>
        <v/>
      </c>
      <c r="D413">
        <f>IF(B413="Supporting",INDEX(Values!$B$3:$B$502,P413),"")</f>
        <v/>
      </c>
      <c r="E413">
        <f>IF(R413="","",UPPER(LEFT(R413,1))&amp;MID(R413,2,500))</f>
        <v/>
      </c>
      <c r="F413">
        <f>IF(E413="","",LOWER(SUBSTITUTE(SUBSTITUTE(SUBSTITUTE(SUBSTITUTE(SUBSTITUTE(SUBSTITUTE(SUBSTITUTE(TRIM(E413),":",""),",",""),"'",""),"&amp;","and"),"£",""),"  "," ")," ","-")))</f>
        <v/>
      </c>
      <c r="G413">
        <f>IF(B413="Cluster",$E$3,IF(B413="Supporting",INDEX($E$3:$E$553,MATCH(C413,$C$3:$C$553,0)),""))</f>
        <v/>
      </c>
      <c r="H413">
        <f>IF(B413="Supporting",IFERROR(INDEX($E$3:$E$553,1+Entity!$B$14+INDEX(Values!$O$3:$O$502,P413)),""),IF(B413="Cluster",IF(Entity!$B$14&lt;2,"",INDEX($E$3:$E$553,IF(A413-1=Entity!$B$14,2,A413+1))),""))</f>
        <v/>
      </c>
      <c r="I413">
        <f>IF(B413="Pillar",Entity!$B$14&amp;" cluster pages",IF(B413="Cluster",(COUNTIF($C$3:$C$553,SUBSTITUTE(SUBSTITUTE(C413,"?","~?"),"*","~*"))-1)&amp;" supporting pages",""))</f>
        <v/>
      </c>
      <c r="J413">
        <f>IF(B413="Pillar","Informational",IF(OR(B413="Cluster",B413="Supporting"),INDEX(Attributes!$D$3:$D$52,Q413)&amp;"",""))</f>
        <v/>
      </c>
      <c r="K413">
        <f>IF(B413="","",IF(B413="Pillar","Pillar guide (entity hub)",IF(B413="Cluster","Hub page for this attribute",IF(INDEX(Values!$C$3:$C$502,P413)="Yes","Entity page (profile of the sub-entity)",IFERROR(INDEX(Lists!$B$3:$B$6,MATCH(J413,Lists!$A$3:$A$6,0)),"Article")))))</f>
        <v/>
      </c>
      <c r="L413">
        <f>IF(B413="Pillar",Entity!$B$6&amp;"",IF(B413="Cluster",INDEX(Attributes!$I$3:$I$52,Q413)&amp;"",IF(B413="Supporting",INDEX(Values!$F$3:$F$502,P413)&amp;"","")))</f>
        <v/>
      </c>
      <c r="M413">
        <f>IF(B413="","",IF(L413&lt;&gt;"","Covered","Gap"))</f>
        <v/>
      </c>
      <c r="N413">
        <f>IF(B413="Pillar",SUMIFS(Values!$E$3:$E$502,Values!$I$3:$I$502,"Yes"),IF(B413="Cluster",SUMIFS(Values!$E$3:$E$502,Values!$A$3:$A$502,SUBSTITUTE(SUBSTITUTE(C413,"?","~?"),"*","~*"),Values!$I$3:$I$502,"Yes"),IF(B413="Supporting",N(INDEX(Values!$E$3:$E$502,P413)),"")))</f>
        <v/>
      </c>
      <c r="O413">
        <f>IF(B413="","",IF(B413="Pillar",100,IF(B413="Cluster",N(INDEX(Attributes!$E$3:$E$52,Q413))*25+IF(M413="Gap",10,0),N(INDEX(Attributes!$E$3:$E$52,Q413))*20+MIN(20,ROUND(LOG10(N(N413)+1)*5,0))+IF(M413="Gap",10,0)+IF(INDEX(Values!$D$3:$D$502,P413)="Yes",5,0))))</f>
        <v/>
      </c>
      <c r="P413">
        <f>IF(B413="Supporting",MATCH(A413-1-Entity!$B$14,Values!$J$3:$J$502,0),"")</f>
        <v/>
      </c>
      <c r="Q413">
        <f>IF(C413="","",MATCH(C413,Attributes!$A$3:$A$52,0))</f>
        <v/>
      </c>
      <c r="R413">
        <f>IF(B413="Pillar",SUBSTITUTE(Entity!$B$7,"{entity}",LOWER(Entity!$B$3)),IF(B413="Cluster",IF(INDEX(Attributes!$G$3:$G$52,Q413)&lt;&gt;"",INDEX(Attributes!$G$3:$G$52,Q413),SUBSTITUTE(SUBSTITUTE(Entity!$B$8,"{entity}",LOWER(Entity!$B$3)),"{attribute}",LOWER(C413))),IF(B413="Supporting",SUBSTITUTE(SUBSTITUTE(SUBSTITUTE(IF(INDEX(Attributes!$H$3:$H$52,Q413)&lt;&gt;"",INDEX(Attributes!$H$3:$H$52,Q413),Entity!$B$9),"{entity}",LOWER(Entity!$B$3)),"{value}",D413),"{attribute}",LOWER(C413)),"")))</f>
        <v/>
      </c>
    </row>
    <row r="414">
      <c r="A414">
        <f>ROW()-2</f>
        <v/>
      </c>
      <c r="B414">
        <f>IF(A414=1,"Pillar",IF(A414&lt;=1+Entity!$B$14,"Cluster",IF(A414&lt;=1+Entity!$B$14+Entity!$B$15,"Supporting","")))</f>
        <v/>
      </c>
      <c r="C414">
        <f>IF(B414="Cluster",INDEX(Attributes!$A$3:$A$52,MATCH(A414-1,Attributes!$P$3:$P$52,0)),IF(B414="Supporting",INDEX(Values!$A$3:$A$502,P414),""))</f>
        <v/>
      </c>
      <c r="D414">
        <f>IF(B414="Supporting",INDEX(Values!$B$3:$B$502,P414),"")</f>
        <v/>
      </c>
      <c r="E414">
        <f>IF(R414="","",UPPER(LEFT(R414,1))&amp;MID(R414,2,500))</f>
        <v/>
      </c>
      <c r="F414">
        <f>IF(E414="","",LOWER(SUBSTITUTE(SUBSTITUTE(SUBSTITUTE(SUBSTITUTE(SUBSTITUTE(SUBSTITUTE(SUBSTITUTE(TRIM(E414),":",""),",",""),"'",""),"&amp;","and"),"£",""),"  "," ")," ","-")))</f>
        <v/>
      </c>
      <c r="G414">
        <f>IF(B414="Cluster",$E$3,IF(B414="Supporting",INDEX($E$3:$E$553,MATCH(C414,$C$3:$C$553,0)),""))</f>
        <v/>
      </c>
      <c r="H414">
        <f>IF(B414="Supporting",IFERROR(INDEX($E$3:$E$553,1+Entity!$B$14+INDEX(Values!$O$3:$O$502,P414)),""),IF(B414="Cluster",IF(Entity!$B$14&lt;2,"",INDEX($E$3:$E$553,IF(A414-1=Entity!$B$14,2,A414+1))),""))</f>
        <v/>
      </c>
      <c r="I414">
        <f>IF(B414="Pillar",Entity!$B$14&amp;" cluster pages",IF(B414="Cluster",(COUNTIF($C$3:$C$553,SUBSTITUTE(SUBSTITUTE(C414,"?","~?"),"*","~*"))-1)&amp;" supporting pages",""))</f>
        <v/>
      </c>
      <c r="J414">
        <f>IF(B414="Pillar","Informational",IF(OR(B414="Cluster",B414="Supporting"),INDEX(Attributes!$D$3:$D$52,Q414)&amp;"",""))</f>
        <v/>
      </c>
      <c r="K414">
        <f>IF(B414="","",IF(B414="Pillar","Pillar guide (entity hub)",IF(B414="Cluster","Hub page for this attribute",IF(INDEX(Values!$C$3:$C$502,P414)="Yes","Entity page (profile of the sub-entity)",IFERROR(INDEX(Lists!$B$3:$B$6,MATCH(J414,Lists!$A$3:$A$6,0)),"Article")))))</f>
        <v/>
      </c>
      <c r="L414">
        <f>IF(B414="Pillar",Entity!$B$6&amp;"",IF(B414="Cluster",INDEX(Attributes!$I$3:$I$52,Q414)&amp;"",IF(B414="Supporting",INDEX(Values!$F$3:$F$502,P414)&amp;"","")))</f>
        <v/>
      </c>
      <c r="M414">
        <f>IF(B414="","",IF(L414&lt;&gt;"","Covered","Gap"))</f>
        <v/>
      </c>
      <c r="N414">
        <f>IF(B414="Pillar",SUMIFS(Values!$E$3:$E$502,Values!$I$3:$I$502,"Yes"),IF(B414="Cluster",SUMIFS(Values!$E$3:$E$502,Values!$A$3:$A$502,SUBSTITUTE(SUBSTITUTE(C414,"?","~?"),"*","~*"),Values!$I$3:$I$502,"Yes"),IF(B414="Supporting",N(INDEX(Values!$E$3:$E$502,P414)),"")))</f>
        <v/>
      </c>
      <c r="O414">
        <f>IF(B414="","",IF(B414="Pillar",100,IF(B414="Cluster",N(INDEX(Attributes!$E$3:$E$52,Q414))*25+IF(M414="Gap",10,0),N(INDEX(Attributes!$E$3:$E$52,Q414))*20+MIN(20,ROUND(LOG10(N(N414)+1)*5,0))+IF(M414="Gap",10,0)+IF(INDEX(Values!$D$3:$D$502,P414)="Yes",5,0))))</f>
        <v/>
      </c>
      <c r="P414">
        <f>IF(B414="Supporting",MATCH(A414-1-Entity!$B$14,Values!$J$3:$J$502,0),"")</f>
        <v/>
      </c>
      <c r="Q414">
        <f>IF(C414="","",MATCH(C414,Attributes!$A$3:$A$52,0))</f>
        <v/>
      </c>
      <c r="R414">
        <f>IF(B414="Pillar",SUBSTITUTE(Entity!$B$7,"{entity}",LOWER(Entity!$B$3)),IF(B414="Cluster",IF(INDEX(Attributes!$G$3:$G$52,Q414)&lt;&gt;"",INDEX(Attributes!$G$3:$G$52,Q414),SUBSTITUTE(SUBSTITUTE(Entity!$B$8,"{entity}",LOWER(Entity!$B$3)),"{attribute}",LOWER(C414))),IF(B414="Supporting",SUBSTITUTE(SUBSTITUTE(SUBSTITUTE(IF(INDEX(Attributes!$H$3:$H$52,Q414)&lt;&gt;"",INDEX(Attributes!$H$3:$H$52,Q414),Entity!$B$9),"{entity}",LOWER(Entity!$B$3)),"{value}",D414),"{attribute}",LOWER(C414)),"")))</f>
        <v/>
      </c>
    </row>
    <row r="415">
      <c r="A415">
        <f>ROW()-2</f>
        <v/>
      </c>
      <c r="B415">
        <f>IF(A415=1,"Pillar",IF(A415&lt;=1+Entity!$B$14,"Cluster",IF(A415&lt;=1+Entity!$B$14+Entity!$B$15,"Supporting","")))</f>
        <v/>
      </c>
      <c r="C415">
        <f>IF(B415="Cluster",INDEX(Attributes!$A$3:$A$52,MATCH(A415-1,Attributes!$P$3:$P$52,0)),IF(B415="Supporting",INDEX(Values!$A$3:$A$502,P415),""))</f>
        <v/>
      </c>
      <c r="D415">
        <f>IF(B415="Supporting",INDEX(Values!$B$3:$B$502,P415),"")</f>
        <v/>
      </c>
      <c r="E415">
        <f>IF(R415="","",UPPER(LEFT(R415,1))&amp;MID(R415,2,500))</f>
        <v/>
      </c>
      <c r="F415">
        <f>IF(E415="","",LOWER(SUBSTITUTE(SUBSTITUTE(SUBSTITUTE(SUBSTITUTE(SUBSTITUTE(SUBSTITUTE(SUBSTITUTE(TRIM(E415),":",""),",",""),"'",""),"&amp;","and"),"£",""),"  "," ")," ","-")))</f>
        <v/>
      </c>
      <c r="G415">
        <f>IF(B415="Cluster",$E$3,IF(B415="Supporting",INDEX($E$3:$E$553,MATCH(C415,$C$3:$C$553,0)),""))</f>
        <v/>
      </c>
      <c r="H415">
        <f>IF(B415="Supporting",IFERROR(INDEX($E$3:$E$553,1+Entity!$B$14+INDEX(Values!$O$3:$O$502,P415)),""),IF(B415="Cluster",IF(Entity!$B$14&lt;2,"",INDEX($E$3:$E$553,IF(A415-1=Entity!$B$14,2,A415+1))),""))</f>
        <v/>
      </c>
      <c r="I415">
        <f>IF(B415="Pillar",Entity!$B$14&amp;" cluster pages",IF(B415="Cluster",(COUNTIF($C$3:$C$553,SUBSTITUTE(SUBSTITUTE(C415,"?","~?"),"*","~*"))-1)&amp;" supporting pages",""))</f>
        <v/>
      </c>
      <c r="J415">
        <f>IF(B415="Pillar","Informational",IF(OR(B415="Cluster",B415="Supporting"),INDEX(Attributes!$D$3:$D$52,Q415)&amp;"",""))</f>
        <v/>
      </c>
      <c r="K415">
        <f>IF(B415="","",IF(B415="Pillar","Pillar guide (entity hub)",IF(B415="Cluster","Hub page for this attribute",IF(INDEX(Values!$C$3:$C$502,P415)="Yes","Entity page (profile of the sub-entity)",IFERROR(INDEX(Lists!$B$3:$B$6,MATCH(J415,Lists!$A$3:$A$6,0)),"Article")))))</f>
        <v/>
      </c>
      <c r="L415">
        <f>IF(B415="Pillar",Entity!$B$6&amp;"",IF(B415="Cluster",INDEX(Attributes!$I$3:$I$52,Q415)&amp;"",IF(B415="Supporting",INDEX(Values!$F$3:$F$502,P415)&amp;"","")))</f>
        <v/>
      </c>
      <c r="M415">
        <f>IF(B415="","",IF(L415&lt;&gt;"","Covered","Gap"))</f>
        <v/>
      </c>
      <c r="N415">
        <f>IF(B415="Pillar",SUMIFS(Values!$E$3:$E$502,Values!$I$3:$I$502,"Yes"),IF(B415="Cluster",SUMIFS(Values!$E$3:$E$502,Values!$A$3:$A$502,SUBSTITUTE(SUBSTITUTE(C415,"?","~?"),"*","~*"),Values!$I$3:$I$502,"Yes"),IF(B415="Supporting",N(INDEX(Values!$E$3:$E$502,P415)),"")))</f>
        <v/>
      </c>
      <c r="O415">
        <f>IF(B415="","",IF(B415="Pillar",100,IF(B415="Cluster",N(INDEX(Attributes!$E$3:$E$52,Q415))*25+IF(M415="Gap",10,0),N(INDEX(Attributes!$E$3:$E$52,Q415))*20+MIN(20,ROUND(LOG10(N(N415)+1)*5,0))+IF(M415="Gap",10,0)+IF(INDEX(Values!$D$3:$D$502,P415)="Yes",5,0))))</f>
        <v/>
      </c>
      <c r="P415">
        <f>IF(B415="Supporting",MATCH(A415-1-Entity!$B$14,Values!$J$3:$J$502,0),"")</f>
        <v/>
      </c>
      <c r="Q415">
        <f>IF(C415="","",MATCH(C415,Attributes!$A$3:$A$52,0))</f>
        <v/>
      </c>
      <c r="R415">
        <f>IF(B415="Pillar",SUBSTITUTE(Entity!$B$7,"{entity}",LOWER(Entity!$B$3)),IF(B415="Cluster",IF(INDEX(Attributes!$G$3:$G$52,Q415)&lt;&gt;"",INDEX(Attributes!$G$3:$G$52,Q415),SUBSTITUTE(SUBSTITUTE(Entity!$B$8,"{entity}",LOWER(Entity!$B$3)),"{attribute}",LOWER(C415))),IF(B415="Supporting",SUBSTITUTE(SUBSTITUTE(SUBSTITUTE(IF(INDEX(Attributes!$H$3:$H$52,Q415)&lt;&gt;"",INDEX(Attributes!$H$3:$H$52,Q415),Entity!$B$9),"{entity}",LOWER(Entity!$B$3)),"{value}",D415),"{attribute}",LOWER(C415)),"")))</f>
        <v/>
      </c>
    </row>
    <row r="416">
      <c r="A416">
        <f>ROW()-2</f>
        <v/>
      </c>
      <c r="B416">
        <f>IF(A416=1,"Pillar",IF(A416&lt;=1+Entity!$B$14,"Cluster",IF(A416&lt;=1+Entity!$B$14+Entity!$B$15,"Supporting","")))</f>
        <v/>
      </c>
      <c r="C416">
        <f>IF(B416="Cluster",INDEX(Attributes!$A$3:$A$52,MATCH(A416-1,Attributes!$P$3:$P$52,0)),IF(B416="Supporting",INDEX(Values!$A$3:$A$502,P416),""))</f>
        <v/>
      </c>
      <c r="D416">
        <f>IF(B416="Supporting",INDEX(Values!$B$3:$B$502,P416),"")</f>
        <v/>
      </c>
      <c r="E416">
        <f>IF(R416="","",UPPER(LEFT(R416,1))&amp;MID(R416,2,500))</f>
        <v/>
      </c>
      <c r="F416">
        <f>IF(E416="","",LOWER(SUBSTITUTE(SUBSTITUTE(SUBSTITUTE(SUBSTITUTE(SUBSTITUTE(SUBSTITUTE(SUBSTITUTE(TRIM(E416),":",""),",",""),"'",""),"&amp;","and"),"£",""),"  "," ")," ","-")))</f>
        <v/>
      </c>
      <c r="G416">
        <f>IF(B416="Cluster",$E$3,IF(B416="Supporting",INDEX($E$3:$E$553,MATCH(C416,$C$3:$C$553,0)),""))</f>
        <v/>
      </c>
      <c r="H416">
        <f>IF(B416="Supporting",IFERROR(INDEX($E$3:$E$553,1+Entity!$B$14+INDEX(Values!$O$3:$O$502,P416)),""),IF(B416="Cluster",IF(Entity!$B$14&lt;2,"",INDEX($E$3:$E$553,IF(A416-1=Entity!$B$14,2,A416+1))),""))</f>
        <v/>
      </c>
      <c r="I416">
        <f>IF(B416="Pillar",Entity!$B$14&amp;" cluster pages",IF(B416="Cluster",(COUNTIF($C$3:$C$553,SUBSTITUTE(SUBSTITUTE(C416,"?","~?"),"*","~*"))-1)&amp;" supporting pages",""))</f>
        <v/>
      </c>
      <c r="J416">
        <f>IF(B416="Pillar","Informational",IF(OR(B416="Cluster",B416="Supporting"),INDEX(Attributes!$D$3:$D$52,Q416)&amp;"",""))</f>
        <v/>
      </c>
      <c r="K416">
        <f>IF(B416="","",IF(B416="Pillar","Pillar guide (entity hub)",IF(B416="Cluster","Hub page for this attribute",IF(INDEX(Values!$C$3:$C$502,P416)="Yes","Entity page (profile of the sub-entity)",IFERROR(INDEX(Lists!$B$3:$B$6,MATCH(J416,Lists!$A$3:$A$6,0)),"Article")))))</f>
        <v/>
      </c>
      <c r="L416">
        <f>IF(B416="Pillar",Entity!$B$6&amp;"",IF(B416="Cluster",INDEX(Attributes!$I$3:$I$52,Q416)&amp;"",IF(B416="Supporting",INDEX(Values!$F$3:$F$502,P416)&amp;"","")))</f>
        <v/>
      </c>
      <c r="M416">
        <f>IF(B416="","",IF(L416&lt;&gt;"","Covered","Gap"))</f>
        <v/>
      </c>
      <c r="N416">
        <f>IF(B416="Pillar",SUMIFS(Values!$E$3:$E$502,Values!$I$3:$I$502,"Yes"),IF(B416="Cluster",SUMIFS(Values!$E$3:$E$502,Values!$A$3:$A$502,SUBSTITUTE(SUBSTITUTE(C416,"?","~?"),"*","~*"),Values!$I$3:$I$502,"Yes"),IF(B416="Supporting",N(INDEX(Values!$E$3:$E$502,P416)),"")))</f>
        <v/>
      </c>
      <c r="O416">
        <f>IF(B416="","",IF(B416="Pillar",100,IF(B416="Cluster",N(INDEX(Attributes!$E$3:$E$52,Q416))*25+IF(M416="Gap",10,0),N(INDEX(Attributes!$E$3:$E$52,Q416))*20+MIN(20,ROUND(LOG10(N(N416)+1)*5,0))+IF(M416="Gap",10,0)+IF(INDEX(Values!$D$3:$D$502,P416)="Yes",5,0))))</f>
        <v/>
      </c>
      <c r="P416">
        <f>IF(B416="Supporting",MATCH(A416-1-Entity!$B$14,Values!$J$3:$J$502,0),"")</f>
        <v/>
      </c>
      <c r="Q416">
        <f>IF(C416="","",MATCH(C416,Attributes!$A$3:$A$52,0))</f>
        <v/>
      </c>
      <c r="R416">
        <f>IF(B416="Pillar",SUBSTITUTE(Entity!$B$7,"{entity}",LOWER(Entity!$B$3)),IF(B416="Cluster",IF(INDEX(Attributes!$G$3:$G$52,Q416)&lt;&gt;"",INDEX(Attributes!$G$3:$G$52,Q416),SUBSTITUTE(SUBSTITUTE(Entity!$B$8,"{entity}",LOWER(Entity!$B$3)),"{attribute}",LOWER(C416))),IF(B416="Supporting",SUBSTITUTE(SUBSTITUTE(SUBSTITUTE(IF(INDEX(Attributes!$H$3:$H$52,Q416)&lt;&gt;"",INDEX(Attributes!$H$3:$H$52,Q416),Entity!$B$9),"{entity}",LOWER(Entity!$B$3)),"{value}",D416),"{attribute}",LOWER(C416)),"")))</f>
        <v/>
      </c>
    </row>
    <row r="417">
      <c r="A417">
        <f>ROW()-2</f>
        <v/>
      </c>
      <c r="B417">
        <f>IF(A417=1,"Pillar",IF(A417&lt;=1+Entity!$B$14,"Cluster",IF(A417&lt;=1+Entity!$B$14+Entity!$B$15,"Supporting","")))</f>
        <v/>
      </c>
      <c r="C417">
        <f>IF(B417="Cluster",INDEX(Attributes!$A$3:$A$52,MATCH(A417-1,Attributes!$P$3:$P$52,0)),IF(B417="Supporting",INDEX(Values!$A$3:$A$502,P417),""))</f>
        <v/>
      </c>
      <c r="D417">
        <f>IF(B417="Supporting",INDEX(Values!$B$3:$B$502,P417),"")</f>
        <v/>
      </c>
      <c r="E417">
        <f>IF(R417="","",UPPER(LEFT(R417,1))&amp;MID(R417,2,500))</f>
        <v/>
      </c>
      <c r="F417">
        <f>IF(E417="","",LOWER(SUBSTITUTE(SUBSTITUTE(SUBSTITUTE(SUBSTITUTE(SUBSTITUTE(SUBSTITUTE(SUBSTITUTE(TRIM(E417),":",""),",",""),"'",""),"&amp;","and"),"£",""),"  "," ")," ","-")))</f>
        <v/>
      </c>
      <c r="G417">
        <f>IF(B417="Cluster",$E$3,IF(B417="Supporting",INDEX($E$3:$E$553,MATCH(C417,$C$3:$C$553,0)),""))</f>
        <v/>
      </c>
      <c r="H417">
        <f>IF(B417="Supporting",IFERROR(INDEX($E$3:$E$553,1+Entity!$B$14+INDEX(Values!$O$3:$O$502,P417)),""),IF(B417="Cluster",IF(Entity!$B$14&lt;2,"",INDEX($E$3:$E$553,IF(A417-1=Entity!$B$14,2,A417+1))),""))</f>
        <v/>
      </c>
      <c r="I417">
        <f>IF(B417="Pillar",Entity!$B$14&amp;" cluster pages",IF(B417="Cluster",(COUNTIF($C$3:$C$553,SUBSTITUTE(SUBSTITUTE(C417,"?","~?"),"*","~*"))-1)&amp;" supporting pages",""))</f>
        <v/>
      </c>
      <c r="J417">
        <f>IF(B417="Pillar","Informational",IF(OR(B417="Cluster",B417="Supporting"),INDEX(Attributes!$D$3:$D$52,Q417)&amp;"",""))</f>
        <v/>
      </c>
      <c r="K417">
        <f>IF(B417="","",IF(B417="Pillar","Pillar guide (entity hub)",IF(B417="Cluster","Hub page for this attribute",IF(INDEX(Values!$C$3:$C$502,P417)="Yes","Entity page (profile of the sub-entity)",IFERROR(INDEX(Lists!$B$3:$B$6,MATCH(J417,Lists!$A$3:$A$6,0)),"Article")))))</f>
        <v/>
      </c>
      <c r="L417">
        <f>IF(B417="Pillar",Entity!$B$6&amp;"",IF(B417="Cluster",INDEX(Attributes!$I$3:$I$52,Q417)&amp;"",IF(B417="Supporting",INDEX(Values!$F$3:$F$502,P417)&amp;"","")))</f>
        <v/>
      </c>
      <c r="M417">
        <f>IF(B417="","",IF(L417&lt;&gt;"","Covered","Gap"))</f>
        <v/>
      </c>
      <c r="N417">
        <f>IF(B417="Pillar",SUMIFS(Values!$E$3:$E$502,Values!$I$3:$I$502,"Yes"),IF(B417="Cluster",SUMIFS(Values!$E$3:$E$502,Values!$A$3:$A$502,SUBSTITUTE(SUBSTITUTE(C417,"?","~?"),"*","~*"),Values!$I$3:$I$502,"Yes"),IF(B417="Supporting",N(INDEX(Values!$E$3:$E$502,P417)),"")))</f>
        <v/>
      </c>
      <c r="O417">
        <f>IF(B417="","",IF(B417="Pillar",100,IF(B417="Cluster",N(INDEX(Attributes!$E$3:$E$52,Q417))*25+IF(M417="Gap",10,0),N(INDEX(Attributes!$E$3:$E$52,Q417))*20+MIN(20,ROUND(LOG10(N(N417)+1)*5,0))+IF(M417="Gap",10,0)+IF(INDEX(Values!$D$3:$D$502,P417)="Yes",5,0))))</f>
        <v/>
      </c>
      <c r="P417">
        <f>IF(B417="Supporting",MATCH(A417-1-Entity!$B$14,Values!$J$3:$J$502,0),"")</f>
        <v/>
      </c>
      <c r="Q417">
        <f>IF(C417="","",MATCH(C417,Attributes!$A$3:$A$52,0))</f>
        <v/>
      </c>
      <c r="R417">
        <f>IF(B417="Pillar",SUBSTITUTE(Entity!$B$7,"{entity}",LOWER(Entity!$B$3)),IF(B417="Cluster",IF(INDEX(Attributes!$G$3:$G$52,Q417)&lt;&gt;"",INDEX(Attributes!$G$3:$G$52,Q417),SUBSTITUTE(SUBSTITUTE(Entity!$B$8,"{entity}",LOWER(Entity!$B$3)),"{attribute}",LOWER(C417))),IF(B417="Supporting",SUBSTITUTE(SUBSTITUTE(SUBSTITUTE(IF(INDEX(Attributes!$H$3:$H$52,Q417)&lt;&gt;"",INDEX(Attributes!$H$3:$H$52,Q417),Entity!$B$9),"{entity}",LOWER(Entity!$B$3)),"{value}",D417),"{attribute}",LOWER(C417)),"")))</f>
        <v/>
      </c>
    </row>
    <row r="418">
      <c r="A418">
        <f>ROW()-2</f>
        <v/>
      </c>
      <c r="B418">
        <f>IF(A418=1,"Pillar",IF(A418&lt;=1+Entity!$B$14,"Cluster",IF(A418&lt;=1+Entity!$B$14+Entity!$B$15,"Supporting","")))</f>
        <v/>
      </c>
      <c r="C418">
        <f>IF(B418="Cluster",INDEX(Attributes!$A$3:$A$52,MATCH(A418-1,Attributes!$P$3:$P$52,0)),IF(B418="Supporting",INDEX(Values!$A$3:$A$502,P418),""))</f>
        <v/>
      </c>
      <c r="D418">
        <f>IF(B418="Supporting",INDEX(Values!$B$3:$B$502,P418),"")</f>
        <v/>
      </c>
      <c r="E418">
        <f>IF(R418="","",UPPER(LEFT(R418,1))&amp;MID(R418,2,500))</f>
        <v/>
      </c>
      <c r="F418">
        <f>IF(E418="","",LOWER(SUBSTITUTE(SUBSTITUTE(SUBSTITUTE(SUBSTITUTE(SUBSTITUTE(SUBSTITUTE(SUBSTITUTE(TRIM(E418),":",""),",",""),"'",""),"&amp;","and"),"£",""),"  "," ")," ","-")))</f>
        <v/>
      </c>
      <c r="G418">
        <f>IF(B418="Cluster",$E$3,IF(B418="Supporting",INDEX($E$3:$E$553,MATCH(C418,$C$3:$C$553,0)),""))</f>
        <v/>
      </c>
      <c r="H418">
        <f>IF(B418="Supporting",IFERROR(INDEX($E$3:$E$553,1+Entity!$B$14+INDEX(Values!$O$3:$O$502,P418)),""),IF(B418="Cluster",IF(Entity!$B$14&lt;2,"",INDEX($E$3:$E$553,IF(A418-1=Entity!$B$14,2,A418+1))),""))</f>
        <v/>
      </c>
      <c r="I418">
        <f>IF(B418="Pillar",Entity!$B$14&amp;" cluster pages",IF(B418="Cluster",(COUNTIF($C$3:$C$553,SUBSTITUTE(SUBSTITUTE(C418,"?","~?"),"*","~*"))-1)&amp;" supporting pages",""))</f>
        <v/>
      </c>
      <c r="J418">
        <f>IF(B418="Pillar","Informational",IF(OR(B418="Cluster",B418="Supporting"),INDEX(Attributes!$D$3:$D$52,Q418)&amp;"",""))</f>
        <v/>
      </c>
      <c r="K418">
        <f>IF(B418="","",IF(B418="Pillar","Pillar guide (entity hub)",IF(B418="Cluster","Hub page for this attribute",IF(INDEX(Values!$C$3:$C$502,P418)="Yes","Entity page (profile of the sub-entity)",IFERROR(INDEX(Lists!$B$3:$B$6,MATCH(J418,Lists!$A$3:$A$6,0)),"Article")))))</f>
        <v/>
      </c>
      <c r="L418">
        <f>IF(B418="Pillar",Entity!$B$6&amp;"",IF(B418="Cluster",INDEX(Attributes!$I$3:$I$52,Q418)&amp;"",IF(B418="Supporting",INDEX(Values!$F$3:$F$502,P418)&amp;"","")))</f>
        <v/>
      </c>
      <c r="M418">
        <f>IF(B418="","",IF(L418&lt;&gt;"","Covered","Gap"))</f>
        <v/>
      </c>
      <c r="N418">
        <f>IF(B418="Pillar",SUMIFS(Values!$E$3:$E$502,Values!$I$3:$I$502,"Yes"),IF(B418="Cluster",SUMIFS(Values!$E$3:$E$502,Values!$A$3:$A$502,SUBSTITUTE(SUBSTITUTE(C418,"?","~?"),"*","~*"),Values!$I$3:$I$502,"Yes"),IF(B418="Supporting",N(INDEX(Values!$E$3:$E$502,P418)),"")))</f>
        <v/>
      </c>
      <c r="O418">
        <f>IF(B418="","",IF(B418="Pillar",100,IF(B418="Cluster",N(INDEX(Attributes!$E$3:$E$52,Q418))*25+IF(M418="Gap",10,0),N(INDEX(Attributes!$E$3:$E$52,Q418))*20+MIN(20,ROUND(LOG10(N(N418)+1)*5,0))+IF(M418="Gap",10,0)+IF(INDEX(Values!$D$3:$D$502,P418)="Yes",5,0))))</f>
        <v/>
      </c>
      <c r="P418">
        <f>IF(B418="Supporting",MATCH(A418-1-Entity!$B$14,Values!$J$3:$J$502,0),"")</f>
        <v/>
      </c>
      <c r="Q418">
        <f>IF(C418="","",MATCH(C418,Attributes!$A$3:$A$52,0))</f>
        <v/>
      </c>
      <c r="R418">
        <f>IF(B418="Pillar",SUBSTITUTE(Entity!$B$7,"{entity}",LOWER(Entity!$B$3)),IF(B418="Cluster",IF(INDEX(Attributes!$G$3:$G$52,Q418)&lt;&gt;"",INDEX(Attributes!$G$3:$G$52,Q418),SUBSTITUTE(SUBSTITUTE(Entity!$B$8,"{entity}",LOWER(Entity!$B$3)),"{attribute}",LOWER(C418))),IF(B418="Supporting",SUBSTITUTE(SUBSTITUTE(SUBSTITUTE(IF(INDEX(Attributes!$H$3:$H$52,Q418)&lt;&gt;"",INDEX(Attributes!$H$3:$H$52,Q418),Entity!$B$9),"{entity}",LOWER(Entity!$B$3)),"{value}",D418),"{attribute}",LOWER(C418)),"")))</f>
        <v/>
      </c>
    </row>
    <row r="419">
      <c r="A419">
        <f>ROW()-2</f>
        <v/>
      </c>
      <c r="B419">
        <f>IF(A419=1,"Pillar",IF(A419&lt;=1+Entity!$B$14,"Cluster",IF(A419&lt;=1+Entity!$B$14+Entity!$B$15,"Supporting","")))</f>
        <v/>
      </c>
      <c r="C419">
        <f>IF(B419="Cluster",INDEX(Attributes!$A$3:$A$52,MATCH(A419-1,Attributes!$P$3:$P$52,0)),IF(B419="Supporting",INDEX(Values!$A$3:$A$502,P419),""))</f>
        <v/>
      </c>
      <c r="D419">
        <f>IF(B419="Supporting",INDEX(Values!$B$3:$B$502,P419),"")</f>
        <v/>
      </c>
      <c r="E419">
        <f>IF(R419="","",UPPER(LEFT(R419,1))&amp;MID(R419,2,500))</f>
        <v/>
      </c>
      <c r="F419">
        <f>IF(E419="","",LOWER(SUBSTITUTE(SUBSTITUTE(SUBSTITUTE(SUBSTITUTE(SUBSTITUTE(SUBSTITUTE(SUBSTITUTE(TRIM(E419),":",""),",",""),"'",""),"&amp;","and"),"£",""),"  "," ")," ","-")))</f>
        <v/>
      </c>
      <c r="G419">
        <f>IF(B419="Cluster",$E$3,IF(B419="Supporting",INDEX($E$3:$E$553,MATCH(C419,$C$3:$C$553,0)),""))</f>
        <v/>
      </c>
      <c r="H419">
        <f>IF(B419="Supporting",IFERROR(INDEX($E$3:$E$553,1+Entity!$B$14+INDEX(Values!$O$3:$O$502,P419)),""),IF(B419="Cluster",IF(Entity!$B$14&lt;2,"",INDEX($E$3:$E$553,IF(A419-1=Entity!$B$14,2,A419+1))),""))</f>
        <v/>
      </c>
      <c r="I419">
        <f>IF(B419="Pillar",Entity!$B$14&amp;" cluster pages",IF(B419="Cluster",(COUNTIF($C$3:$C$553,SUBSTITUTE(SUBSTITUTE(C419,"?","~?"),"*","~*"))-1)&amp;" supporting pages",""))</f>
        <v/>
      </c>
      <c r="J419">
        <f>IF(B419="Pillar","Informational",IF(OR(B419="Cluster",B419="Supporting"),INDEX(Attributes!$D$3:$D$52,Q419)&amp;"",""))</f>
        <v/>
      </c>
      <c r="K419">
        <f>IF(B419="","",IF(B419="Pillar","Pillar guide (entity hub)",IF(B419="Cluster","Hub page for this attribute",IF(INDEX(Values!$C$3:$C$502,P419)="Yes","Entity page (profile of the sub-entity)",IFERROR(INDEX(Lists!$B$3:$B$6,MATCH(J419,Lists!$A$3:$A$6,0)),"Article")))))</f>
        <v/>
      </c>
      <c r="L419">
        <f>IF(B419="Pillar",Entity!$B$6&amp;"",IF(B419="Cluster",INDEX(Attributes!$I$3:$I$52,Q419)&amp;"",IF(B419="Supporting",INDEX(Values!$F$3:$F$502,P419)&amp;"","")))</f>
        <v/>
      </c>
      <c r="M419">
        <f>IF(B419="","",IF(L419&lt;&gt;"","Covered","Gap"))</f>
        <v/>
      </c>
      <c r="N419">
        <f>IF(B419="Pillar",SUMIFS(Values!$E$3:$E$502,Values!$I$3:$I$502,"Yes"),IF(B419="Cluster",SUMIFS(Values!$E$3:$E$502,Values!$A$3:$A$502,SUBSTITUTE(SUBSTITUTE(C419,"?","~?"),"*","~*"),Values!$I$3:$I$502,"Yes"),IF(B419="Supporting",N(INDEX(Values!$E$3:$E$502,P419)),"")))</f>
        <v/>
      </c>
      <c r="O419">
        <f>IF(B419="","",IF(B419="Pillar",100,IF(B419="Cluster",N(INDEX(Attributes!$E$3:$E$52,Q419))*25+IF(M419="Gap",10,0),N(INDEX(Attributes!$E$3:$E$52,Q419))*20+MIN(20,ROUND(LOG10(N(N419)+1)*5,0))+IF(M419="Gap",10,0)+IF(INDEX(Values!$D$3:$D$502,P419)="Yes",5,0))))</f>
        <v/>
      </c>
      <c r="P419">
        <f>IF(B419="Supporting",MATCH(A419-1-Entity!$B$14,Values!$J$3:$J$502,0),"")</f>
        <v/>
      </c>
      <c r="Q419">
        <f>IF(C419="","",MATCH(C419,Attributes!$A$3:$A$52,0))</f>
        <v/>
      </c>
      <c r="R419">
        <f>IF(B419="Pillar",SUBSTITUTE(Entity!$B$7,"{entity}",LOWER(Entity!$B$3)),IF(B419="Cluster",IF(INDEX(Attributes!$G$3:$G$52,Q419)&lt;&gt;"",INDEX(Attributes!$G$3:$G$52,Q419),SUBSTITUTE(SUBSTITUTE(Entity!$B$8,"{entity}",LOWER(Entity!$B$3)),"{attribute}",LOWER(C419))),IF(B419="Supporting",SUBSTITUTE(SUBSTITUTE(SUBSTITUTE(IF(INDEX(Attributes!$H$3:$H$52,Q419)&lt;&gt;"",INDEX(Attributes!$H$3:$H$52,Q419),Entity!$B$9),"{entity}",LOWER(Entity!$B$3)),"{value}",D419),"{attribute}",LOWER(C419)),"")))</f>
        <v/>
      </c>
    </row>
    <row r="420">
      <c r="A420">
        <f>ROW()-2</f>
        <v/>
      </c>
      <c r="B420">
        <f>IF(A420=1,"Pillar",IF(A420&lt;=1+Entity!$B$14,"Cluster",IF(A420&lt;=1+Entity!$B$14+Entity!$B$15,"Supporting","")))</f>
        <v/>
      </c>
      <c r="C420">
        <f>IF(B420="Cluster",INDEX(Attributes!$A$3:$A$52,MATCH(A420-1,Attributes!$P$3:$P$52,0)),IF(B420="Supporting",INDEX(Values!$A$3:$A$502,P420),""))</f>
        <v/>
      </c>
      <c r="D420">
        <f>IF(B420="Supporting",INDEX(Values!$B$3:$B$502,P420),"")</f>
        <v/>
      </c>
      <c r="E420">
        <f>IF(R420="","",UPPER(LEFT(R420,1))&amp;MID(R420,2,500))</f>
        <v/>
      </c>
      <c r="F420">
        <f>IF(E420="","",LOWER(SUBSTITUTE(SUBSTITUTE(SUBSTITUTE(SUBSTITUTE(SUBSTITUTE(SUBSTITUTE(SUBSTITUTE(TRIM(E420),":",""),",",""),"'",""),"&amp;","and"),"£",""),"  "," ")," ","-")))</f>
        <v/>
      </c>
      <c r="G420">
        <f>IF(B420="Cluster",$E$3,IF(B420="Supporting",INDEX($E$3:$E$553,MATCH(C420,$C$3:$C$553,0)),""))</f>
        <v/>
      </c>
      <c r="H420">
        <f>IF(B420="Supporting",IFERROR(INDEX($E$3:$E$553,1+Entity!$B$14+INDEX(Values!$O$3:$O$502,P420)),""),IF(B420="Cluster",IF(Entity!$B$14&lt;2,"",INDEX($E$3:$E$553,IF(A420-1=Entity!$B$14,2,A420+1))),""))</f>
        <v/>
      </c>
      <c r="I420">
        <f>IF(B420="Pillar",Entity!$B$14&amp;" cluster pages",IF(B420="Cluster",(COUNTIF($C$3:$C$553,SUBSTITUTE(SUBSTITUTE(C420,"?","~?"),"*","~*"))-1)&amp;" supporting pages",""))</f>
        <v/>
      </c>
      <c r="J420">
        <f>IF(B420="Pillar","Informational",IF(OR(B420="Cluster",B420="Supporting"),INDEX(Attributes!$D$3:$D$52,Q420)&amp;"",""))</f>
        <v/>
      </c>
      <c r="K420">
        <f>IF(B420="","",IF(B420="Pillar","Pillar guide (entity hub)",IF(B420="Cluster","Hub page for this attribute",IF(INDEX(Values!$C$3:$C$502,P420)="Yes","Entity page (profile of the sub-entity)",IFERROR(INDEX(Lists!$B$3:$B$6,MATCH(J420,Lists!$A$3:$A$6,0)),"Article")))))</f>
        <v/>
      </c>
      <c r="L420">
        <f>IF(B420="Pillar",Entity!$B$6&amp;"",IF(B420="Cluster",INDEX(Attributes!$I$3:$I$52,Q420)&amp;"",IF(B420="Supporting",INDEX(Values!$F$3:$F$502,P420)&amp;"","")))</f>
        <v/>
      </c>
      <c r="M420">
        <f>IF(B420="","",IF(L420&lt;&gt;"","Covered","Gap"))</f>
        <v/>
      </c>
      <c r="N420">
        <f>IF(B420="Pillar",SUMIFS(Values!$E$3:$E$502,Values!$I$3:$I$502,"Yes"),IF(B420="Cluster",SUMIFS(Values!$E$3:$E$502,Values!$A$3:$A$502,SUBSTITUTE(SUBSTITUTE(C420,"?","~?"),"*","~*"),Values!$I$3:$I$502,"Yes"),IF(B420="Supporting",N(INDEX(Values!$E$3:$E$502,P420)),"")))</f>
        <v/>
      </c>
      <c r="O420">
        <f>IF(B420="","",IF(B420="Pillar",100,IF(B420="Cluster",N(INDEX(Attributes!$E$3:$E$52,Q420))*25+IF(M420="Gap",10,0),N(INDEX(Attributes!$E$3:$E$52,Q420))*20+MIN(20,ROUND(LOG10(N(N420)+1)*5,0))+IF(M420="Gap",10,0)+IF(INDEX(Values!$D$3:$D$502,P420)="Yes",5,0))))</f>
        <v/>
      </c>
      <c r="P420">
        <f>IF(B420="Supporting",MATCH(A420-1-Entity!$B$14,Values!$J$3:$J$502,0),"")</f>
        <v/>
      </c>
      <c r="Q420">
        <f>IF(C420="","",MATCH(C420,Attributes!$A$3:$A$52,0))</f>
        <v/>
      </c>
      <c r="R420">
        <f>IF(B420="Pillar",SUBSTITUTE(Entity!$B$7,"{entity}",LOWER(Entity!$B$3)),IF(B420="Cluster",IF(INDEX(Attributes!$G$3:$G$52,Q420)&lt;&gt;"",INDEX(Attributes!$G$3:$G$52,Q420),SUBSTITUTE(SUBSTITUTE(Entity!$B$8,"{entity}",LOWER(Entity!$B$3)),"{attribute}",LOWER(C420))),IF(B420="Supporting",SUBSTITUTE(SUBSTITUTE(SUBSTITUTE(IF(INDEX(Attributes!$H$3:$H$52,Q420)&lt;&gt;"",INDEX(Attributes!$H$3:$H$52,Q420),Entity!$B$9),"{entity}",LOWER(Entity!$B$3)),"{value}",D420),"{attribute}",LOWER(C420)),"")))</f>
        <v/>
      </c>
    </row>
    <row r="421">
      <c r="A421">
        <f>ROW()-2</f>
        <v/>
      </c>
      <c r="B421">
        <f>IF(A421=1,"Pillar",IF(A421&lt;=1+Entity!$B$14,"Cluster",IF(A421&lt;=1+Entity!$B$14+Entity!$B$15,"Supporting","")))</f>
        <v/>
      </c>
      <c r="C421">
        <f>IF(B421="Cluster",INDEX(Attributes!$A$3:$A$52,MATCH(A421-1,Attributes!$P$3:$P$52,0)),IF(B421="Supporting",INDEX(Values!$A$3:$A$502,P421),""))</f>
        <v/>
      </c>
      <c r="D421">
        <f>IF(B421="Supporting",INDEX(Values!$B$3:$B$502,P421),"")</f>
        <v/>
      </c>
      <c r="E421">
        <f>IF(R421="","",UPPER(LEFT(R421,1))&amp;MID(R421,2,500))</f>
        <v/>
      </c>
      <c r="F421">
        <f>IF(E421="","",LOWER(SUBSTITUTE(SUBSTITUTE(SUBSTITUTE(SUBSTITUTE(SUBSTITUTE(SUBSTITUTE(SUBSTITUTE(TRIM(E421),":",""),",",""),"'",""),"&amp;","and"),"£",""),"  "," ")," ","-")))</f>
        <v/>
      </c>
      <c r="G421">
        <f>IF(B421="Cluster",$E$3,IF(B421="Supporting",INDEX($E$3:$E$553,MATCH(C421,$C$3:$C$553,0)),""))</f>
        <v/>
      </c>
      <c r="H421">
        <f>IF(B421="Supporting",IFERROR(INDEX($E$3:$E$553,1+Entity!$B$14+INDEX(Values!$O$3:$O$502,P421)),""),IF(B421="Cluster",IF(Entity!$B$14&lt;2,"",INDEX($E$3:$E$553,IF(A421-1=Entity!$B$14,2,A421+1))),""))</f>
        <v/>
      </c>
      <c r="I421">
        <f>IF(B421="Pillar",Entity!$B$14&amp;" cluster pages",IF(B421="Cluster",(COUNTIF($C$3:$C$553,SUBSTITUTE(SUBSTITUTE(C421,"?","~?"),"*","~*"))-1)&amp;" supporting pages",""))</f>
        <v/>
      </c>
      <c r="J421">
        <f>IF(B421="Pillar","Informational",IF(OR(B421="Cluster",B421="Supporting"),INDEX(Attributes!$D$3:$D$52,Q421)&amp;"",""))</f>
        <v/>
      </c>
      <c r="K421">
        <f>IF(B421="","",IF(B421="Pillar","Pillar guide (entity hub)",IF(B421="Cluster","Hub page for this attribute",IF(INDEX(Values!$C$3:$C$502,P421)="Yes","Entity page (profile of the sub-entity)",IFERROR(INDEX(Lists!$B$3:$B$6,MATCH(J421,Lists!$A$3:$A$6,0)),"Article")))))</f>
        <v/>
      </c>
      <c r="L421">
        <f>IF(B421="Pillar",Entity!$B$6&amp;"",IF(B421="Cluster",INDEX(Attributes!$I$3:$I$52,Q421)&amp;"",IF(B421="Supporting",INDEX(Values!$F$3:$F$502,P421)&amp;"","")))</f>
        <v/>
      </c>
      <c r="M421">
        <f>IF(B421="","",IF(L421&lt;&gt;"","Covered","Gap"))</f>
        <v/>
      </c>
      <c r="N421">
        <f>IF(B421="Pillar",SUMIFS(Values!$E$3:$E$502,Values!$I$3:$I$502,"Yes"),IF(B421="Cluster",SUMIFS(Values!$E$3:$E$502,Values!$A$3:$A$502,SUBSTITUTE(SUBSTITUTE(C421,"?","~?"),"*","~*"),Values!$I$3:$I$502,"Yes"),IF(B421="Supporting",N(INDEX(Values!$E$3:$E$502,P421)),"")))</f>
        <v/>
      </c>
      <c r="O421">
        <f>IF(B421="","",IF(B421="Pillar",100,IF(B421="Cluster",N(INDEX(Attributes!$E$3:$E$52,Q421))*25+IF(M421="Gap",10,0),N(INDEX(Attributes!$E$3:$E$52,Q421))*20+MIN(20,ROUND(LOG10(N(N421)+1)*5,0))+IF(M421="Gap",10,0)+IF(INDEX(Values!$D$3:$D$502,P421)="Yes",5,0))))</f>
        <v/>
      </c>
      <c r="P421">
        <f>IF(B421="Supporting",MATCH(A421-1-Entity!$B$14,Values!$J$3:$J$502,0),"")</f>
        <v/>
      </c>
      <c r="Q421">
        <f>IF(C421="","",MATCH(C421,Attributes!$A$3:$A$52,0))</f>
        <v/>
      </c>
      <c r="R421">
        <f>IF(B421="Pillar",SUBSTITUTE(Entity!$B$7,"{entity}",LOWER(Entity!$B$3)),IF(B421="Cluster",IF(INDEX(Attributes!$G$3:$G$52,Q421)&lt;&gt;"",INDEX(Attributes!$G$3:$G$52,Q421),SUBSTITUTE(SUBSTITUTE(Entity!$B$8,"{entity}",LOWER(Entity!$B$3)),"{attribute}",LOWER(C421))),IF(B421="Supporting",SUBSTITUTE(SUBSTITUTE(SUBSTITUTE(IF(INDEX(Attributes!$H$3:$H$52,Q421)&lt;&gt;"",INDEX(Attributes!$H$3:$H$52,Q421),Entity!$B$9),"{entity}",LOWER(Entity!$B$3)),"{value}",D421),"{attribute}",LOWER(C421)),"")))</f>
        <v/>
      </c>
    </row>
    <row r="422">
      <c r="A422">
        <f>ROW()-2</f>
        <v/>
      </c>
      <c r="B422">
        <f>IF(A422=1,"Pillar",IF(A422&lt;=1+Entity!$B$14,"Cluster",IF(A422&lt;=1+Entity!$B$14+Entity!$B$15,"Supporting","")))</f>
        <v/>
      </c>
      <c r="C422">
        <f>IF(B422="Cluster",INDEX(Attributes!$A$3:$A$52,MATCH(A422-1,Attributes!$P$3:$P$52,0)),IF(B422="Supporting",INDEX(Values!$A$3:$A$502,P422),""))</f>
        <v/>
      </c>
      <c r="D422">
        <f>IF(B422="Supporting",INDEX(Values!$B$3:$B$502,P422),"")</f>
        <v/>
      </c>
      <c r="E422">
        <f>IF(R422="","",UPPER(LEFT(R422,1))&amp;MID(R422,2,500))</f>
        <v/>
      </c>
      <c r="F422">
        <f>IF(E422="","",LOWER(SUBSTITUTE(SUBSTITUTE(SUBSTITUTE(SUBSTITUTE(SUBSTITUTE(SUBSTITUTE(SUBSTITUTE(TRIM(E422),":",""),",",""),"'",""),"&amp;","and"),"£",""),"  "," ")," ","-")))</f>
        <v/>
      </c>
      <c r="G422">
        <f>IF(B422="Cluster",$E$3,IF(B422="Supporting",INDEX($E$3:$E$553,MATCH(C422,$C$3:$C$553,0)),""))</f>
        <v/>
      </c>
      <c r="H422">
        <f>IF(B422="Supporting",IFERROR(INDEX($E$3:$E$553,1+Entity!$B$14+INDEX(Values!$O$3:$O$502,P422)),""),IF(B422="Cluster",IF(Entity!$B$14&lt;2,"",INDEX($E$3:$E$553,IF(A422-1=Entity!$B$14,2,A422+1))),""))</f>
        <v/>
      </c>
      <c r="I422">
        <f>IF(B422="Pillar",Entity!$B$14&amp;" cluster pages",IF(B422="Cluster",(COUNTIF($C$3:$C$553,SUBSTITUTE(SUBSTITUTE(C422,"?","~?"),"*","~*"))-1)&amp;" supporting pages",""))</f>
        <v/>
      </c>
      <c r="J422">
        <f>IF(B422="Pillar","Informational",IF(OR(B422="Cluster",B422="Supporting"),INDEX(Attributes!$D$3:$D$52,Q422)&amp;"",""))</f>
        <v/>
      </c>
      <c r="K422">
        <f>IF(B422="","",IF(B422="Pillar","Pillar guide (entity hub)",IF(B422="Cluster","Hub page for this attribute",IF(INDEX(Values!$C$3:$C$502,P422)="Yes","Entity page (profile of the sub-entity)",IFERROR(INDEX(Lists!$B$3:$B$6,MATCH(J422,Lists!$A$3:$A$6,0)),"Article")))))</f>
        <v/>
      </c>
      <c r="L422">
        <f>IF(B422="Pillar",Entity!$B$6&amp;"",IF(B422="Cluster",INDEX(Attributes!$I$3:$I$52,Q422)&amp;"",IF(B422="Supporting",INDEX(Values!$F$3:$F$502,P422)&amp;"","")))</f>
        <v/>
      </c>
      <c r="M422">
        <f>IF(B422="","",IF(L422&lt;&gt;"","Covered","Gap"))</f>
        <v/>
      </c>
      <c r="N422">
        <f>IF(B422="Pillar",SUMIFS(Values!$E$3:$E$502,Values!$I$3:$I$502,"Yes"),IF(B422="Cluster",SUMIFS(Values!$E$3:$E$502,Values!$A$3:$A$502,SUBSTITUTE(SUBSTITUTE(C422,"?","~?"),"*","~*"),Values!$I$3:$I$502,"Yes"),IF(B422="Supporting",N(INDEX(Values!$E$3:$E$502,P422)),"")))</f>
        <v/>
      </c>
      <c r="O422">
        <f>IF(B422="","",IF(B422="Pillar",100,IF(B422="Cluster",N(INDEX(Attributes!$E$3:$E$52,Q422))*25+IF(M422="Gap",10,0),N(INDEX(Attributes!$E$3:$E$52,Q422))*20+MIN(20,ROUND(LOG10(N(N422)+1)*5,0))+IF(M422="Gap",10,0)+IF(INDEX(Values!$D$3:$D$502,P422)="Yes",5,0))))</f>
        <v/>
      </c>
      <c r="P422">
        <f>IF(B422="Supporting",MATCH(A422-1-Entity!$B$14,Values!$J$3:$J$502,0),"")</f>
        <v/>
      </c>
      <c r="Q422">
        <f>IF(C422="","",MATCH(C422,Attributes!$A$3:$A$52,0))</f>
        <v/>
      </c>
      <c r="R422">
        <f>IF(B422="Pillar",SUBSTITUTE(Entity!$B$7,"{entity}",LOWER(Entity!$B$3)),IF(B422="Cluster",IF(INDEX(Attributes!$G$3:$G$52,Q422)&lt;&gt;"",INDEX(Attributes!$G$3:$G$52,Q422),SUBSTITUTE(SUBSTITUTE(Entity!$B$8,"{entity}",LOWER(Entity!$B$3)),"{attribute}",LOWER(C422))),IF(B422="Supporting",SUBSTITUTE(SUBSTITUTE(SUBSTITUTE(IF(INDEX(Attributes!$H$3:$H$52,Q422)&lt;&gt;"",INDEX(Attributes!$H$3:$H$52,Q422),Entity!$B$9),"{entity}",LOWER(Entity!$B$3)),"{value}",D422),"{attribute}",LOWER(C422)),"")))</f>
        <v/>
      </c>
    </row>
    <row r="423">
      <c r="A423">
        <f>ROW()-2</f>
        <v/>
      </c>
      <c r="B423">
        <f>IF(A423=1,"Pillar",IF(A423&lt;=1+Entity!$B$14,"Cluster",IF(A423&lt;=1+Entity!$B$14+Entity!$B$15,"Supporting","")))</f>
        <v/>
      </c>
      <c r="C423">
        <f>IF(B423="Cluster",INDEX(Attributes!$A$3:$A$52,MATCH(A423-1,Attributes!$P$3:$P$52,0)),IF(B423="Supporting",INDEX(Values!$A$3:$A$502,P423),""))</f>
        <v/>
      </c>
      <c r="D423">
        <f>IF(B423="Supporting",INDEX(Values!$B$3:$B$502,P423),"")</f>
        <v/>
      </c>
      <c r="E423">
        <f>IF(R423="","",UPPER(LEFT(R423,1))&amp;MID(R423,2,500))</f>
        <v/>
      </c>
      <c r="F423">
        <f>IF(E423="","",LOWER(SUBSTITUTE(SUBSTITUTE(SUBSTITUTE(SUBSTITUTE(SUBSTITUTE(SUBSTITUTE(SUBSTITUTE(TRIM(E423),":",""),",",""),"'",""),"&amp;","and"),"£",""),"  "," ")," ","-")))</f>
        <v/>
      </c>
      <c r="G423">
        <f>IF(B423="Cluster",$E$3,IF(B423="Supporting",INDEX($E$3:$E$553,MATCH(C423,$C$3:$C$553,0)),""))</f>
        <v/>
      </c>
      <c r="H423">
        <f>IF(B423="Supporting",IFERROR(INDEX($E$3:$E$553,1+Entity!$B$14+INDEX(Values!$O$3:$O$502,P423)),""),IF(B423="Cluster",IF(Entity!$B$14&lt;2,"",INDEX($E$3:$E$553,IF(A423-1=Entity!$B$14,2,A423+1))),""))</f>
        <v/>
      </c>
      <c r="I423">
        <f>IF(B423="Pillar",Entity!$B$14&amp;" cluster pages",IF(B423="Cluster",(COUNTIF($C$3:$C$553,SUBSTITUTE(SUBSTITUTE(C423,"?","~?"),"*","~*"))-1)&amp;" supporting pages",""))</f>
        <v/>
      </c>
      <c r="J423">
        <f>IF(B423="Pillar","Informational",IF(OR(B423="Cluster",B423="Supporting"),INDEX(Attributes!$D$3:$D$52,Q423)&amp;"",""))</f>
        <v/>
      </c>
      <c r="K423">
        <f>IF(B423="","",IF(B423="Pillar","Pillar guide (entity hub)",IF(B423="Cluster","Hub page for this attribute",IF(INDEX(Values!$C$3:$C$502,P423)="Yes","Entity page (profile of the sub-entity)",IFERROR(INDEX(Lists!$B$3:$B$6,MATCH(J423,Lists!$A$3:$A$6,0)),"Article")))))</f>
        <v/>
      </c>
      <c r="L423">
        <f>IF(B423="Pillar",Entity!$B$6&amp;"",IF(B423="Cluster",INDEX(Attributes!$I$3:$I$52,Q423)&amp;"",IF(B423="Supporting",INDEX(Values!$F$3:$F$502,P423)&amp;"","")))</f>
        <v/>
      </c>
      <c r="M423">
        <f>IF(B423="","",IF(L423&lt;&gt;"","Covered","Gap"))</f>
        <v/>
      </c>
      <c r="N423">
        <f>IF(B423="Pillar",SUMIFS(Values!$E$3:$E$502,Values!$I$3:$I$502,"Yes"),IF(B423="Cluster",SUMIFS(Values!$E$3:$E$502,Values!$A$3:$A$502,SUBSTITUTE(SUBSTITUTE(C423,"?","~?"),"*","~*"),Values!$I$3:$I$502,"Yes"),IF(B423="Supporting",N(INDEX(Values!$E$3:$E$502,P423)),"")))</f>
        <v/>
      </c>
      <c r="O423">
        <f>IF(B423="","",IF(B423="Pillar",100,IF(B423="Cluster",N(INDEX(Attributes!$E$3:$E$52,Q423))*25+IF(M423="Gap",10,0),N(INDEX(Attributes!$E$3:$E$52,Q423))*20+MIN(20,ROUND(LOG10(N(N423)+1)*5,0))+IF(M423="Gap",10,0)+IF(INDEX(Values!$D$3:$D$502,P423)="Yes",5,0))))</f>
        <v/>
      </c>
      <c r="P423">
        <f>IF(B423="Supporting",MATCH(A423-1-Entity!$B$14,Values!$J$3:$J$502,0),"")</f>
        <v/>
      </c>
      <c r="Q423">
        <f>IF(C423="","",MATCH(C423,Attributes!$A$3:$A$52,0))</f>
        <v/>
      </c>
      <c r="R423">
        <f>IF(B423="Pillar",SUBSTITUTE(Entity!$B$7,"{entity}",LOWER(Entity!$B$3)),IF(B423="Cluster",IF(INDEX(Attributes!$G$3:$G$52,Q423)&lt;&gt;"",INDEX(Attributes!$G$3:$G$52,Q423),SUBSTITUTE(SUBSTITUTE(Entity!$B$8,"{entity}",LOWER(Entity!$B$3)),"{attribute}",LOWER(C423))),IF(B423="Supporting",SUBSTITUTE(SUBSTITUTE(SUBSTITUTE(IF(INDEX(Attributes!$H$3:$H$52,Q423)&lt;&gt;"",INDEX(Attributes!$H$3:$H$52,Q423),Entity!$B$9),"{entity}",LOWER(Entity!$B$3)),"{value}",D423),"{attribute}",LOWER(C423)),"")))</f>
        <v/>
      </c>
    </row>
    <row r="424">
      <c r="A424">
        <f>ROW()-2</f>
        <v/>
      </c>
      <c r="B424">
        <f>IF(A424=1,"Pillar",IF(A424&lt;=1+Entity!$B$14,"Cluster",IF(A424&lt;=1+Entity!$B$14+Entity!$B$15,"Supporting","")))</f>
        <v/>
      </c>
      <c r="C424">
        <f>IF(B424="Cluster",INDEX(Attributes!$A$3:$A$52,MATCH(A424-1,Attributes!$P$3:$P$52,0)),IF(B424="Supporting",INDEX(Values!$A$3:$A$502,P424),""))</f>
        <v/>
      </c>
      <c r="D424">
        <f>IF(B424="Supporting",INDEX(Values!$B$3:$B$502,P424),"")</f>
        <v/>
      </c>
      <c r="E424">
        <f>IF(R424="","",UPPER(LEFT(R424,1))&amp;MID(R424,2,500))</f>
        <v/>
      </c>
      <c r="F424">
        <f>IF(E424="","",LOWER(SUBSTITUTE(SUBSTITUTE(SUBSTITUTE(SUBSTITUTE(SUBSTITUTE(SUBSTITUTE(SUBSTITUTE(TRIM(E424),":",""),",",""),"'",""),"&amp;","and"),"£",""),"  "," ")," ","-")))</f>
        <v/>
      </c>
      <c r="G424">
        <f>IF(B424="Cluster",$E$3,IF(B424="Supporting",INDEX($E$3:$E$553,MATCH(C424,$C$3:$C$553,0)),""))</f>
        <v/>
      </c>
      <c r="H424">
        <f>IF(B424="Supporting",IFERROR(INDEX($E$3:$E$553,1+Entity!$B$14+INDEX(Values!$O$3:$O$502,P424)),""),IF(B424="Cluster",IF(Entity!$B$14&lt;2,"",INDEX($E$3:$E$553,IF(A424-1=Entity!$B$14,2,A424+1))),""))</f>
        <v/>
      </c>
      <c r="I424">
        <f>IF(B424="Pillar",Entity!$B$14&amp;" cluster pages",IF(B424="Cluster",(COUNTIF($C$3:$C$553,SUBSTITUTE(SUBSTITUTE(C424,"?","~?"),"*","~*"))-1)&amp;" supporting pages",""))</f>
        <v/>
      </c>
      <c r="J424">
        <f>IF(B424="Pillar","Informational",IF(OR(B424="Cluster",B424="Supporting"),INDEX(Attributes!$D$3:$D$52,Q424)&amp;"",""))</f>
        <v/>
      </c>
      <c r="K424">
        <f>IF(B424="","",IF(B424="Pillar","Pillar guide (entity hub)",IF(B424="Cluster","Hub page for this attribute",IF(INDEX(Values!$C$3:$C$502,P424)="Yes","Entity page (profile of the sub-entity)",IFERROR(INDEX(Lists!$B$3:$B$6,MATCH(J424,Lists!$A$3:$A$6,0)),"Article")))))</f>
        <v/>
      </c>
      <c r="L424">
        <f>IF(B424="Pillar",Entity!$B$6&amp;"",IF(B424="Cluster",INDEX(Attributes!$I$3:$I$52,Q424)&amp;"",IF(B424="Supporting",INDEX(Values!$F$3:$F$502,P424)&amp;"","")))</f>
        <v/>
      </c>
      <c r="M424">
        <f>IF(B424="","",IF(L424&lt;&gt;"","Covered","Gap"))</f>
        <v/>
      </c>
      <c r="N424">
        <f>IF(B424="Pillar",SUMIFS(Values!$E$3:$E$502,Values!$I$3:$I$502,"Yes"),IF(B424="Cluster",SUMIFS(Values!$E$3:$E$502,Values!$A$3:$A$502,SUBSTITUTE(SUBSTITUTE(C424,"?","~?"),"*","~*"),Values!$I$3:$I$502,"Yes"),IF(B424="Supporting",N(INDEX(Values!$E$3:$E$502,P424)),"")))</f>
        <v/>
      </c>
      <c r="O424">
        <f>IF(B424="","",IF(B424="Pillar",100,IF(B424="Cluster",N(INDEX(Attributes!$E$3:$E$52,Q424))*25+IF(M424="Gap",10,0),N(INDEX(Attributes!$E$3:$E$52,Q424))*20+MIN(20,ROUND(LOG10(N(N424)+1)*5,0))+IF(M424="Gap",10,0)+IF(INDEX(Values!$D$3:$D$502,P424)="Yes",5,0))))</f>
        <v/>
      </c>
      <c r="P424">
        <f>IF(B424="Supporting",MATCH(A424-1-Entity!$B$14,Values!$J$3:$J$502,0),"")</f>
        <v/>
      </c>
      <c r="Q424">
        <f>IF(C424="","",MATCH(C424,Attributes!$A$3:$A$52,0))</f>
        <v/>
      </c>
      <c r="R424">
        <f>IF(B424="Pillar",SUBSTITUTE(Entity!$B$7,"{entity}",LOWER(Entity!$B$3)),IF(B424="Cluster",IF(INDEX(Attributes!$G$3:$G$52,Q424)&lt;&gt;"",INDEX(Attributes!$G$3:$G$52,Q424),SUBSTITUTE(SUBSTITUTE(Entity!$B$8,"{entity}",LOWER(Entity!$B$3)),"{attribute}",LOWER(C424))),IF(B424="Supporting",SUBSTITUTE(SUBSTITUTE(SUBSTITUTE(IF(INDEX(Attributes!$H$3:$H$52,Q424)&lt;&gt;"",INDEX(Attributes!$H$3:$H$52,Q424),Entity!$B$9),"{entity}",LOWER(Entity!$B$3)),"{value}",D424),"{attribute}",LOWER(C424)),"")))</f>
        <v/>
      </c>
    </row>
    <row r="425">
      <c r="A425">
        <f>ROW()-2</f>
        <v/>
      </c>
      <c r="B425">
        <f>IF(A425=1,"Pillar",IF(A425&lt;=1+Entity!$B$14,"Cluster",IF(A425&lt;=1+Entity!$B$14+Entity!$B$15,"Supporting","")))</f>
        <v/>
      </c>
      <c r="C425">
        <f>IF(B425="Cluster",INDEX(Attributes!$A$3:$A$52,MATCH(A425-1,Attributes!$P$3:$P$52,0)),IF(B425="Supporting",INDEX(Values!$A$3:$A$502,P425),""))</f>
        <v/>
      </c>
      <c r="D425">
        <f>IF(B425="Supporting",INDEX(Values!$B$3:$B$502,P425),"")</f>
        <v/>
      </c>
      <c r="E425">
        <f>IF(R425="","",UPPER(LEFT(R425,1))&amp;MID(R425,2,500))</f>
        <v/>
      </c>
      <c r="F425">
        <f>IF(E425="","",LOWER(SUBSTITUTE(SUBSTITUTE(SUBSTITUTE(SUBSTITUTE(SUBSTITUTE(SUBSTITUTE(SUBSTITUTE(TRIM(E425),":",""),",",""),"'",""),"&amp;","and"),"£",""),"  "," ")," ","-")))</f>
        <v/>
      </c>
      <c r="G425">
        <f>IF(B425="Cluster",$E$3,IF(B425="Supporting",INDEX($E$3:$E$553,MATCH(C425,$C$3:$C$553,0)),""))</f>
        <v/>
      </c>
      <c r="H425">
        <f>IF(B425="Supporting",IFERROR(INDEX($E$3:$E$553,1+Entity!$B$14+INDEX(Values!$O$3:$O$502,P425)),""),IF(B425="Cluster",IF(Entity!$B$14&lt;2,"",INDEX($E$3:$E$553,IF(A425-1=Entity!$B$14,2,A425+1))),""))</f>
        <v/>
      </c>
      <c r="I425">
        <f>IF(B425="Pillar",Entity!$B$14&amp;" cluster pages",IF(B425="Cluster",(COUNTIF($C$3:$C$553,SUBSTITUTE(SUBSTITUTE(C425,"?","~?"),"*","~*"))-1)&amp;" supporting pages",""))</f>
        <v/>
      </c>
      <c r="J425">
        <f>IF(B425="Pillar","Informational",IF(OR(B425="Cluster",B425="Supporting"),INDEX(Attributes!$D$3:$D$52,Q425)&amp;"",""))</f>
        <v/>
      </c>
      <c r="K425">
        <f>IF(B425="","",IF(B425="Pillar","Pillar guide (entity hub)",IF(B425="Cluster","Hub page for this attribute",IF(INDEX(Values!$C$3:$C$502,P425)="Yes","Entity page (profile of the sub-entity)",IFERROR(INDEX(Lists!$B$3:$B$6,MATCH(J425,Lists!$A$3:$A$6,0)),"Article")))))</f>
        <v/>
      </c>
      <c r="L425">
        <f>IF(B425="Pillar",Entity!$B$6&amp;"",IF(B425="Cluster",INDEX(Attributes!$I$3:$I$52,Q425)&amp;"",IF(B425="Supporting",INDEX(Values!$F$3:$F$502,P425)&amp;"","")))</f>
        <v/>
      </c>
      <c r="M425">
        <f>IF(B425="","",IF(L425&lt;&gt;"","Covered","Gap"))</f>
        <v/>
      </c>
      <c r="N425">
        <f>IF(B425="Pillar",SUMIFS(Values!$E$3:$E$502,Values!$I$3:$I$502,"Yes"),IF(B425="Cluster",SUMIFS(Values!$E$3:$E$502,Values!$A$3:$A$502,SUBSTITUTE(SUBSTITUTE(C425,"?","~?"),"*","~*"),Values!$I$3:$I$502,"Yes"),IF(B425="Supporting",N(INDEX(Values!$E$3:$E$502,P425)),"")))</f>
        <v/>
      </c>
      <c r="O425">
        <f>IF(B425="","",IF(B425="Pillar",100,IF(B425="Cluster",N(INDEX(Attributes!$E$3:$E$52,Q425))*25+IF(M425="Gap",10,0),N(INDEX(Attributes!$E$3:$E$52,Q425))*20+MIN(20,ROUND(LOG10(N(N425)+1)*5,0))+IF(M425="Gap",10,0)+IF(INDEX(Values!$D$3:$D$502,P425)="Yes",5,0))))</f>
        <v/>
      </c>
      <c r="P425">
        <f>IF(B425="Supporting",MATCH(A425-1-Entity!$B$14,Values!$J$3:$J$502,0),"")</f>
        <v/>
      </c>
      <c r="Q425">
        <f>IF(C425="","",MATCH(C425,Attributes!$A$3:$A$52,0))</f>
        <v/>
      </c>
      <c r="R425">
        <f>IF(B425="Pillar",SUBSTITUTE(Entity!$B$7,"{entity}",LOWER(Entity!$B$3)),IF(B425="Cluster",IF(INDEX(Attributes!$G$3:$G$52,Q425)&lt;&gt;"",INDEX(Attributes!$G$3:$G$52,Q425),SUBSTITUTE(SUBSTITUTE(Entity!$B$8,"{entity}",LOWER(Entity!$B$3)),"{attribute}",LOWER(C425))),IF(B425="Supporting",SUBSTITUTE(SUBSTITUTE(SUBSTITUTE(IF(INDEX(Attributes!$H$3:$H$52,Q425)&lt;&gt;"",INDEX(Attributes!$H$3:$H$52,Q425),Entity!$B$9),"{entity}",LOWER(Entity!$B$3)),"{value}",D425),"{attribute}",LOWER(C425)),"")))</f>
        <v/>
      </c>
    </row>
    <row r="426">
      <c r="A426">
        <f>ROW()-2</f>
        <v/>
      </c>
      <c r="B426">
        <f>IF(A426=1,"Pillar",IF(A426&lt;=1+Entity!$B$14,"Cluster",IF(A426&lt;=1+Entity!$B$14+Entity!$B$15,"Supporting","")))</f>
        <v/>
      </c>
      <c r="C426">
        <f>IF(B426="Cluster",INDEX(Attributes!$A$3:$A$52,MATCH(A426-1,Attributes!$P$3:$P$52,0)),IF(B426="Supporting",INDEX(Values!$A$3:$A$502,P426),""))</f>
        <v/>
      </c>
      <c r="D426">
        <f>IF(B426="Supporting",INDEX(Values!$B$3:$B$502,P426),"")</f>
        <v/>
      </c>
      <c r="E426">
        <f>IF(R426="","",UPPER(LEFT(R426,1))&amp;MID(R426,2,500))</f>
        <v/>
      </c>
      <c r="F426">
        <f>IF(E426="","",LOWER(SUBSTITUTE(SUBSTITUTE(SUBSTITUTE(SUBSTITUTE(SUBSTITUTE(SUBSTITUTE(SUBSTITUTE(TRIM(E426),":",""),",",""),"'",""),"&amp;","and"),"£",""),"  "," ")," ","-")))</f>
        <v/>
      </c>
      <c r="G426">
        <f>IF(B426="Cluster",$E$3,IF(B426="Supporting",INDEX($E$3:$E$553,MATCH(C426,$C$3:$C$553,0)),""))</f>
        <v/>
      </c>
      <c r="H426">
        <f>IF(B426="Supporting",IFERROR(INDEX($E$3:$E$553,1+Entity!$B$14+INDEX(Values!$O$3:$O$502,P426)),""),IF(B426="Cluster",IF(Entity!$B$14&lt;2,"",INDEX($E$3:$E$553,IF(A426-1=Entity!$B$14,2,A426+1))),""))</f>
        <v/>
      </c>
      <c r="I426">
        <f>IF(B426="Pillar",Entity!$B$14&amp;" cluster pages",IF(B426="Cluster",(COUNTIF($C$3:$C$553,SUBSTITUTE(SUBSTITUTE(C426,"?","~?"),"*","~*"))-1)&amp;" supporting pages",""))</f>
        <v/>
      </c>
      <c r="J426">
        <f>IF(B426="Pillar","Informational",IF(OR(B426="Cluster",B426="Supporting"),INDEX(Attributes!$D$3:$D$52,Q426)&amp;"",""))</f>
        <v/>
      </c>
      <c r="K426">
        <f>IF(B426="","",IF(B426="Pillar","Pillar guide (entity hub)",IF(B426="Cluster","Hub page for this attribute",IF(INDEX(Values!$C$3:$C$502,P426)="Yes","Entity page (profile of the sub-entity)",IFERROR(INDEX(Lists!$B$3:$B$6,MATCH(J426,Lists!$A$3:$A$6,0)),"Article")))))</f>
        <v/>
      </c>
      <c r="L426">
        <f>IF(B426="Pillar",Entity!$B$6&amp;"",IF(B426="Cluster",INDEX(Attributes!$I$3:$I$52,Q426)&amp;"",IF(B426="Supporting",INDEX(Values!$F$3:$F$502,P426)&amp;"","")))</f>
        <v/>
      </c>
      <c r="M426">
        <f>IF(B426="","",IF(L426&lt;&gt;"","Covered","Gap"))</f>
        <v/>
      </c>
      <c r="N426">
        <f>IF(B426="Pillar",SUMIFS(Values!$E$3:$E$502,Values!$I$3:$I$502,"Yes"),IF(B426="Cluster",SUMIFS(Values!$E$3:$E$502,Values!$A$3:$A$502,SUBSTITUTE(SUBSTITUTE(C426,"?","~?"),"*","~*"),Values!$I$3:$I$502,"Yes"),IF(B426="Supporting",N(INDEX(Values!$E$3:$E$502,P426)),"")))</f>
        <v/>
      </c>
      <c r="O426">
        <f>IF(B426="","",IF(B426="Pillar",100,IF(B426="Cluster",N(INDEX(Attributes!$E$3:$E$52,Q426))*25+IF(M426="Gap",10,0),N(INDEX(Attributes!$E$3:$E$52,Q426))*20+MIN(20,ROUND(LOG10(N(N426)+1)*5,0))+IF(M426="Gap",10,0)+IF(INDEX(Values!$D$3:$D$502,P426)="Yes",5,0))))</f>
        <v/>
      </c>
      <c r="P426">
        <f>IF(B426="Supporting",MATCH(A426-1-Entity!$B$14,Values!$J$3:$J$502,0),"")</f>
        <v/>
      </c>
      <c r="Q426">
        <f>IF(C426="","",MATCH(C426,Attributes!$A$3:$A$52,0))</f>
        <v/>
      </c>
      <c r="R426">
        <f>IF(B426="Pillar",SUBSTITUTE(Entity!$B$7,"{entity}",LOWER(Entity!$B$3)),IF(B426="Cluster",IF(INDEX(Attributes!$G$3:$G$52,Q426)&lt;&gt;"",INDEX(Attributes!$G$3:$G$52,Q426),SUBSTITUTE(SUBSTITUTE(Entity!$B$8,"{entity}",LOWER(Entity!$B$3)),"{attribute}",LOWER(C426))),IF(B426="Supporting",SUBSTITUTE(SUBSTITUTE(SUBSTITUTE(IF(INDEX(Attributes!$H$3:$H$52,Q426)&lt;&gt;"",INDEX(Attributes!$H$3:$H$52,Q426),Entity!$B$9),"{entity}",LOWER(Entity!$B$3)),"{value}",D426),"{attribute}",LOWER(C426)),"")))</f>
        <v/>
      </c>
    </row>
    <row r="427">
      <c r="A427">
        <f>ROW()-2</f>
        <v/>
      </c>
      <c r="B427">
        <f>IF(A427=1,"Pillar",IF(A427&lt;=1+Entity!$B$14,"Cluster",IF(A427&lt;=1+Entity!$B$14+Entity!$B$15,"Supporting","")))</f>
        <v/>
      </c>
      <c r="C427">
        <f>IF(B427="Cluster",INDEX(Attributes!$A$3:$A$52,MATCH(A427-1,Attributes!$P$3:$P$52,0)),IF(B427="Supporting",INDEX(Values!$A$3:$A$502,P427),""))</f>
        <v/>
      </c>
      <c r="D427">
        <f>IF(B427="Supporting",INDEX(Values!$B$3:$B$502,P427),"")</f>
        <v/>
      </c>
      <c r="E427">
        <f>IF(R427="","",UPPER(LEFT(R427,1))&amp;MID(R427,2,500))</f>
        <v/>
      </c>
      <c r="F427">
        <f>IF(E427="","",LOWER(SUBSTITUTE(SUBSTITUTE(SUBSTITUTE(SUBSTITUTE(SUBSTITUTE(SUBSTITUTE(SUBSTITUTE(TRIM(E427),":",""),",",""),"'",""),"&amp;","and"),"£",""),"  "," ")," ","-")))</f>
        <v/>
      </c>
      <c r="G427">
        <f>IF(B427="Cluster",$E$3,IF(B427="Supporting",INDEX($E$3:$E$553,MATCH(C427,$C$3:$C$553,0)),""))</f>
        <v/>
      </c>
      <c r="H427">
        <f>IF(B427="Supporting",IFERROR(INDEX($E$3:$E$553,1+Entity!$B$14+INDEX(Values!$O$3:$O$502,P427)),""),IF(B427="Cluster",IF(Entity!$B$14&lt;2,"",INDEX($E$3:$E$553,IF(A427-1=Entity!$B$14,2,A427+1))),""))</f>
        <v/>
      </c>
      <c r="I427">
        <f>IF(B427="Pillar",Entity!$B$14&amp;" cluster pages",IF(B427="Cluster",(COUNTIF($C$3:$C$553,SUBSTITUTE(SUBSTITUTE(C427,"?","~?"),"*","~*"))-1)&amp;" supporting pages",""))</f>
        <v/>
      </c>
      <c r="J427">
        <f>IF(B427="Pillar","Informational",IF(OR(B427="Cluster",B427="Supporting"),INDEX(Attributes!$D$3:$D$52,Q427)&amp;"",""))</f>
        <v/>
      </c>
      <c r="K427">
        <f>IF(B427="","",IF(B427="Pillar","Pillar guide (entity hub)",IF(B427="Cluster","Hub page for this attribute",IF(INDEX(Values!$C$3:$C$502,P427)="Yes","Entity page (profile of the sub-entity)",IFERROR(INDEX(Lists!$B$3:$B$6,MATCH(J427,Lists!$A$3:$A$6,0)),"Article")))))</f>
        <v/>
      </c>
      <c r="L427">
        <f>IF(B427="Pillar",Entity!$B$6&amp;"",IF(B427="Cluster",INDEX(Attributes!$I$3:$I$52,Q427)&amp;"",IF(B427="Supporting",INDEX(Values!$F$3:$F$502,P427)&amp;"","")))</f>
        <v/>
      </c>
      <c r="M427">
        <f>IF(B427="","",IF(L427&lt;&gt;"","Covered","Gap"))</f>
        <v/>
      </c>
      <c r="N427">
        <f>IF(B427="Pillar",SUMIFS(Values!$E$3:$E$502,Values!$I$3:$I$502,"Yes"),IF(B427="Cluster",SUMIFS(Values!$E$3:$E$502,Values!$A$3:$A$502,SUBSTITUTE(SUBSTITUTE(C427,"?","~?"),"*","~*"),Values!$I$3:$I$502,"Yes"),IF(B427="Supporting",N(INDEX(Values!$E$3:$E$502,P427)),"")))</f>
        <v/>
      </c>
      <c r="O427">
        <f>IF(B427="","",IF(B427="Pillar",100,IF(B427="Cluster",N(INDEX(Attributes!$E$3:$E$52,Q427))*25+IF(M427="Gap",10,0),N(INDEX(Attributes!$E$3:$E$52,Q427))*20+MIN(20,ROUND(LOG10(N(N427)+1)*5,0))+IF(M427="Gap",10,0)+IF(INDEX(Values!$D$3:$D$502,P427)="Yes",5,0))))</f>
        <v/>
      </c>
      <c r="P427">
        <f>IF(B427="Supporting",MATCH(A427-1-Entity!$B$14,Values!$J$3:$J$502,0),"")</f>
        <v/>
      </c>
      <c r="Q427">
        <f>IF(C427="","",MATCH(C427,Attributes!$A$3:$A$52,0))</f>
        <v/>
      </c>
      <c r="R427">
        <f>IF(B427="Pillar",SUBSTITUTE(Entity!$B$7,"{entity}",LOWER(Entity!$B$3)),IF(B427="Cluster",IF(INDEX(Attributes!$G$3:$G$52,Q427)&lt;&gt;"",INDEX(Attributes!$G$3:$G$52,Q427),SUBSTITUTE(SUBSTITUTE(Entity!$B$8,"{entity}",LOWER(Entity!$B$3)),"{attribute}",LOWER(C427))),IF(B427="Supporting",SUBSTITUTE(SUBSTITUTE(SUBSTITUTE(IF(INDEX(Attributes!$H$3:$H$52,Q427)&lt;&gt;"",INDEX(Attributes!$H$3:$H$52,Q427),Entity!$B$9),"{entity}",LOWER(Entity!$B$3)),"{value}",D427),"{attribute}",LOWER(C427)),"")))</f>
        <v/>
      </c>
    </row>
    <row r="428">
      <c r="A428">
        <f>ROW()-2</f>
        <v/>
      </c>
      <c r="B428">
        <f>IF(A428=1,"Pillar",IF(A428&lt;=1+Entity!$B$14,"Cluster",IF(A428&lt;=1+Entity!$B$14+Entity!$B$15,"Supporting","")))</f>
        <v/>
      </c>
      <c r="C428">
        <f>IF(B428="Cluster",INDEX(Attributes!$A$3:$A$52,MATCH(A428-1,Attributes!$P$3:$P$52,0)),IF(B428="Supporting",INDEX(Values!$A$3:$A$502,P428),""))</f>
        <v/>
      </c>
      <c r="D428">
        <f>IF(B428="Supporting",INDEX(Values!$B$3:$B$502,P428),"")</f>
        <v/>
      </c>
      <c r="E428">
        <f>IF(R428="","",UPPER(LEFT(R428,1))&amp;MID(R428,2,500))</f>
        <v/>
      </c>
      <c r="F428">
        <f>IF(E428="","",LOWER(SUBSTITUTE(SUBSTITUTE(SUBSTITUTE(SUBSTITUTE(SUBSTITUTE(SUBSTITUTE(SUBSTITUTE(TRIM(E428),":",""),",",""),"'",""),"&amp;","and"),"£",""),"  "," ")," ","-")))</f>
        <v/>
      </c>
      <c r="G428">
        <f>IF(B428="Cluster",$E$3,IF(B428="Supporting",INDEX($E$3:$E$553,MATCH(C428,$C$3:$C$553,0)),""))</f>
        <v/>
      </c>
      <c r="H428">
        <f>IF(B428="Supporting",IFERROR(INDEX($E$3:$E$553,1+Entity!$B$14+INDEX(Values!$O$3:$O$502,P428)),""),IF(B428="Cluster",IF(Entity!$B$14&lt;2,"",INDEX($E$3:$E$553,IF(A428-1=Entity!$B$14,2,A428+1))),""))</f>
        <v/>
      </c>
      <c r="I428">
        <f>IF(B428="Pillar",Entity!$B$14&amp;" cluster pages",IF(B428="Cluster",(COUNTIF($C$3:$C$553,SUBSTITUTE(SUBSTITUTE(C428,"?","~?"),"*","~*"))-1)&amp;" supporting pages",""))</f>
        <v/>
      </c>
      <c r="J428">
        <f>IF(B428="Pillar","Informational",IF(OR(B428="Cluster",B428="Supporting"),INDEX(Attributes!$D$3:$D$52,Q428)&amp;"",""))</f>
        <v/>
      </c>
      <c r="K428">
        <f>IF(B428="","",IF(B428="Pillar","Pillar guide (entity hub)",IF(B428="Cluster","Hub page for this attribute",IF(INDEX(Values!$C$3:$C$502,P428)="Yes","Entity page (profile of the sub-entity)",IFERROR(INDEX(Lists!$B$3:$B$6,MATCH(J428,Lists!$A$3:$A$6,0)),"Article")))))</f>
        <v/>
      </c>
      <c r="L428">
        <f>IF(B428="Pillar",Entity!$B$6&amp;"",IF(B428="Cluster",INDEX(Attributes!$I$3:$I$52,Q428)&amp;"",IF(B428="Supporting",INDEX(Values!$F$3:$F$502,P428)&amp;"","")))</f>
        <v/>
      </c>
      <c r="M428">
        <f>IF(B428="","",IF(L428&lt;&gt;"","Covered","Gap"))</f>
        <v/>
      </c>
      <c r="N428">
        <f>IF(B428="Pillar",SUMIFS(Values!$E$3:$E$502,Values!$I$3:$I$502,"Yes"),IF(B428="Cluster",SUMIFS(Values!$E$3:$E$502,Values!$A$3:$A$502,SUBSTITUTE(SUBSTITUTE(C428,"?","~?"),"*","~*"),Values!$I$3:$I$502,"Yes"),IF(B428="Supporting",N(INDEX(Values!$E$3:$E$502,P428)),"")))</f>
        <v/>
      </c>
      <c r="O428">
        <f>IF(B428="","",IF(B428="Pillar",100,IF(B428="Cluster",N(INDEX(Attributes!$E$3:$E$52,Q428))*25+IF(M428="Gap",10,0),N(INDEX(Attributes!$E$3:$E$52,Q428))*20+MIN(20,ROUND(LOG10(N(N428)+1)*5,0))+IF(M428="Gap",10,0)+IF(INDEX(Values!$D$3:$D$502,P428)="Yes",5,0))))</f>
        <v/>
      </c>
      <c r="P428">
        <f>IF(B428="Supporting",MATCH(A428-1-Entity!$B$14,Values!$J$3:$J$502,0),"")</f>
        <v/>
      </c>
      <c r="Q428">
        <f>IF(C428="","",MATCH(C428,Attributes!$A$3:$A$52,0))</f>
        <v/>
      </c>
      <c r="R428">
        <f>IF(B428="Pillar",SUBSTITUTE(Entity!$B$7,"{entity}",LOWER(Entity!$B$3)),IF(B428="Cluster",IF(INDEX(Attributes!$G$3:$G$52,Q428)&lt;&gt;"",INDEX(Attributes!$G$3:$G$52,Q428),SUBSTITUTE(SUBSTITUTE(Entity!$B$8,"{entity}",LOWER(Entity!$B$3)),"{attribute}",LOWER(C428))),IF(B428="Supporting",SUBSTITUTE(SUBSTITUTE(SUBSTITUTE(IF(INDEX(Attributes!$H$3:$H$52,Q428)&lt;&gt;"",INDEX(Attributes!$H$3:$H$52,Q428),Entity!$B$9),"{entity}",LOWER(Entity!$B$3)),"{value}",D428),"{attribute}",LOWER(C428)),"")))</f>
        <v/>
      </c>
    </row>
    <row r="429">
      <c r="A429">
        <f>ROW()-2</f>
        <v/>
      </c>
      <c r="B429">
        <f>IF(A429=1,"Pillar",IF(A429&lt;=1+Entity!$B$14,"Cluster",IF(A429&lt;=1+Entity!$B$14+Entity!$B$15,"Supporting","")))</f>
        <v/>
      </c>
      <c r="C429">
        <f>IF(B429="Cluster",INDEX(Attributes!$A$3:$A$52,MATCH(A429-1,Attributes!$P$3:$P$52,0)),IF(B429="Supporting",INDEX(Values!$A$3:$A$502,P429),""))</f>
        <v/>
      </c>
      <c r="D429">
        <f>IF(B429="Supporting",INDEX(Values!$B$3:$B$502,P429),"")</f>
        <v/>
      </c>
      <c r="E429">
        <f>IF(R429="","",UPPER(LEFT(R429,1))&amp;MID(R429,2,500))</f>
        <v/>
      </c>
      <c r="F429">
        <f>IF(E429="","",LOWER(SUBSTITUTE(SUBSTITUTE(SUBSTITUTE(SUBSTITUTE(SUBSTITUTE(SUBSTITUTE(SUBSTITUTE(TRIM(E429),":",""),",",""),"'",""),"&amp;","and"),"£",""),"  "," ")," ","-")))</f>
        <v/>
      </c>
      <c r="G429">
        <f>IF(B429="Cluster",$E$3,IF(B429="Supporting",INDEX($E$3:$E$553,MATCH(C429,$C$3:$C$553,0)),""))</f>
        <v/>
      </c>
      <c r="H429">
        <f>IF(B429="Supporting",IFERROR(INDEX($E$3:$E$553,1+Entity!$B$14+INDEX(Values!$O$3:$O$502,P429)),""),IF(B429="Cluster",IF(Entity!$B$14&lt;2,"",INDEX($E$3:$E$553,IF(A429-1=Entity!$B$14,2,A429+1))),""))</f>
        <v/>
      </c>
      <c r="I429">
        <f>IF(B429="Pillar",Entity!$B$14&amp;" cluster pages",IF(B429="Cluster",(COUNTIF($C$3:$C$553,SUBSTITUTE(SUBSTITUTE(C429,"?","~?"),"*","~*"))-1)&amp;" supporting pages",""))</f>
        <v/>
      </c>
      <c r="J429">
        <f>IF(B429="Pillar","Informational",IF(OR(B429="Cluster",B429="Supporting"),INDEX(Attributes!$D$3:$D$52,Q429)&amp;"",""))</f>
        <v/>
      </c>
      <c r="K429">
        <f>IF(B429="","",IF(B429="Pillar","Pillar guide (entity hub)",IF(B429="Cluster","Hub page for this attribute",IF(INDEX(Values!$C$3:$C$502,P429)="Yes","Entity page (profile of the sub-entity)",IFERROR(INDEX(Lists!$B$3:$B$6,MATCH(J429,Lists!$A$3:$A$6,0)),"Article")))))</f>
        <v/>
      </c>
      <c r="L429">
        <f>IF(B429="Pillar",Entity!$B$6&amp;"",IF(B429="Cluster",INDEX(Attributes!$I$3:$I$52,Q429)&amp;"",IF(B429="Supporting",INDEX(Values!$F$3:$F$502,P429)&amp;"","")))</f>
        <v/>
      </c>
      <c r="M429">
        <f>IF(B429="","",IF(L429&lt;&gt;"","Covered","Gap"))</f>
        <v/>
      </c>
      <c r="N429">
        <f>IF(B429="Pillar",SUMIFS(Values!$E$3:$E$502,Values!$I$3:$I$502,"Yes"),IF(B429="Cluster",SUMIFS(Values!$E$3:$E$502,Values!$A$3:$A$502,SUBSTITUTE(SUBSTITUTE(C429,"?","~?"),"*","~*"),Values!$I$3:$I$502,"Yes"),IF(B429="Supporting",N(INDEX(Values!$E$3:$E$502,P429)),"")))</f>
        <v/>
      </c>
      <c r="O429">
        <f>IF(B429="","",IF(B429="Pillar",100,IF(B429="Cluster",N(INDEX(Attributes!$E$3:$E$52,Q429))*25+IF(M429="Gap",10,0),N(INDEX(Attributes!$E$3:$E$52,Q429))*20+MIN(20,ROUND(LOG10(N(N429)+1)*5,0))+IF(M429="Gap",10,0)+IF(INDEX(Values!$D$3:$D$502,P429)="Yes",5,0))))</f>
        <v/>
      </c>
      <c r="P429">
        <f>IF(B429="Supporting",MATCH(A429-1-Entity!$B$14,Values!$J$3:$J$502,0),"")</f>
        <v/>
      </c>
      <c r="Q429">
        <f>IF(C429="","",MATCH(C429,Attributes!$A$3:$A$52,0))</f>
        <v/>
      </c>
      <c r="R429">
        <f>IF(B429="Pillar",SUBSTITUTE(Entity!$B$7,"{entity}",LOWER(Entity!$B$3)),IF(B429="Cluster",IF(INDEX(Attributes!$G$3:$G$52,Q429)&lt;&gt;"",INDEX(Attributes!$G$3:$G$52,Q429),SUBSTITUTE(SUBSTITUTE(Entity!$B$8,"{entity}",LOWER(Entity!$B$3)),"{attribute}",LOWER(C429))),IF(B429="Supporting",SUBSTITUTE(SUBSTITUTE(SUBSTITUTE(IF(INDEX(Attributes!$H$3:$H$52,Q429)&lt;&gt;"",INDEX(Attributes!$H$3:$H$52,Q429),Entity!$B$9),"{entity}",LOWER(Entity!$B$3)),"{value}",D429),"{attribute}",LOWER(C429)),"")))</f>
        <v/>
      </c>
    </row>
    <row r="430">
      <c r="A430">
        <f>ROW()-2</f>
        <v/>
      </c>
      <c r="B430">
        <f>IF(A430=1,"Pillar",IF(A430&lt;=1+Entity!$B$14,"Cluster",IF(A430&lt;=1+Entity!$B$14+Entity!$B$15,"Supporting","")))</f>
        <v/>
      </c>
      <c r="C430">
        <f>IF(B430="Cluster",INDEX(Attributes!$A$3:$A$52,MATCH(A430-1,Attributes!$P$3:$P$52,0)),IF(B430="Supporting",INDEX(Values!$A$3:$A$502,P430),""))</f>
        <v/>
      </c>
      <c r="D430">
        <f>IF(B430="Supporting",INDEX(Values!$B$3:$B$502,P430),"")</f>
        <v/>
      </c>
      <c r="E430">
        <f>IF(R430="","",UPPER(LEFT(R430,1))&amp;MID(R430,2,500))</f>
        <v/>
      </c>
      <c r="F430">
        <f>IF(E430="","",LOWER(SUBSTITUTE(SUBSTITUTE(SUBSTITUTE(SUBSTITUTE(SUBSTITUTE(SUBSTITUTE(SUBSTITUTE(TRIM(E430),":",""),",",""),"'",""),"&amp;","and"),"£",""),"  "," ")," ","-")))</f>
        <v/>
      </c>
      <c r="G430">
        <f>IF(B430="Cluster",$E$3,IF(B430="Supporting",INDEX($E$3:$E$553,MATCH(C430,$C$3:$C$553,0)),""))</f>
        <v/>
      </c>
      <c r="H430">
        <f>IF(B430="Supporting",IFERROR(INDEX($E$3:$E$553,1+Entity!$B$14+INDEX(Values!$O$3:$O$502,P430)),""),IF(B430="Cluster",IF(Entity!$B$14&lt;2,"",INDEX($E$3:$E$553,IF(A430-1=Entity!$B$14,2,A430+1))),""))</f>
        <v/>
      </c>
      <c r="I430">
        <f>IF(B430="Pillar",Entity!$B$14&amp;" cluster pages",IF(B430="Cluster",(COUNTIF($C$3:$C$553,SUBSTITUTE(SUBSTITUTE(C430,"?","~?"),"*","~*"))-1)&amp;" supporting pages",""))</f>
        <v/>
      </c>
      <c r="J430">
        <f>IF(B430="Pillar","Informational",IF(OR(B430="Cluster",B430="Supporting"),INDEX(Attributes!$D$3:$D$52,Q430)&amp;"",""))</f>
        <v/>
      </c>
      <c r="K430">
        <f>IF(B430="","",IF(B430="Pillar","Pillar guide (entity hub)",IF(B430="Cluster","Hub page for this attribute",IF(INDEX(Values!$C$3:$C$502,P430)="Yes","Entity page (profile of the sub-entity)",IFERROR(INDEX(Lists!$B$3:$B$6,MATCH(J430,Lists!$A$3:$A$6,0)),"Article")))))</f>
        <v/>
      </c>
      <c r="L430">
        <f>IF(B430="Pillar",Entity!$B$6&amp;"",IF(B430="Cluster",INDEX(Attributes!$I$3:$I$52,Q430)&amp;"",IF(B430="Supporting",INDEX(Values!$F$3:$F$502,P430)&amp;"","")))</f>
        <v/>
      </c>
      <c r="M430">
        <f>IF(B430="","",IF(L430&lt;&gt;"","Covered","Gap"))</f>
        <v/>
      </c>
      <c r="N430">
        <f>IF(B430="Pillar",SUMIFS(Values!$E$3:$E$502,Values!$I$3:$I$502,"Yes"),IF(B430="Cluster",SUMIFS(Values!$E$3:$E$502,Values!$A$3:$A$502,SUBSTITUTE(SUBSTITUTE(C430,"?","~?"),"*","~*"),Values!$I$3:$I$502,"Yes"),IF(B430="Supporting",N(INDEX(Values!$E$3:$E$502,P430)),"")))</f>
        <v/>
      </c>
      <c r="O430">
        <f>IF(B430="","",IF(B430="Pillar",100,IF(B430="Cluster",N(INDEX(Attributes!$E$3:$E$52,Q430))*25+IF(M430="Gap",10,0),N(INDEX(Attributes!$E$3:$E$52,Q430))*20+MIN(20,ROUND(LOG10(N(N430)+1)*5,0))+IF(M430="Gap",10,0)+IF(INDEX(Values!$D$3:$D$502,P430)="Yes",5,0))))</f>
        <v/>
      </c>
      <c r="P430">
        <f>IF(B430="Supporting",MATCH(A430-1-Entity!$B$14,Values!$J$3:$J$502,0),"")</f>
        <v/>
      </c>
      <c r="Q430">
        <f>IF(C430="","",MATCH(C430,Attributes!$A$3:$A$52,0))</f>
        <v/>
      </c>
      <c r="R430">
        <f>IF(B430="Pillar",SUBSTITUTE(Entity!$B$7,"{entity}",LOWER(Entity!$B$3)),IF(B430="Cluster",IF(INDEX(Attributes!$G$3:$G$52,Q430)&lt;&gt;"",INDEX(Attributes!$G$3:$G$52,Q430),SUBSTITUTE(SUBSTITUTE(Entity!$B$8,"{entity}",LOWER(Entity!$B$3)),"{attribute}",LOWER(C430))),IF(B430="Supporting",SUBSTITUTE(SUBSTITUTE(SUBSTITUTE(IF(INDEX(Attributes!$H$3:$H$52,Q430)&lt;&gt;"",INDEX(Attributes!$H$3:$H$52,Q430),Entity!$B$9),"{entity}",LOWER(Entity!$B$3)),"{value}",D430),"{attribute}",LOWER(C430)),"")))</f>
        <v/>
      </c>
    </row>
    <row r="431">
      <c r="A431">
        <f>ROW()-2</f>
        <v/>
      </c>
      <c r="B431">
        <f>IF(A431=1,"Pillar",IF(A431&lt;=1+Entity!$B$14,"Cluster",IF(A431&lt;=1+Entity!$B$14+Entity!$B$15,"Supporting","")))</f>
        <v/>
      </c>
      <c r="C431">
        <f>IF(B431="Cluster",INDEX(Attributes!$A$3:$A$52,MATCH(A431-1,Attributes!$P$3:$P$52,0)),IF(B431="Supporting",INDEX(Values!$A$3:$A$502,P431),""))</f>
        <v/>
      </c>
      <c r="D431">
        <f>IF(B431="Supporting",INDEX(Values!$B$3:$B$502,P431),"")</f>
        <v/>
      </c>
      <c r="E431">
        <f>IF(R431="","",UPPER(LEFT(R431,1))&amp;MID(R431,2,500))</f>
        <v/>
      </c>
      <c r="F431">
        <f>IF(E431="","",LOWER(SUBSTITUTE(SUBSTITUTE(SUBSTITUTE(SUBSTITUTE(SUBSTITUTE(SUBSTITUTE(SUBSTITUTE(TRIM(E431),":",""),",",""),"'",""),"&amp;","and"),"£",""),"  "," ")," ","-")))</f>
        <v/>
      </c>
      <c r="G431">
        <f>IF(B431="Cluster",$E$3,IF(B431="Supporting",INDEX($E$3:$E$553,MATCH(C431,$C$3:$C$553,0)),""))</f>
        <v/>
      </c>
      <c r="H431">
        <f>IF(B431="Supporting",IFERROR(INDEX($E$3:$E$553,1+Entity!$B$14+INDEX(Values!$O$3:$O$502,P431)),""),IF(B431="Cluster",IF(Entity!$B$14&lt;2,"",INDEX($E$3:$E$553,IF(A431-1=Entity!$B$14,2,A431+1))),""))</f>
        <v/>
      </c>
      <c r="I431">
        <f>IF(B431="Pillar",Entity!$B$14&amp;" cluster pages",IF(B431="Cluster",(COUNTIF($C$3:$C$553,SUBSTITUTE(SUBSTITUTE(C431,"?","~?"),"*","~*"))-1)&amp;" supporting pages",""))</f>
        <v/>
      </c>
      <c r="J431">
        <f>IF(B431="Pillar","Informational",IF(OR(B431="Cluster",B431="Supporting"),INDEX(Attributes!$D$3:$D$52,Q431)&amp;"",""))</f>
        <v/>
      </c>
      <c r="K431">
        <f>IF(B431="","",IF(B431="Pillar","Pillar guide (entity hub)",IF(B431="Cluster","Hub page for this attribute",IF(INDEX(Values!$C$3:$C$502,P431)="Yes","Entity page (profile of the sub-entity)",IFERROR(INDEX(Lists!$B$3:$B$6,MATCH(J431,Lists!$A$3:$A$6,0)),"Article")))))</f>
        <v/>
      </c>
      <c r="L431">
        <f>IF(B431="Pillar",Entity!$B$6&amp;"",IF(B431="Cluster",INDEX(Attributes!$I$3:$I$52,Q431)&amp;"",IF(B431="Supporting",INDEX(Values!$F$3:$F$502,P431)&amp;"","")))</f>
        <v/>
      </c>
      <c r="M431">
        <f>IF(B431="","",IF(L431&lt;&gt;"","Covered","Gap"))</f>
        <v/>
      </c>
      <c r="N431">
        <f>IF(B431="Pillar",SUMIFS(Values!$E$3:$E$502,Values!$I$3:$I$502,"Yes"),IF(B431="Cluster",SUMIFS(Values!$E$3:$E$502,Values!$A$3:$A$502,SUBSTITUTE(SUBSTITUTE(C431,"?","~?"),"*","~*"),Values!$I$3:$I$502,"Yes"),IF(B431="Supporting",N(INDEX(Values!$E$3:$E$502,P431)),"")))</f>
        <v/>
      </c>
      <c r="O431">
        <f>IF(B431="","",IF(B431="Pillar",100,IF(B431="Cluster",N(INDEX(Attributes!$E$3:$E$52,Q431))*25+IF(M431="Gap",10,0),N(INDEX(Attributes!$E$3:$E$52,Q431))*20+MIN(20,ROUND(LOG10(N(N431)+1)*5,0))+IF(M431="Gap",10,0)+IF(INDEX(Values!$D$3:$D$502,P431)="Yes",5,0))))</f>
        <v/>
      </c>
      <c r="P431">
        <f>IF(B431="Supporting",MATCH(A431-1-Entity!$B$14,Values!$J$3:$J$502,0),"")</f>
        <v/>
      </c>
      <c r="Q431">
        <f>IF(C431="","",MATCH(C431,Attributes!$A$3:$A$52,0))</f>
        <v/>
      </c>
      <c r="R431">
        <f>IF(B431="Pillar",SUBSTITUTE(Entity!$B$7,"{entity}",LOWER(Entity!$B$3)),IF(B431="Cluster",IF(INDEX(Attributes!$G$3:$G$52,Q431)&lt;&gt;"",INDEX(Attributes!$G$3:$G$52,Q431),SUBSTITUTE(SUBSTITUTE(Entity!$B$8,"{entity}",LOWER(Entity!$B$3)),"{attribute}",LOWER(C431))),IF(B431="Supporting",SUBSTITUTE(SUBSTITUTE(SUBSTITUTE(IF(INDEX(Attributes!$H$3:$H$52,Q431)&lt;&gt;"",INDEX(Attributes!$H$3:$H$52,Q431),Entity!$B$9),"{entity}",LOWER(Entity!$B$3)),"{value}",D431),"{attribute}",LOWER(C431)),"")))</f>
        <v/>
      </c>
    </row>
    <row r="432">
      <c r="A432">
        <f>ROW()-2</f>
        <v/>
      </c>
      <c r="B432">
        <f>IF(A432=1,"Pillar",IF(A432&lt;=1+Entity!$B$14,"Cluster",IF(A432&lt;=1+Entity!$B$14+Entity!$B$15,"Supporting","")))</f>
        <v/>
      </c>
      <c r="C432">
        <f>IF(B432="Cluster",INDEX(Attributes!$A$3:$A$52,MATCH(A432-1,Attributes!$P$3:$P$52,0)),IF(B432="Supporting",INDEX(Values!$A$3:$A$502,P432),""))</f>
        <v/>
      </c>
      <c r="D432">
        <f>IF(B432="Supporting",INDEX(Values!$B$3:$B$502,P432),"")</f>
        <v/>
      </c>
      <c r="E432">
        <f>IF(R432="","",UPPER(LEFT(R432,1))&amp;MID(R432,2,500))</f>
        <v/>
      </c>
      <c r="F432">
        <f>IF(E432="","",LOWER(SUBSTITUTE(SUBSTITUTE(SUBSTITUTE(SUBSTITUTE(SUBSTITUTE(SUBSTITUTE(SUBSTITUTE(TRIM(E432),":",""),",",""),"'",""),"&amp;","and"),"£",""),"  "," ")," ","-")))</f>
        <v/>
      </c>
      <c r="G432">
        <f>IF(B432="Cluster",$E$3,IF(B432="Supporting",INDEX($E$3:$E$553,MATCH(C432,$C$3:$C$553,0)),""))</f>
        <v/>
      </c>
      <c r="H432">
        <f>IF(B432="Supporting",IFERROR(INDEX($E$3:$E$553,1+Entity!$B$14+INDEX(Values!$O$3:$O$502,P432)),""),IF(B432="Cluster",IF(Entity!$B$14&lt;2,"",INDEX($E$3:$E$553,IF(A432-1=Entity!$B$14,2,A432+1))),""))</f>
        <v/>
      </c>
      <c r="I432">
        <f>IF(B432="Pillar",Entity!$B$14&amp;" cluster pages",IF(B432="Cluster",(COUNTIF($C$3:$C$553,SUBSTITUTE(SUBSTITUTE(C432,"?","~?"),"*","~*"))-1)&amp;" supporting pages",""))</f>
        <v/>
      </c>
      <c r="J432">
        <f>IF(B432="Pillar","Informational",IF(OR(B432="Cluster",B432="Supporting"),INDEX(Attributes!$D$3:$D$52,Q432)&amp;"",""))</f>
        <v/>
      </c>
      <c r="K432">
        <f>IF(B432="","",IF(B432="Pillar","Pillar guide (entity hub)",IF(B432="Cluster","Hub page for this attribute",IF(INDEX(Values!$C$3:$C$502,P432)="Yes","Entity page (profile of the sub-entity)",IFERROR(INDEX(Lists!$B$3:$B$6,MATCH(J432,Lists!$A$3:$A$6,0)),"Article")))))</f>
        <v/>
      </c>
      <c r="L432">
        <f>IF(B432="Pillar",Entity!$B$6&amp;"",IF(B432="Cluster",INDEX(Attributes!$I$3:$I$52,Q432)&amp;"",IF(B432="Supporting",INDEX(Values!$F$3:$F$502,P432)&amp;"","")))</f>
        <v/>
      </c>
      <c r="M432">
        <f>IF(B432="","",IF(L432&lt;&gt;"","Covered","Gap"))</f>
        <v/>
      </c>
      <c r="N432">
        <f>IF(B432="Pillar",SUMIFS(Values!$E$3:$E$502,Values!$I$3:$I$502,"Yes"),IF(B432="Cluster",SUMIFS(Values!$E$3:$E$502,Values!$A$3:$A$502,SUBSTITUTE(SUBSTITUTE(C432,"?","~?"),"*","~*"),Values!$I$3:$I$502,"Yes"),IF(B432="Supporting",N(INDEX(Values!$E$3:$E$502,P432)),"")))</f>
        <v/>
      </c>
      <c r="O432">
        <f>IF(B432="","",IF(B432="Pillar",100,IF(B432="Cluster",N(INDEX(Attributes!$E$3:$E$52,Q432))*25+IF(M432="Gap",10,0),N(INDEX(Attributes!$E$3:$E$52,Q432))*20+MIN(20,ROUND(LOG10(N(N432)+1)*5,0))+IF(M432="Gap",10,0)+IF(INDEX(Values!$D$3:$D$502,P432)="Yes",5,0))))</f>
        <v/>
      </c>
      <c r="P432">
        <f>IF(B432="Supporting",MATCH(A432-1-Entity!$B$14,Values!$J$3:$J$502,0),"")</f>
        <v/>
      </c>
      <c r="Q432">
        <f>IF(C432="","",MATCH(C432,Attributes!$A$3:$A$52,0))</f>
        <v/>
      </c>
      <c r="R432">
        <f>IF(B432="Pillar",SUBSTITUTE(Entity!$B$7,"{entity}",LOWER(Entity!$B$3)),IF(B432="Cluster",IF(INDEX(Attributes!$G$3:$G$52,Q432)&lt;&gt;"",INDEX(Attributes!$G$3:$G$52,Q432),SUBSTITUTE(SUBSTITUTE(Entity!$B$8,"{entity}",LOWER(Entity!$B$3)),"{attribute}",LOWER(C432))),IF(B432="Supporting",SUBSTITUTE(SUBSTITUTE(SUBSTITUTE(IF(INDEX(Attributes!$H$3:$H$52,Q432)&lt;&gt;"",INDEX(Attributes!$H$3:$H$52,Q432),Entity!$B$9),"{entity}",LOWER(Entity!$B$3)),"{value}",D432),"{attribute}",LOWER(C432)),"")))</f>
        <v/>
      </c>
    </row>
    <row r="433">
      <c r="A433">
        <f>ROW()-2</f>
        <v/>
      </c>
      <c r="B433">
        <f>IF(A433=1,"Pillar",IF(A433&lt;=1+Entity!$B$14,"Cluster",IF(A433&lt;=1+Entity!$B$14+Entity!$B$15,"Supporting","")))</f>
        <v/>
      </c>
      <c r="C433">
        <f>IF(B433="Cluster",INDEX(Attributes!$A$3:$A$52,MATCH(A433-1,Attributes!$P$3:$P$52,0)),IF(B433="Supporting",INDEX(Values!$A$3:$A$502,P433),""))</f>
        <v/>
      </c>
      <c r="D433">
        <f>IF(B433="Supporting",INDEX(Values!$B$3:$B$502,P433),"")</f>
        <v/>
      </c>
      <c r="E433">
        <f>IF(R433="","",UPPER(LEFT(R433,1))&amp;MID(R433,2,500))</f>
        <v/>
      </c>
      <c r="F433">
        <f>IF(E433="","",LOWER(SUBSTITUTE(SUBSTITUTE(SUBSTITUTE(SUBSTITUTE(SUBSTITUTE(SUBSTITUTE(SUBSTITUTE(TRIM(E433),":",""),",",""),"'",""),"&amp;","and"),"£",""),"  "," ")," ","-")))</f>
        <v/>
      </c>
      <c r="G433">
        <f>IF(B433="Cluster",$E$3,IF(B433="Supporting",INDEX($E$3:$E$553,MATCH(C433,$C$3:$C$553,0)),""))</f>
        <v/>
      </c>
      <c r="H433">
        <f>IF(B433="Supporting",IFERROR(INDEX($E$3:$E$553,1+Entity!$B$14+INDEX(Values!$O$3:$O$502,P433)),""),IF(B433="Cluster",IF(Entity!$B$14&lt;2,"",INDEX($E$3:$E$553,IF(A433-1=Entity!$B$14,2,A433+1))),""))</f>
        <v/>
      </c>
      <c r="I433">
        <f>IF(B433="Pillar",Entity!$B$14&amp;" cluster pages",IF(B433="Cluster",(COUNTIF($C$3:$C$553,SUBSTITUTE(SUBSTITUTE(C433,"?","~?"),"*","~*"))-1)&amp;" supporting pages",""))</f>
        <v/>
      </c>
      <c r="J433">
        <f>IF(B433="Pillar","Informational",IF(OR(B433="Cluster",B433="Supporting"),INDEX(Attributes!$D$3:$D$52,Q433)&amp;"",""))</f>
        <v/>
      </c>
      <c r="K433">
        <f>IF(B433="","",IF(B433="Pillar","Pillar guide (entity hub)",IF(B433="Cluster","Hub page for this attribute",IF(INDEX(Values!$C$3:$C$502,P433)="Yes","Entity page (profile of the sub-entity)",IFERROR(INDEX(Lists!$B$3:$B$6,MATCH(J433,Lists!$A$3:$A$6,0)),"Article")))))</f>
        <v/>
      </c>
      <c r="L433">
        <f>IF(B433="Pillar",Entity!$B$6&amp;"",IF(B433="Cluster",INDEX(Attributes!$I$3:$I$52,Q433)&amp;"",IF(B433="Supporting",INDEX(Values!$F$3:$F$502,P433)&amp;"","")))</f>
        <v/>
      </c>
      <c r="M433">
        <f>IF(B433="","",IF(L433&lt;&gt;"","Covered","Gap"))</f>
        <v/>
      </c>
      <c r="N433">
        <f>IF(B433="Pillar",SUMIFS(Values!$E$3:$E$502,Values!$I$3:$I$502,"Yes"),IF(B433="Cluster",SUMIFS(Values!$E$3:$E$502,Values!$A$3:$A$502,SUBSTITUTE(SUBSTITUTE(C433,"?","~?"),"*","~*"),Values!$I$3:$I$502,"Yes"),IF(B433="Supporting",N(INDEX(Values!$E$3:$E$502,P433)),"")))</f>
        <v/>
      </c>
      <c r="O433">
        <f>IF(B433="","",IF(B433="Pillar",100,IF(B433="Cluster",N(INDEX(Attributes!$E$3:$E$52,Q433))*25+IF(M433="Gap",10,0),N(INDEX(Attributes!$E$3:$E$52,Q433))*20+MIN(20,ROUND(LOG10(N(N433)+1)*5,0))+IF(M433="Gap",10,0)+IF(INDEX(Values!$D$3:$D$502,P433)="Yes",5,0))))</f>
        <v/>
      </c>
      <c r="P433">
        <f>IF(B433="Supporting",MATCH(A433-1-Entity!$B$14,Values!$J$3:$J$502,0),"")</f>
        <v/>
      </c>
      <c r="Q433">
        <f>IF(C433="","",MATCH(C433,Attributes!$A$3:$A$52,0))</f>
        <v/>
      </c>
      <c r="R433">
        <f>IF(B433="Pillar",SUBSTITUTE(Entity!$B$7,"{entity}",LOWER(Entity!$B$3)),IF(B433="Cluster",IF(INDEX(Attributes!$G$3:$G$52,Q433)&lt;&gt;"",INDEX(Attributes!$G$3:$G$52,Q433),SUBSTITUTE(SUBSTITUTE(Entity!$B$8,"{entity}",LOWER(Entity!$B$3)),"{attribute}",LOWER(C433))),IF(B433="Supporting",SUBSTITUTE(SUBSTITUTE(SUBSTITUTE(IF(INDEX(Attributes!$H$3:$H$52,Q433)&lt;&gt;"",INDEX(Attributes!$H$3:$H$52,Q433),Entity!$B$9),"{entity}",LOWER(Entity!$B$3)),"{value}",D433),"{attribute}",LOWER(C433)),"")))</f>
        <v/>
      </c>
    </row>
    <row r="434">
      <c r="A434">
        <f>ROW()-2</f>
        <v/>
      </c>
      <c r="B434">
        <f>IF(A434=1,"Pillar",IF(A434&lt;=1+Entity!$B$14,"Cluster",IF(A434&lt;=1+Entity!$B$14+Entity!$B$15,"Supporting","")))</f>
        <v/>
      </c>
      <c r="C434">
        <f>IF(B434="Cluster",INDEX(Attributes!$A$3:$A$52,MATCH(A434-1,Attributes!$P$3:$P$52,0)),IF(B434="Supporting",INDEX(Values!$A$3:$A$502,P434),""))</f>
        <v/>
      </c>
      <c r="D434">
        <f>IF(B434="Supporting",INDEX(Values!$B$3:$B$502,P434),"")</f>
        <v/>
      </c>
      <c r="E434">
        <f>IF(R434="","",UPPER(LEFT(R434,1))&amp;MID(R434,2,500))</f>
        <v/>
      </c>
      <c r="F434">
        <f>IF(E434="","",LOWER(SUBSTITUTE(SUBSTITUTE(SUBSTITUTE(SUBSTITUTE(SUBSTITUTE(SUBSTITUTE(SUBSTITUTE(TRIM(E434),":",""),",",""),"'",""),"&amp;","and"),"£",""),"  "," ")," ","-")))</f>
        <v/>
      </c>
      <c r="G434">
        <f>IF(B434="Cluster",$E$3,IF(B434="Supporting",INDEX($E$3:$E$553,MATCH(C434,$C$3:$C$553,0)),""))</f>
        <v/>
      </c>
      <c r="H434">
        <f>IF(B434="Supporting",IFERROR(INDEX($E$3:$E$553,1+Entity!$B$14+INDEX(Values!$O$3:$O$502,P434)),""),IF(B434="Cluster",IF(Entity!$B$14&lt;2,"",INDEX($E$3:$E$553,IF(A434-1=Entity!$B$14,2,A434+1))),""))</f>
        <v/>
      </c>
      <c r="I434">
        <f>IF(B434="Pillar",Entity!$B$14&amp;" cluster pages",IF(B434="Cluster",(COUNTIF($C$3:$C$553,SUBSTITUTE(SUBSTITUTE(C434,"?","~?"),"*","~*"))-1)&amp;" supporting pages",""))</f>
        <v/>
      </c>
      <c r="J434">
        <f>IF(B434="Pillar","Informational",IF(OR(B434="Cluster",B434="Supporting"),INDEX(Attributes!$D$3:$D$52,Q434)&amp;"",""))</f>
        <v/>
      </c>
      <c r="K434">
        <f>IF(B434="","",IF(B434="Pillar","Pillar guide (entity hub)",IF(B434="Cluster","Hub page for this attribute",IF(INDEX(Values!$C$3:$C$502,P434)="Yes","Entity page (profile of the sub-entity)",IFERROR(INDEX(Lists!$B$3:$B$6,MATCH(J434,Lists!$A$3:$A$6,0)),"Article")))))</f>
        <v/>
      </c>
      <c r="L434">
        <f>IF(B434="Pillar",Entity!$B$6&amp;"",IF(B434="Cluster",INDEX(Attributes!$I$3:$I$52,Q434)&amp;"",IF(B434="Supporting",INDEX(Values!$F$3:$F$502,P434)&amp;"","")))</f>
        <v/>
      </c>
      <c r="M434">
        <f>IF(B434="","",IF(L434&lt;&gt;"","Covered","Gap"))</f>
        <v/>
      </c>
      <c r="N434">
        <f>IF(B434="Pillar",SUMIFS(Values!$E$3:$E$502,Values!$I$3:$I$502,"Yes"),IF(B434="Cluster",SUMIFS(Values!$E$3:$E$502,Values!$A$3:$A$502,SUBSTITUTE(SUBSTITUTE(C434,"?","~?"),"*","~*"),Values!$I$3:$I$502,"Yes"),IF(B434="Supporting",N(INDEX(Values!$E$3:$E$502,P434)),"")))</f>
        <v/>
      </c>
      <c r="O434">
        <f>IF(B434="","",IF(B434="Pillar",100,IF(B434="Cluster",N(INDEX(Attributes!$E$3:$E$52,Q434))*25+IF(M434="Gap",10,0),N(INDEX(Attributes!$E$3:$E$52,Q434))*20+MIN(20,ROUND(LOG10(N(N434)+1)*5,0))+IF(M434="Gap",10,0)+IF(INDEX(Values!$D$3:$D$502,P434)="Yes",5,0))))</f>
        <v/>
      </c>
      <c r="P434">
        <f>IF(B434="Supporting",MATCH(A434-1-Entity!$B$14,Values!$J$3:$J$502,0),"")</f>
        <v/>
      </c>
      <c r="Q434">
        <f>IF(C434="","",MATCH(C434,Attributes!$A$3:$A$52,0))</f>
        <v/>
      </c>
      <c r="R434">
        <f>IF(B434="Pillar",SUBSTITUTE(Entity!$B$7,"{entity}",LOWER(Entity!$B$3)),IF(B434="Cluster",IF(INDEX(Attributes!$G$3:$G$52,Q434)&lt;&gt;"",INDEX(Attributes!$G$3:$G$52,Q434),SUBSTITUTE(SUBSTITUTE(Entity!$B$8,"{entity}",LOWER(Entity!$B$3)),"{attribute}",LOWER(C434))),IF(B434="Supporting",SUBSTITUTE(SUBSTITUTE(SUBSTITUTE(IF(INDEX(Attributes!$H$3:$H$52,Q434)&lt;&gt;"",INDEX(Attributes!$H$3:$H$52,Q434),Entity!$B$9),"{entity}",LOWER(Entity!$B$3)),"{value}",D434),"{attribute}",LOWER(C434)),"")))</f>
        <v/>
      </c>
    </row>
    <row r="435">
      <c r="A435">
        <f>ROW()-2</f>
        <v/>
      </c>
      <c r="B435">
        <f>IF(A435=1,"Pillar",IF(A435&lt;=1+Entity!$B$14,"Cluster",IF(A435&lt;=1+Entity!$B$14+Entity!$B$15,"Supporting","")))</f>
        <v/>
      </c>
      <c r="C435">
        <f>IF(B435="Cluster",INDEX(Attributes!$A$3:$A$52,MATCH(A435-1,Attributes!$P$3:$P$52,0)),IF(B435="Supporting",INDEX(Values!$A$3:$A$502,P435),""))</f>
        <v/>
      </c>
      <c r="D435">
        <f>IF(B435="Supporting",INDEX(Values!$B$3:$B$502,P435),"")</f>
        <v/>
      </c>
      <c r="E435">
        <f>IF(R435="","",UPPER(LEFT(R435,1))&amp;MID(R435,2,500))</f>
        <v/>
      </c>
      <c r="F435">
        <f>IF(E435="","",LOWER(SUBSTITUTE(SUBSTITUTE(SUBSTITUTE(SUBSTITUTE(SUBSTITUTE(SUBSTITUTE(SUBSTITUTE(TRIM(E435),":",""),",",""),"'",""),"&amp;","and"),"£",""),"  "," ")," ","-")))</f>
        <v/>
      </c>
      <c r="G435">
        <f>IF(B435="Cluster",$E$3,IF(B435="Supporting",INDEX($E$3:$E$553,MATCH(C435,$C$3:$C$553,0)),""))</f>
        <v/>
      </c>
      <c r="H435">
        <f>IF(B435="Supporting",IFERROR(INDEX($E$3:$E$553,1+Entity!$B$14+INDEX(Values!$O$3:$O$502,P435)),""),IF(B435="Cluster",IF(Entity!$B$14&lt;2,"",INDEX($E$3:$E$553,IF(A435-1=Entity!$B$14,2,A435+1))),""))</f>
        <v/>
      </c>
      <c r="I435">
        <f>IF(B435="Pillar",Entity!$B$14&amp;" cluster pages",IF(B435="Cluster",(COUNTIF($C$3:$C$553,SUBSTITUTE(SUBSTITUTE(C435,"?","~?"),"*","~*"))-1)&amp;" supporting pages",""))</f>
        <v/>
      </c>
      <c r="J435">
        <f>IF(B435="Pillar","Informational",IF(OR(B435="Cluster",B435="Supporting"),INDEX(Attributes!$D$3:$D$52,Q435)&amp;"",""))</f>
        <v/>
      </c>
      <c r="K435">
        <f>IF(B435="","",IF(B435="Pillar","Pillar guide (entity hub)",IF(B435="Cluster","Hub page for this attribute",IF(INDEX(Values!$C$3:$C$502,P435)="Yes","Entity page (profile of the sub-entity)",IFERROR(INDEX(Lists!$B$3:$B$6,MATCH(J435,Lists!$A$3:$A$6,0)),"Article")))))</f>
        <v/>
      </c>
      <c r="L435">
        <f>IF(B435="Pillar",Entity!$B$6&amp;"",IF(B435="Cluster",INDEX(Attributes!$I$3:$I$52,Q435)&amp;"",IF(B435="Supporting",INDEX(Values!$F$3:$F$502,P435)&amp;"","")))</f>
        <v/>
      </c>
      <c r="M435">
        <f>IF(B435="","",IF(L435&lt;&gt;"","Covered","Gap"))</f>
        <v/>
      </c>
      <c r="N435">
        <f>IF(B435="Pillar",SUMIFS(Values!$E$3:$E$502,Values!$I$3:$I$502,"Yes"),IF(B435="Cluster",SUMIFS(Values!$E$3:$E$502,Values!$A$3:$A$502,SUBSTITUTE(SUBSTITUTE(C435,"?","~?"),"*","~*"),Values!$I$3:$I$502,"Yes"),IF(B435="Supporting",N(INDEX(Values!$E$3:$E$502,P435)),"")))</f>
        <v/>
      </c>
      <c r="O435">
        <f>IF(B435="","",IF(B435="Pillar",100,IF(B435="Cluster",N(INDEX(Attributes!$E$3:$E$52,Q435))*25+IF(M435="Gap",10,0),N(INDEX(Attributes!$E$3:$E$52,Q435))*20+MIN(20,ROUND(LOG10(N(N435)+1)*5,0))+IF(M435="Gap",10,0)+IF(INDEX(Values!$D$3:$D$502,P435)="Yes",5,0))))</f>
        <v/>
      </c>
      <c r="P435">
        <f>IF(B435="Supporting",MATCH(A435-1-Entity!$B$14,Values!$J$3:$J$502,0),"")</f>
        <v/>
      </c>
      <c r="Q435">
        <f>IF(C435="","",MATCH(C435,Attributes!$A$3:$A$52,0))</f>
        <v/>
      </c>
      <c r="R435">
        <f>IF(B435="Pillar",SUBSTITUTE(Entity!$B$7,"{entity}",LOWER(Entity!$B$3)),IF(B435="Cluster",IF(INDEX(Attributes!$G$3:$G$52,Q435)&lt;&gt;"",INDEX(Attributes!$G$3:$G$52,Q435),SUBSTITUTE(SUBSTITUTE(Entity!$B$8,"{entity}",LOWER(Entity!$B$3)),"{attribute}",LOWER(C435))),IF(B435="Supporting",SUBSTITUTE(SUBSTITUTE(SUBSTITUTE(IF(INDEX(Attributes!$H$3:$H$52,Q435)&lt;&gt;"",INDEX(Attributes!$H$3:$H$52,Q435),Entity!$B$9),"{entity}",LOWER(Entity!$B$3)),"{value}",D435),"{attribute}",LOWER(C435)),"")))</f>
        <v/>
      </c>
    </row>
    <row r="436">
      <c r="A436">
        <f>ROW()-2</f>
        <v/>
      </c>
      <c r="B436">
        <f>IF(A436=1,"Pillar",IF(A436&lt;=1+Entity!$B$14,"Cluster",IF(A436&lt;=1+Entity!$B$14+Entity!$B$15,"Supporting","")))</f>
        <v/>
      </c>
      <c r="C436">
        <f>IF(B436="Cluster",INDEX(Attributes!$A$3:$A$52,MATCH(A436-1,Attributes!$P$3:$P$52,0)),IF(B436="Supporting",INDEX(Values!$A$3:$A$502,P436),""))</f>
        <v/>
      </c>
      <c r="D436">
        <f>IF(B436="Supporting",INDEX(Values!$B$3:$B$502,P436),"")</f>
        <v/>
      </c>
      <c r="E436">
        <f>IF(R436="","",UPPER(LEFT(R436,1))&amp;MID(R436,2,500))</f>
        <v/>
      </c>
      <c r="F436">
        <f>IF(E436="","",LOWER(SUBSTITUTE(SUBSTITUTE(SUBSTITUTE(SUBSTITUTE(SUBSTITUTE(SUBSTITUTE(SUBSTITUTE(TRIM(E436),":",""),",",""),"'",""),"&amp;","and"),"£",""),"  "," ")," ","-")))</f>
        <v/>
      </c>
      <c r="G436">
        <f>IF(B436="Cluster",$E$3,IF(B436="Supporting",INDEX($E$3:$E$553,MATCH(C436,$C$3:$C$553,0)),""))</f>
        <v/>
      </c>
      <c r="H436">
        <f>IF(B436="Supporting",IFERROR(INDEX($E$3:$E$553,1+Entity!$B$14+INDEX(Values!$O$3:$O$502,P436)),""),IF(B436="Cluster",IF(Entity!$B$14&lt;2,"",INDEX($E$3:$E$553,IF(A436-1=Entity!$B$14,2,A436+1))),""))</f>
        <v/>
      </c>
      <c r="I436">
        <f>IF(B436="Pillar",Entity!$B$14&amp;" cluster pages",IF(B436="Cluster",(COUNTIF($C$3:$C$553,SUBSTITUTE(SUBSTITUTE(C436,"?","~?"),"*","~*"))-1)&amp;" supporting pages",""))</f>
        <v/>
      </c>
      <c r="J436">
        <f>IF(B436="Pillar","Informational",IF(OR(B436="Cluster",B436="Supporting"),INDEX(Attributes!$D$3:$D$52,Q436)&amp;"",""))</f>
        <v/>
      </c>
      <c r="K436">
        <f>IF(B436="","",IF(B436="Pillar","Pillar guide (entity hub)",IF(B436="Cluster","Hub page for this attribute",IF(INDEX(Values!$C$3:$C$502,P436)="Yes","Entity page (profile of the sub-entity)",IFERROR(INDEX(Lists!$B$3:$B$6,MATCH(J436,Lists!$A$3:$A$6,0)),"Article")))))</f>
        <v/>
      </c>
      <c r="L436">
        <f>IF(B436="Pillar",Entity!$B$6&amp;"",IF(B436="Cluster",INDEX(Attributes!$I$3:$I$52,Q436)&amp;"",IF(B436="Supporting",INDEX(Values!$F$3:$F$502,P436)&amp;"","")))</f>
        <v/>
      </c>
      <c r="M436">
        <f>IF(B436="","",IF(L436&lt;&gt;"","Covered","Gap"))</f>
        <v/>
      </c>
      <c r="N436">
        <f>IF(B436="Pillar",SUMIFS(Values!$E$3:$E$502,Values!$I$3:$I$502,"Yes"),IF(B436="Cluster",SUMIFS(Values!$E$3:$E$502,Values!$A$3:$A$502,SUBSTITUTE(SUBSTITUTE(C436,"?","~?"),"*","~*"),Values!$I$3:$I$502,"Yes"),IF(B436="Supporting",N(INDEX(Values!$E$3:$E$502,P436)),"")))</f>
        <v/>
      </c>
      <c r="O436">
        <f>IF(B436="","",IF(B436="Pillar",100,IF(B436="Cluster",N(INDEX(Attributes!$E$3:$E$52,Q436))*25+IF(M436="Gap",10,0),N(INDEX(Attributes!$E$3:$E$52,Q436))*20+MIN(20,ROUND(LOG10(N(N436)+1)*5,0))+IF(M436="Gap",10,0)+IF(INDEX(Values!$D$3:$D$502,P436)="Yes",5,0))))</f>
        <v/>
      </c>
      <c r="P436">
        <f>IF(B436="Supporting",MATCH(A436-1-Entity!$B$14,Values!$J$3:$J$502,0),"")</f>
        <v/>
      </c>
      <c r="Q436">
        <f>IF(C436="","",MATCH(C436,Attributes!$A$3:$A$52,0))</f>
        <v/>
      </c>
      <c r="R436">
        <f>IF(B436="Pillar",SUBSTITUTE(Entity!$B$7,"{entity}",LOWER(Entity!$B$3)),IF(B436="Cluster",IF(INDEX(Attributes!$G$3:$G$52,Q436)&lt;&gt;"",INDEX(Attributes!$G$3:$G$52,Q436),SUBSTITUTE(SUBSTITUTE(Entity!$B$8,"{entity}",LOWER(Entity!$B$3)),"{attribute}",LOWER(C436))),IF(B436="Supporting",SUBSTITUTE(SUBSTITUTE(SUBSTITUTE(IF(INDEX(Attributes!$H$3:$H$52,Q436)&lt;&gt;"",INDEX(Attributes!$H$3:$H$52,Q436),Entity!$B$9),"{entity}",LOWER(Entity!$B$3)),"{value}",D436),"{attribute}",LOWER(C436)),"")))</f>
        <v/>
      </c>
    </row>
    <row r="437">
      <c r="A437">
        <f>ROW()-2</f>
        <v/>
      </c>
      <c r="B437">
        <f>IF(A437=1,"Pillar",IF(A437&lt;=1+Entity!$B$14,"Cluster",IF(A437&lt;=1+Entity!$B$14+Entity!$B$15,"Supporting","")))</f>
        <v/>
      </c>
      <c r="C437">
        <f>IF(B437="Cluster",INDEX(Attributes!$A$3:$A$52,MATCH(A437-1,Attributes!$P$3:$P$52,0)),IF(B437="Supporting",INDEX(Values!$A$3:$A$502,P437),""))</f>
        <v/>
      </c>
      <c r="D437">
        <f>IF(B437="Supporting",INDEX(Values!$B$3:$B$502,P437),"")</f>
        <v/>
      </c>
      <c r="E437">
        <f>IF(R437="","",UPPER(LEFT(R437,1))&amp;MID(R437,2,500))</f>
        <v/>
      </c>
      <c r="F437">
        <f>IF(E437="","",LOWER(SUBSTITUTE(SUBSTITUTE(SUBSTITUTE(SUBSTITUTE(SUBSTITUTE(SUBSTITUTE(SUBSTITUTE(TRIM(E437),":",""),",",""),"'",""),"&amp;","and"),"£",""),"  "," ")," ","-")))</f>
        <v/>
      </c>
      <c r="G437">
        <f>IF(B437="Cluster",$E$3,IF(B437="Supporting",INDEX($E$3:$E$553,MATCH(C437,$C$3:$C$553,0)),""))</f>
        <v/>
      </c>
      <c r="H437">
        <f>IF(B437="Supporting",IFERROR(INDEX($E$3:$E$553,1+Entity!$B$14+INDEX(Values!$O$3:$O$502,P437)),""),IF(B437="Cluster",IF(Entity!$B$14&lt;2,"",INDEX($E$3:$E$553,IF(A437-1=Entity!$B$14,2,A437+1))),""))</f>
        <v/>
      </c>
      <c r="I437">
        <f>IF(B437="Pillar",Entity!$B$14&amp;" cluster pages",IF(B437="Cluster",(COUNTIF($C$3:$C$553,SUBSTITUTE(SUBSTITUTE(C437,"?","~?"),"*","~*"))-1)&amp;" supporting pages",""))</f>
        <v/>
      </c>
      <c r="J437">
        <f>IF(B437="Pillar","Informational",IF(OR(B437="Cluster",B437="Supporting"),INDEX(Attributes!$D$3:$D$52,Q437)&amp;"",""))</f>
        <v/>
      </c>
      <c r="K437">
        <f>IF(B437="","",IF(B437="Pillar","Pillar guide (entity hub)",IF(B437="Cluster","Hub page for this attribute",IF(INDEX(Values!$C$3:$C$502,P437)="Yes","Entity page (profile of the sub-entity)",IFERROR(INDEX(Lists!$B$3:$B$6,MATCH(J437,Lists!$A$3:$A$6,0)),"Article")))))</f>
        <v/>
      </c>
      <c r="L437">
        <f>IF(B437="Pillar",Entity!$B$6&amp;"",IF(B437="Cluster",INDEX(Attributes!$I$3:$I$52,Q437)&amp;"",IF(B437="Supporting",INDEX(Values!$F$3:$F$502,P437)&amp;"","")))</f>
        <v/>
      </c>
      <c r="M437">
        <f>IF(B437="","",IF(L437&lt;&gt;"","Covered","Gap"))</f>
        <v/>
      </c>
      <c r="N437">
        <f>IF(B437="Pillar",SUMIFS(Values!$E$3:$E$502,Values!$I$3:$I$502,"Yes"),IF(B437="Cluster",SUMIFS(Values!$E$3:$E$502,Values!$A$3:$A$502,SUBSTITUTE(SUBSTITUTE(C437,"?","~?"),"*","~*"),Values!$I$3:$I$502,"Yes"),IF(B437="Supporting",N(INDEX(Values!$E$3:$E$502,P437)),"")))</f>
        <v/>
      </c>
      <c r="O437">
        <f>IF(B437="","",IF(B437="Pillar",100,IF(B437="Cluster",N(INDEX(Attributes!$E$3:$E$52,Q437))*25+IF(M437="Gap",10,0),N(INDEX(Attributes!$E$3:$E$52,Q437))*20+MIN(20,ROUND(LOG10(N(N437)+1)*5,0))+IF(M437="Gap",10,0)+IF(INDEX(Values!$D$3:$D$502,P437)="Yes",5,0))))</f>
        <v/>
      </c>
      <c r="P437">
        <f>IF(B437="Supporting",MATCH(A437-1-Entity!$B$14,Values!$J$3:$J$502,0),"")</f>
        <v/>
      </c>
      <c r="Q437">
        <f>IF(C437="","",MATCH(C437,Attributes!$A$3:$A$52,0))</f>
        <v/>
      </c>
      <c r="R437">
        <f>IF(B437="Pillar",SUBSTITUTE(Entity!$B$7,"{entity}",LOWER(Entity!$B$3)),IF(B437="Cluster",IF(INDEX(Attributes!$G$3:$G$52,Q437)&lt;&gt;"",INDEX(Attributes!$G$3:$G$52,Q437),SUBSTITUTE(SUBSTITUTE(Entity!$B$8,"{entity}",LOWER(Entity!$B$3)),"{attribute}",LOWER(C437))),IF(B437="Supporting",SUBSTITUTE(SUBSTITUTE(SUBSTITUTE(IF(INDEX(Attributes!$H$3:$H$52,Q437)&lt;&gt;"",INDEX(Attributes!$H$3:$H$52,Q437),Entity!$B$9),"{entity}",LOWER(Entity!$B$3)),"{value}",D437),"{attribute}",LOWER(C437)),"")))</f>
        <v/>
      </c>
    </row>
    <row r="438">
      <c r="A438">
        <f>ROW()-2</f>
        <v/>
      </c>
      <c r="B438">
        <f>IF(A438=1,"Pillar",IF(A438&lt;=1+Entity!$B$14,"Cluster",IF(A438&lt;=1+Entity!$B$14+Entity!$B$15,"Supporting","")))</f>
        <v/>
      </c>
      <c r="C438">
        <f>IF(B438="Cluster",INDEX(Attributes!$A$3:$A$52,MATCH(A438-1,Attributes!$P$3:$P$52,0)),IF(B438="Supporting",INDEX(Values!$A$3:$A$502,P438),""))</f>
        <v/>
      </c>
      <c r="D438">
        <f>IF(B438="Supporting",INDEX(Values!$B$3:$B$502,P438),"")</f>
        <v/>
      </c>
      <c r="E438">
        <f>IF(R438="","",UPPER(LEFT(R438,1))&amp;MID(R438,2,500))</f>
        <v/>
      </c>
      <c r="F438">
        <f>IF(E438="","",LOWER(SUBSTITUTE(SUBSTITUTE(SUBSTITUTE(SUBSTITUTE(SUBSTITUTE(SUBSTITUTE(SUBSTITUTE(TRIM(E438),":",""),",",""),"'",""),"&amp;","and"),"£",""),"  "," ")," ","-")))</f>
        <v/>
      </c>
      <c r="G438">
        <f>IF(B438="Cluster",$E$3,IF(B438="Supporting",INDEX($E$3:$E$553,MATCH(C438,$C$3:$C$553,0)),""))</f>
        <v/>
      </c>
      <c r="H438">
        <f>IF(B438="Supporting",IFERROR(INDEX($E$3:$E$553,1+Entity!$B$14+INDEX(Values!$O$3:$O$502,P438)),""),IF(B438="Cluster",IF(Entity!$B$14&lt;2,"",INDEX($E$3:$E$553,IF(A438-1=Entity!$B$14,2,A438+1))),""))</f>
        <v/>
      </c>
      <c r="I438">
        <f>IF(B438="Pillar",Entity!$B$14&amp;" cluster pages",IF(B438="Cluster",(COUNTIF($C$3:$C$553,SUBSTITUTE(SUBSTITUTE(C438,"?","~?"),"*","~*"))-1)&amp;" supporting pages",""))</f>
        <v/>
      </c>
      <c r="J438">
        <f>IF(B438="Pillar","Informational",IF(OR(B438="Cluster",B438="Supporting"),INDEX(Attributes!$D$3:$D$52,Q438)&amp;"",""))</f>
        <v/>
      </c>
      <c r="K438">
        <f>IF(B438="","",IF(B438="Pillar","Pillar guide (entity hub)",IF(B438="Cluster","Hub page for this attribute",IF(INDEX(Values!$C$3:$C$502,P438)="Yes","Entity page (profile of the sub-entity)",IFERROR(INDEX(Lists!$B$3:$B$6,MATCH(J438,Lists!$A$3:$A$6,0)),"Article")))))</f>
        <v/>
      </c>
      <c r="L438">
        <f>IF(B438="Pillar",Entity!$B$6&amp;"",IF(B438="Cluster",INDEX(Attributes!$I$3:$I$52,Q438)&amp;"",IF(B438="Supporting",INDEX(Values!$F$3:$F$502,P438)&amp;"","")))</f>
        <v/>
      </c>
      <c r="M438">
        <f>IF(B438="","",IF(L438&lt;&gt;"","Covered","Gap"))</f>
        <v/>
      </c>
      <c r="N438">
        <f>IF(B438="Pillar",SUMIFS(Values!$E$3:$E$502,Values!$I$3:$I$502,"Yes"),IF(B438="Cluster",SUMIFS(Values!$E$3:$E$502,Values!$A$3:$A$502,SUBSTITUTE(SUBSTITUTE(C438,"?","~?"),"*","~*"),Values!$I$3:$I$502,"Yes"),IF(B438="Supporting",N(INDEX(Values!$E$3:$E$502,P438)),"")))</f>
        <v/>
      </c>
      <c r="O438">
        <f>IF(B438="","",IF(B438="Pillar",100,IF(B438="Cluster",N(INDEX(Attributes!$E$3:$E$52,Q438))*25+IF(M438="Gap",10,0),N(INDEX(Attributes!$E$3:$E$52,Q438))*20+MIN(20,ROUND(LOG10(N(N438)+1)*5,0))+IF(M438="Gap",10,0)+IF(INDEX(Values!$D$3:$D$502,P438)="Yes",5,0))))</f>
        <v/>
      </c>
      <c r="P438">
        <f>IF(B438="Supporting",MATCH(A438-1-Entity!$B$14,Values!$J$3:$J$502,0),"")</f>
        <v/>
      </c>
      <c r="Q438">
        <f>IF(C438="","",MATCH(C438,Attributes!$A$3:$A$52,0))</f>
        <v/>
      </c>
      <c r="R438">
        <f>IF(B438="Pillar",SUBSTITUTE(Entity!$B$7,"{entity}",LOWER(Entity!$B$3)),IF(B438="Cluster",IF(INDEX(Attributes!$G$3:$G$52,Q438)&lt;&gt;"",INDEX(Attributes!$G$3:$G$52,Q438),SUBSTITUTE(SUBSTITUTE(Entity!$B$8,"{entity}",LOWER(Entity!$B$3)),"{attribute}",LOWER(C438))),IF(B438="Supporting",SUBSTITUTE(SUBSTITUTE(SUBSTITUTE(IF(INDEX(Attributes!$H$3:$H$52,Q438)&lt;&gt;"",INDEX(Attributes!$H$3:$H$52,Q438),Entity!$B$9),"{entity}",LOWER(Entity!$B$3)),"{value}",D438),"{attribute}",LOWER(C438)),"")))</f>
        <v/>
      </c>
    </row>
    <row r="439">
      <c r="A439">
        <f>ROW()-2</f>
        <v/>
      </c>
      <c r="B439">
        <f>IF(A439=1,"Pillar",IF(A439&lt;=1+Entity!$B$14,"Cluster",IF(A439&lt;=1+Entity!$B$14+Entity!$B$15,"Supporting","")))</f>
        <v/>
      </c>
      <c r="C439">
        <f>IF(B439="Cluster",INDEX(Attributes!$A$3:$A$52,MATCH(A439-1,Attributes!$P$3:$P$52,0)),IF(B439="Supporting",INDEX(Values!$A$3:$A$502,P439),""))</f>
        <v/>
      </c>
      <c r="D439">
        <f>IF(B439="Supporting",INDEX(Values!$B$3:$B$502,P439),"")</f>
        <v/>
      </c>
      <c r="E439">
        <f>IF(R439="","",UPPER(LEFT(R439,1))&amp;MID(R439,2,500))</f>
        <v/>
      </c>
      <c r="F439">
        <f>IF(E439="","",LOWER(SUBSTITUTE(SUBSTITUTE(SUBSTITUTE(SUBSTITUTE(SUBSTITUTE(SUBSTITUTE(SUBSTITUTE(TRIM(E439),":",""),",",""),"'",""),"&amp;","and"),"£",""),"  "," ")," ","-")))</f>
        <v/>
      </c>
      <c r="G439">
        <f>IF(B439="Cluster",$E$3,IF(B439="Supporting",INDEX($E$3:$E$553,MATCH(C439,$C$3:$C$553,0)),""))</f>
        <v/>
      </c>
      <c r="H439">
        <f>IF(B439="Supporting",IFERROR(INDEX($E$3:$E$553,1+Entity!$B$14+INDEX(Values!$O$3:$O$502,P439)),""),IF(B439="Cluster",IF(Entity!$B$14&lt;2,"",INDEX($E$3:$E$553,IF(A439-1=Entity!$B$14,2,A439+1))),""))</f>
        <v/>
      </c>
      <c r="I439">
        <f>IF(B439="Pillar",Entity!$B$14&amp;" cluster pages",IF(B439="Cluster",(COUNTIF($C$3:$C$553,SUBSTITUTE(SUBSTITUTE(C439,"?","~?"),"*","~*"))-1)&amp;" supporting pages",""))</f>
        <v/>
      </c>
      <c r="J439">
        <f>IF(B439="Pillar","Informational",IF(OR(B439="Cluster",B439="Supporting"),INDEX(Attributes!$D$3:$D$52,Q439)&amp;"",""))</f>
        <v/>
      </c>
      <c r="K439">
        <f>IF(B439="","",IF(B439="Pillar","Pillar guide (entity hub)",IF(B439="Cluster","Hub page for this attribute",IF(INDEX(Values!$C$3:$C$502,P439)="Yes","Entity page (profile of the sub-entity)",IFERROR(INDEX(Lists!$B$3:$B$6,MATCH(J439,Lists!$A$3:$A$6,0)),"Article")))))</f>
        <v/>
      </c>
      <c r="L439">
        <f>IF(B439="Pillar",Entity!$B$6&amp;"",IF(B439="Cluster",INDEX(Attributes!$I$3:$I$52,Q439)&amp;"",IF(B439="Supporting",INDEX(Values!$F$3:$F$502,P439)&amp;"","")))</f>
        <v/>
      </c>
      <c r="M439">
        <f>IF(B439="","",IF(L439&lt;&gt;"","Covered","Gap"))</f>
        <v/>
      </c>
      <c r="N439">
        <f>IF(B439="Pillar",SUMIFS(Values!$E$3:$E$502,Values!$I$3:$I$502,"Yes"),IF(B439="Cluster",SUMIFS(Values!$E$3:$E$502,Values!$A$3:$A$502,SUBSTITUTE(SUBSTITUTE(C439,"?","~?"),"*","~*"),Values!$I$3:$I$502,"Yes"),IF(B439="Supporting",N(INDEX(Values!$E$3:$E$502,P439)),"")))</f>
        <v/>
      </c>
      <c r="O439">
        <f>IF(B439="","",IF(B439="Pillar",100,IF(B439="Cluster",N(INDEX(Attributes!$E$3:$E$52,Q439))*25+IF(M439="Gap",10,0),N(INDEX(Attributes!$E$3:$E$52,Q439))*20+MIN(20,ROUND(LOG10(N(N439)+1)*5,0))+IF(M439="Gap",10,0)+IF(INDEX(Values!$D$3:$D$502,P439)="Yes",5,0))))</f>
        <v/>
      </c>
      <c r="P439">
        <f>IF(B439="Supporting",MATCH(A439-1-Entity!$B$14,Values!$J$3:$J$502,0),"")</f>
        <v/>
      </c>
      <c r="Q439">
        <f>IF(C439="","",MATCH(C439,Attributes!$A$3:$A$52,0))</f>
        <v/>
      </c>
      <c r="R439">
        <f>IF(B439="Pillar",SUBSTITUTE(Entity!$B$7,"{entity}",LOWER(Entity!$B$3)),IF(B439="Cluster",IF(INDEX(Attributes!$G$3:$G$52,Q439)&lt;&gt;"",INDEX(Attributes!$G$3:$G$52,Q439),SUBSTITUTE(SUBSTITUTE(Entity!$B$8,"{entity}",LOWER(Entity!$B$3)),"{attribute}",LOWER(C439))),IF(B439="Supporting",SUBSTITUTE(SUBSTITUTE(SUBSTITUTE(IF(INDEX(Attributes!$H$3:$H$52,Q439)&lt;&gt;"",INDEX(Attributes!$H$3:$H$52,Q439),Entity!$B$9),"{entity}",LOWER(Entity!$B$3)),"{value}",D439),"{attribute}",LOWER(C439)),"")))</f>
        <v/>
      </c>
    </row>
    <row r="440">
      <c r="A440">
        <f>ROW()-2</f>
        <v/>
      </c>
      <c r="B440">
        <f>IF(A440=1,"Pillar",IF(A440&lt;=1+Entity!$B$14,"Cluster",IF(A440&lt;=1+Entity!$B$14+Entity!$B$15,"Supporting","")))</f>
        <v/>
      </c>
      <c r="C440">
        <f>IF(B440="Cluster",INDEX(Attributes!$A$3:$A$52,MATCH(A440-1,Attributes!$P$3:$P$52,0)),IF(B440="Supporting",INDEX(Values!$A$3:$A$502,P440),""))</f>
        <v/>
      </c>
      <c r="D440">
        <f>IF(B440="Supporting",INDEX(Values!$B$3:$B$502,P440),"")</f>
        <v/>
      </c>
      <c r="E440">
        <f>IF(R440="","",UPPER(LEFT(R440,1))&amp;MID(R440,2,500))</f>
        <v/>
      </c>
      <c r="F440">
        <f>IF(E440="","",LOWER(SUBSTITUTE(SUBSTITUTE(SUBSTITUTE(SUBSTITUTE(SUBSTITUTE(SUBSTITUTE(SUBSTITUTE(TRIM(E440),":",""),",",""),"'",""),"&amp;","and"),"£",""),"  "," ")," ","-")))</f>
        <v/>
      </c>
      <c r="G440">
        <f>IF(B440="Cluster",$E$3,IF(B440="Supporting",INDEX($E$3:$E$553,MATCH(C440,$C$3:$C$553,0)),""))</f>
        <v/>
      </c>
      <c r="H440">
        <f>IF(B440="Supporting",IFERROR(INDEX($E$3:$E$553,1+Entity!$B$14+INDEX(Values!$O$3:$O$502,P440)),""),IF(B440="Cluster",IF(Entity!$B$14&lt;2,"",INDEX($E$3:$E$553,IF(A440-1=Entity!$B$14,2,A440+1))),""))</f>
        <v/>
      </c>
      <c r="I440">
        <f>IF(B440="Pillar",Entity!$B$14&amp;" cluster pages",IF(B440="Cluster",(COUNTIF($C$3:$C$553,SUBSTITUTE(SUBSTITUTE(C440,"?","~?"),"*","~*"))-1)&amp;" supporting pages",""))</f>
        <v/>
      </c>
      <c r="J440">
        <f>IF(B440="Pillar","Informational",IF(OR(B440="Cluster",B440="Supporting"),INDEX(Attributes!$D$3:$D$52,Q440)&amp;"",""))</f>
        <v/>
      </c>
      <c r="K440">
        <f>IF(B440="","",IF(B440="Pillar","Pillar guide (entity hub)",IF(B440="Cluster","Hub page for this attribute",IF(INDEX(Values!$C$3:$C$502,P440)="Yes","Entity page (profile of the sub-entity)",IFERROR(INDEX(Lists!$B$3:$B$6,MATCH(J440,Lists!$A$3:$A$6,0)),"Article")))))</f>
        <v/>
      </c>
      <c r="L440">
        <f>IF(B440="Pillar",Entity!$B$6&amp;"",IF(B440="Cluster",INDEX(Attributes!$I$3:$I$52,Q440)&amp;"",IF(B440="Supporting",INDEX(Values!$F$3:$F$502,P440)&amp;"","")))</f>
        <v/>
      </c>
      <c r="M440">
        <f>IF(B440="","",IF(L440&lt;&gt;"","Covered","Gap"))</f>
        <v/>
      </c>
      <c r="N440">
        <f>IF(B440="Pillar",SUMIFS(Values!$E$3:$E$502,Values!$I$3:$I$502,"Yes"),IF(B440="Cluster",SUMIFS(Values!$E$3:$E$502,Values!$A$3:$A$502,SUBSTITUTE(SUBSTITUTE(C440,"?","~?"),"*","~*"),Values!$I$3:$I$502,"Yes"),IF(B440="Supporting",N(INDEX(Values!$E$3:$E$502,P440)),"")))</f>
        <v/>
      </c>
      <c r="O440">
        <f>IF(B440="","",IF(B440="Pillar",100,IF(B440="Cluster",N(INDEX(Attributes!$E$3:$E$52,Q440))*25+IF(M440="Gap",10,0),N(INDEX(Attributes!$E$3:$E$52,Q440))*20+MIN(20,ROUND(LOG10(N(N440)+1)*5,0))+IF(M440="Gap",10,0)+IF(INDEX(Values!$D$3:$D$502,P440)="Yes",5,0))))</f>
        <v/>
      </c>
      <c r="P440">
        <f>IF(B440="Supporting",MATCH(A440-1-Entity!$B$14,Values!$J$3:$J$502,0),"")</f>
        <v/>
      </c>
      <c r="Q440">
        <f>IF(C440="","",MATCH(C440,Attributes!$A$3:$A$52,0))</f>
        <v/>
      </c>
      <c r="R440">
        <f>IF(B440="Pillar",SUBSTITUTE(Entity!$B$7,"{entity}",LOWER(Entity!$B$3)),IF(B440="Cluster",IF(INDEX(Attributes!$G$3:$G$52,Q440)&lt;&gt;"",INDEX(Attributes!$G$3:$G$52,Q440),SUBSTITUTE(SUBSTITUTE(Entity!$B$8,"{entity}",LOWER(Entity!$B$3)),"{attribute}",LOWER(C440))),IF(B440="Supporting",SUBSTITUTE(SUBSTITUTE(SUBSTITUTE(IF(INDEX(Attributes!$H$3:$H$52,Q440)&lt;&gt;"",INDEX(Attributes!$H$3:$H$52,Q440),Entity!$B$9),"{entity}",LOWER(Entity!$B$3)),"{value}",D440),"{attribute}",LOWER(C440)),"")))</f>
        <v/>
      </c>
    </row>
    <row r="441">
      <c r="A441">
        <f>ROW()-2</f>
        <v/>
      </c>
      <c r="B441">
        <f>IF(A441=1,"Pillar",IF(A441&lt;=1+Entity!$B$14,"Cluster",IF(A441&lt;=1+Entity!$B$14+Entity!$B$15,"Supporting","")))</f>
        <v/>
      </c>
      <c r="C441">
        <f>IF(B441="Cluster",INDEX(Attributes!$A$3:$A$52,MATCH(A441-1,Attributes!$P$3:$P$52,0)),IF(B441="Supporting",INDEX(Values!$A$3:$A$502,P441),""))</f>
        <v/>
      </c>
      <c r="D441">
        <f>IF(B441="Supporting",INDEX(Values!$B$3:$B$502,P441),"")</f>
        <v/>
      </c>
      <c r="E441">
        <f>IF(R441="","",UPPER(LEFT(R441,1))&amp;MID(R441,2,500))</f>
        <v/>
      </c>
      <c r="F441">
        <f>IF(E441="","",LOWER(SUBSTITUTE(SUBSTITUTE(SUBSTITUTE(SUBSTITUTE(SUBSTITUTE(SUBSTITUTE(SUBSTITUTE(TRIM(E441),":",""),",",""),"'",""),"&amp;","and"),"£",""),"  "," ")," ","-")))</f>
        <v/>
      </c>
      <c r="G441">
        <f>IF(B441="Cluster",$E$3,IF(B441="Supporting",INDEX($E$3:$E$553,MATCH(C441,$C$3:$C$553,0)),""))</f>
        <v/>
      </c>
      <c r="H441">
        <f>IF(B441="Supporting",IFERROR(INDEX($E$3:$E$553,1+Entity!$B$14+INDEX(Values!$O$3:$O$502,P441)),""),IF(B441="Cluster",IF(Entity!$B$14&lt;2,"",INDEX($E$3:$E$553,IF(A441-1=Entity!$B$14,2,A441+1))),""))</f>
        <v/>
      </c>
      <c r="I441">
        <f>IF(B441="Pillar",Entity!$B$14&amp;" cluster pages",IF(B441="Cluster",(COUNTIF($C$3:$C$553,SUBSTITUTE(SUBSTITUTE(C441,"?","~?"),"*","~*"))-1)&amp;" supporting pages",""))</f>
        <v/>
      </c>
      <c r="J441">
        <f>IF(B441="Pillar","Informational",IF(OR(B441="Cluster",B441="Supporting"),INDEX(Attributes!$D$3:$D$52,Q441)&amp;"",""))</f>
        <v/>
      </c>
      <c r="K441">
        <f>IF(B441="","",IF(B441="Pillar","Pillar guide (entity hub)",IF(B441="Cluster","Hub page for this attribute",IF(INDEX(Values!$C$3:$C$502,P441)="Yes","Entity page (profile of the sub-entity)",IFERROR(INDEX(Lists!$B$3:$B$6,MATCH(J441,Lists!$A$3:$A$6,0)),"Article")))))</f>
        <v/>
      </c>
      <c r="L441">
        <f>IF(B441="Pillar",Entity!$B$6&amp;"",IF(B441="Cluster",INDEX(Attributes!$I$3:$I$52,Q441)&amp;"",IF(B441="Supporting",INDEX(Values!$F$3:$F$502,P441)&amp;"","")))</f>
        <v/>
      </c>
      <c r="M441">
        <f>IF(B441="","",IF(L441&lt;&gt;"","Covered","Gap"))</f>
        <v/>
      </c>
      <c r="N441">
        <f>IF(B441="Pillar",SUMIFS(Values!$E$3:$E$502,Values!$I$3:$I$502,"Yes"),IF(B441="Cluster",SUMIFS(Values!$E$3:$E$502,Values!$A$3:$A$502,SUBSTITUTE(SUBSTITUTE(C441,"?","~?"),"*","~*"),Values!$I$3:$I$502,"Yes"),IF(B441="Supporting",N(INDEX(Values!$E$3:$E$502,P441)),"")))</f>
        <v/>
      </c>
      <c r="O441">
        <f>IF(B441="","",IF(B441="Pillar",100,IF(B441="Cluster",N(INDEX(Attributes!$E$3:$E$52,Q441))*25+IF(M441="Gap",10,0),N(INDEX(Attributes!$E$3:$E$52,Q441))*20+MIN(20,ROUND(LOG10(N(N441)+1)*5,0))+IF(M441="Gap",10,0)+IF(INDEX(Values!$D$3:$D$502,P441)="Yes",5,0))))</f>
        <v/>
      </c>
      <c r="P441">
        <f>IF(B441="Supporting",MATCH(A441-1-Entity!$B$14,Values!$J$3:$J$502,0),"")</f>
        <v/>
      </c>
      <c r="Q441">
        <f>IF(C441="","",MATCH(C441,Attributes!$A$3:$A$52,0))</f>
        <v/>
      </c>
      <c r="R441">
        <f>IF(B441="Pillar",SUBSTITUTE(Entity!$B$7,"{entity}",LOWER(Entity!$B$3)),IF(B441="Cluster",IF(INDEX(Attributes!$G$3:$G$52,Q441)&lt;&gt;"",INDEX(Attributes!$G$3:$G$52,Q441),SUBSTITUTE(SUBSTITUTE(Entity!$B$8,"{entity}",LOWER(Entity!$B$3)),"{attribute}",LOWER(C441))),IF(B441="Supporting",SUBSTITUTE(SUBSTITUTE(SUBSTITUTE(IF(INDEX(Attributes!$H$3:$H$52,Q441)&lt;&gt;"",INDEX(Attributes!$H$3:$H$52,Q441),Entity!$B$9),"{entity}",LOWER(Entity!$B$3)),"{value}",D441),"{attribute}",LOWER(C441)),"")))</f>
        <v/>
      </c>
    </row>
    <row r="442">
      <c r="A442">
        <f>ROW()-2</f>
        <v/>
      </c>
      <c r="B442">
        <f>IF(A442=1,"Pillar",IF(A442&lt;=1+Entity!$B$14,"Cluster",IF(A442&lt;=1+Entity!$B$14+Entity!$B$15,"Supporting","")))</f>
        <v/>
      </c>
      <c r="C442">
        <f>IF(B442="Cluster",INDEX(Attributes!$A$3:$A$52,MATCH(A442-1,Attributes!$P$3:$P$52,0)),IF(B442="Supporting",INDEX(Values!$A$3:$A$502,P442),""))</f>
        <v/>
      </c>
      <c r="D442">
        <f>IF(B442="Supporting",INDEX(Values!$B$3:$B$502,P442),"")</f>
        <v/>
      </c>
      <c r="E442">
        <f>IF(R442="","",UPPER(LEFT(R442,1))&amp;MID(R442,2,500))</f>
        <v/>
      </c>
      <c r="F442">
        <f>IF(E442="","",LOWER(SUBSTITUTE(SUBSTITUTE(SUBSTITUTE(SUBSTITUTE(SUBSTITUTE(SUBSTITUTE(SUBSTITUTE(TRIM(E442),":",""),",",""),"'",""),"&amp;","and"),"£",""),"  "," ")," ","-")))</f>
        <v/>
      </c>
      <c r="G442">
        <f>IF(B442="Cluster",$E$3,IF(B442="Supporting",INDEX($E$3:$E$553,MATCH(C442,$C$3:$C$553,0)),""))</f>
        <v/>
      </c>
      <c r="H442">
        <f>IF(B442="Supporting",IFERROR(INDEX($E$3:$E$553,1+Entity!$B$14+INDEX(Values!$O$3:$O$502,P442)),""),IF(B442="Cluster",IF(Entity!$B$14&lt;2,"",INDEX($E$3:$E$553,IF(A442-1=Entity!$B$14,2,A442+1))),""))</f>
        <v/>
      </c>
      <c r="I442">
        <f>IF(B442="Pillar",Entity!$B$14&amp;" cluster pages",IF(B442="Cluster",(COUNTIF($C$3:$C$553,SUBSTITUTE(SUBSTITUTE(C442,"?","~?"),"*","~*"))-1)&amp;" supporting pages",""))</f>
        <v/>
      </c>
      <c r="J442">
        <f>IF(B442="Pillar","Informational",IF(OR(B442="Cluster",B442="Supporting"),INDEX(Attributes!$D$3:$D$52,Q442)&amp;"",""))</f>
        <v/>
      </c>
      <c r="K442">
        <f>IF(B442="","",IF(B442="Pillar","Pillar guide (entity hub)",IF(B442="Cluster","Hub page for this attribute",IF(INDEX(Values!$C$3:$C$502,P442)="Yes","Entity page (profile of the sub-entity)",IFERROR(INDEX(Lists!$B$3:$B$6,MATCH(J442,Lists!$A$3:$A$6,0)),"Article")))))</f>
        <v/>
      </c>
      <c r="L442">
        <f>IF(B442="Pillar",Entity!$B$6&amp;"",IF(B442="Cluster",INDEX(Attributes!$I$3:$I$52,Q442)&amp;"",IF(B442="Supporting",INDEX(Values!$F$3:$F$502,P442)&amp;"","")))</f>
        <v/>
      </c>
      <c r="M442">
        <f>IF(B442="","",IF(L442&lt;&gt;"","Covered","Gap"))</f>
        <v/>
      </c>
      <c r="N442">
        <f>IF(B442="Pillar",SUMIFS(Values!$E$3:$E$502,Values!$I$3:$I$502,"Yes"),IF(B442="Cluster",SUMIFS(Values!$E$3:$E$502,Values!$A$3:$A$502,SUBSTITUTE(SUBSTITUTE(C442,"?","~?"),"*","~*"),Values!$I$3:$I$502,"Yes"),IF(B442="Supporting",N(INDEX(Values!$E$3:$E$502,P442)),"")))</f>
        <v/>
      </c>
      <c r="O442">
        <f>IF(B442="","",IF(B442="Pillar",100,IF(B442="Cluster",N(INDEX(Attributes!$E$3:$E$52,Q442))*25+IF(M442="Gap",10,0),N(INDEX(Attributes!$E$3:$E$52,Q442))*20+MIN(20,ROUND(LOG10(N(N442)+1)*5,0))+IF(M442="Gap",10,0)+IF(INDEX(Values!$D$3:$D$502,P442)="Yes",5,0))))</f>
        <v/>
      </c>
      <c r="P442">
        <f>IF(B442="Supporting",MATCH(A442-1-Entity!$B$14,Values!$J$3:$J$502,0),"")</f>
        <v/>
      </c>
      <c r="Q442">
        <f>IF(C442="","",MATCH(C442,Attributes!$A$3:$A$52,0))</f>
        <v/>
      </c>
      <c r="R442">
        <f>IF(B442="Pillar",SUBSTITUTE(Entity!$B$7,"{entity}",LOWER(Entity!$B$3)),IF(B442="Cluster",IF(INDEX(Attributes!$G$3:$G$52,Q442)&lt;&gt;"",INDEX(Attributes!$G$3:$G$52,Q442),SUBSTITUTE(SUBSTITUTE(Entity!$B$8,"{entity}",LOWER(Entity!$B$3)),"{attribute}",LOWER(C442))),IF(B442="Supporting",SUBSTITUTE(SUBSTITUTE(SUBSTITUTE(IF(INDEX(Attributes!$H$3:$H$52,Q442)&lt;&gt;"",INDEX(Attributes!$H$3:$H$52,Q442),Entity!$B$9),"{entity}",LOWER(Entity!$B$3)),"{value}",D442),"{attribute}",LOWER(C442)),"")))</f>
        <v/>
      </c>
    </row>
    <row r="443">
      <c r="A443">
        <f>ROW()-2</f>
        <v/>
      </c>
      <c r="B443">
        <f>IF(A443=1,"Pillar",IF(A443&lt;=1+Entity!$B$14,"Cluster",IF(A443&lt;=1+Entity!$B$14+Entity!$B$15,"Supporting","")))</f>
        <v/>
      </c>
      <c r="C443">
        <f>IF(B443="Cluster",INDEX(Attributes!$A$3:$A$52,MATCH(A443-1,Attributes!$P$3:$P$52,0)),IF(B443="Supporting",INDEX(Values!$A$3:$A$502,P443),""))</f>
        <v/>
      </c>
      <c r="D443">
        <f>IF(B443="Supporting",INDEX(Values!$B$3:$B$502,P443),"")</f>
        <v/>
      </c>
      <c r="E443">
        <f>IF(R443="","",UPPER(LEFT(R443,1))&amp;MID(R443,2,500))</f>
        <v/>
      </c>
      <c r="F443">
        <f>IF(E443="","",LOWER(SUBSTITUTE(SUBSTITUTE(SUBSTITUTE(SUBSTITUTE(SUBSTITUTE(SUBSTITUTE(SUBSTITUTE(TRIM(E443),":",""),",",""),"'",""),"&amp;","and"),"£",""),"  "," ")," ","-")))</f>
        <v/>
      </c>
      <c r="G443">
        <f>IF(B443="Cluster",$E$3,IF(B443="Supporting",INDEX($E$3:$E$553,MATCH(C443,$C$3:$C$553,0)),""))</f>
        <v/>
      </c>
      <c r="H443">
        <f>IF(B443="Supporting",IFERROR(INDEX($E$3:$E$553,1+Entity!$B$14+INDEX(Values!$O$3:$O$502,P443)),""),IF(B443="Cluster",IF(Entity!$B$14&lt;2,"",INDEX($E$3:$E$553,IF(A443-1=Entity!$B$14,2,A443+1))),""))</f>
        <v/>
      </c>
      <c r="I443">
        <f>IF(B443="Pillar",Entity!$B$14&amp;" cluster pages",IF(B443="Cluster",(COUNTIF($C$3:$C$553,SUBSTITUTE(SUBSTITUTE(C443,"?","~?"),"*","~*"))-1)&amp;" supporting pages",""))</f>
        <v/>
      </c>
      <c r="J443">
        <f>IF(B443="Pillar","Informational",IF(OR(B443="Cluster",B443="Supporting"),INDEX(Attributes!$D$3:$D$52,Q443)&amp;"",""))</f>
        <v/>
      </c>
      <c r="K443">
        <f>IF(B443="","",IF(B443="Pillar","Pillar guide (entity hub)",IF(B443="Cluster","Hub page for this attribute",IF(INDEX(Values!$C$3:$C$502,P443)="Yes","Entity page (profile of the sub-entity)",IFERROR(INDEX(Lists!$B$3:$B$6,MATCH(J443,Lists!$A$3:$A$6,0)),"Article")))))</f>
        <v/>
      </c>
      <c r="L443">
        <f>IF(B443="Pillar",Entity!$B$6&amp;"",IF(B443="Cluster",INDEX(Attributes!$I$3:$I$52,Q443)&amp;"",IF(B443="Supporting",INDEX(Values!$F$3:$F$502,P443)&amp;"","")))</f>
        <v/>
      </c>
      <c r="M443">
        <f>IF(B443="","",IF(L443&lt;&gt;"","Covered","Gap"))</f>
        <v/>
      </c>
      <c r="N443">
        <f>IF(B443="Pillar",SUMIFS(Values!$E$3:$E$502,Values!$I$3:$I$502,"Yes"),IF(B443="Cluster",SUMIFS(Values!$E$3:$E$502,Values!$A$3:$A$502,SUBSTITUTE(SUBSTITUTE(C443,"?","~?"),"*","~*"),Values!$I$3:$I$502,"Yes"),IF(B443="Supporting",N(INDEX(Values!$E$3:$E$502,P443)),"")))</f>
        <v/>
      </c>
      <c r="O443">
        <f>IF(B443="","",IF(B443="Pillar",100,IF(B443="Cluster",N(INDEX(Attributes!$E$3:$E$52,Q443))*25+IF(M443="Gap",10,0),N(INDEX(Attributes!$E$3:$E$52,Q443))*20+MIN(20,ROUND(LOG10(N(N443)+1)*5,0))+IF(M443="Gap",10,0)+IF(INDEX(Values!$D$3:$D$502,P443)="Yes",5,0))))</f>
        <v/>
      </c>
      <c r="P443">
        <f>IF(B443="Supporting",MATCH(A443-1-Entity!$B$14,Values!$J$3:$J$502,0),"")</f>
        <v/>
      </c>
      <c r="Q443">
        <f>IF(C443="","",MATCH(C443,Attributes!$A$3:$A$52,0))</f>
        <v/>
      </c>
      <c r="R443">
        <f>IF(B443="Pillar",SUBSTITUTE(Entity!$B$7,"{entity}",LOWER(Entity!$B$3)),IF(B443="Cluster",IF(INDEX(Attributes!$G$3:$G$52,Q443)&lt;&gt;"",INDEX(Attributes!$G$3:$G$52,Q443),SUBSTITUTE(SUBSTITUTE(Entity!$B$8,"{entity}",LOWER(Entity!$B$3)),"{attribute}",LOWER(C443))),IF(B443="Supporting",SUBSTITUTE(SUBSTITUTE(SUBSTITUTE(IF(INDEX(Attributes!$H$3:$H$52,Q443)&lt;&gt;"",INDEX(Attributes!$H$3:$H$52,Q443),Entity!$B$9),"{entity}",LOWER(Entity!$B$3)),"{value}",D443),"{attribute}",LOWER(C443)),"")))</f>
        <v/>
      </c>
    </row>
    <row r="444">
      <c r="A444">
        <f>ROW()-2</f>
        <v/>
      </c>
      <c r="B444">
        <f>IF(A444=1,"Pillar",IF(A444&lt;=1+Entity!$B$14,"Cluster",IF(A444&lt;=1+Entity!$B$14+Entity!$B$15,"Supporting","")))</f>
        <v/>
      </c>
      <c r="C444">
        <f>IF(B444="Cluster",INDEX(Attributes!$A$3:$A$52,MATCH(A444-1,Attributes!$P$3:$P$52,0)),IF(B444="Supporting",INDEX(Values!$A$3:$A$502,P444),""))</f>
        <v/>
      </c>
      <c r="D444">
        <f>IF(B444="Supporting",INDEX(Values!$B$3:$B$502,P444),"")</f>
        <v/>
      </c>
      <c r="E444">
        <f>IF(R444="","",UPPER(LEFT(R444,1))&amp;MID(R444,2,500))</f>
        <v/>
      </c>
      <c r="F444">
        <f>IF(E444="","",LOWER(SUBSTITUTE(SUBSTITUTE(SUBSTITUTE(SUBSTITUTE(SUBSTITUTE(SUBSTITUTE(SUBSTITUTE(TRIM(E444),":",""),",",""),"'",""),"&amp;","and"),"£",""),"  "," ")," ","-")))</f>
        <v/>
      </c>
      <c r="G444">
        <f>IF(B444="Cluster",$E$3,IF(B444="Supporting",INDEX($E$3:$E$553,MATCH(C444,$C$3:$C$553,0)),""))</f>
        <v/>
      </c>
      <c r="H444">
        <f>IF(B444="Supporting",IFERROR(INDEX($E$3:$E$553,1+Entity!$B$14+INDEX(Values!$O$3:$O$502,P444)),""),IF(B444="Cluster",IF(Entity!$B$14&lt;2,"",INDEX($E$3:$E$553,IF(A444-1=Entity!$B$14,2,A444+1))),""))</f>
        <v/>
      </c>
      <c r="I444">
        <f>IF(B444="Pillar",Entity!$B$14&amp;" cluster pages",IF(B444="Cluster",(COUNTIF($C$3:$C$553,SUBSTITUTE(SUBSTITUTE(C444,"?","~?"),"*","~*"))-1)&amp;" supporting pages",""))</f>
        <v/>
      </c>
      <c r="J444">
        <f>IF(B444="Pillar","Informational",IF(OR(B444="Cluster",B444="Supporting"),INDEX(Attributes!$D$3:$D$52,Q444)&amp;"",""))</f>
        <v/>
      </c>
      <c r="K444">
        <f>IF(B444="","",IF(B444="Pillar","Pillar guide (entity hub)",IF(B444="Cluster","Hub page for this attribute",IF(INDEX(Values!$C$3:$C$502,P444)="Yes","Entity page (profile of the sub-entity)",IFERROR(INDEX(Lists!$B$3:$B$6,MATCH(J444,Lists!$A$3:$A$6,0)),"Article")))))</f>
        <v/>
      </c>
      <c r="L444">
        <f>IF(B444="Pillar",Entity!$B$6&amp;"",IF(B444="Cluster",INDEX(Attributes!$I$3:$I$52,Q444)&amp;"",IF(B444="Supporting",INDEX(Values!$F$3:$F$502,P444)&amp;"","")))</f>
        <v/>
      </c>
      <c r="M444">
        <f>IF(B444="","",IF(L444&lt;&gt;"","Covered","Gap"))</f>
        <v/>
      </c>
      <c r="N444">
        <f>IF(B444="Pillar",SUMIFS(Values!$E$3:$E$502,Values!$I$3:$I$502,"Yes"),IF(B444="Cluster",SUMIFS(Values!$E$3:$E$502,Values!$A$3:$A$502,SUBSTITUTE(SUBSTITUTE(C444,"?","~?"),"*","~*"),Values!$I$3:$I$502,"Yes"),IF(B444="Supporting",N(INDEX(Values!$E$3:$E$502,P444)),"")))</f>
        <v/>
      </c>
      <c r="O444">
        <f>IF(B444="","",IF(B444="Pillar",100,IF(B444="Cluster",N(INDEX(Attributes!$E$3:$E$52,Q444))*25+IF(M444="Gap",10,0),N(INDEX(Attributes!$E$3:$E$52,Q444))*20+MIN(20,ROUND(LOG10(N(N444)+1)*5,0))+IF(M444="Gap",10,0)+IF(INDEX(Values!$D$3:$D$502,P444)="Yes",5,0))))</f>
        <v/>
      </c>
      <c r="P444">
        <f>IF(B444="Supporting",MATCH(A444-1-Entity!$B$14,Values!$J$3:$J$502,0),"")</f>
        <v/>
      </c>
      <c r="Q444">
        <f>IF(C444="","",MATCH(C444,Attributes!$A$3:$A$52,0))</f>
        <v/>
      </c>
      <c r="R444">
        <f>IF(B444="Pillar",SUBSTITUTE(Entity!$B$7,"{entity}",LOWER(Entity!$B$3)),IF(B444="Cluster",IF(INDEX(Attributes!$G$3:$G$52,Q444)&lt;&gt;"",INDEX(Attributes!$G$3:$G$52,Q444),SUBSTITUTE(SUBSTITUTE(Entity!$B$8,"{entity}",LOWER(Entity!$B$3)),"{attribute}",LOWER(C444))),IF(B444="Supporting",SUBSTITUTE(SUBSTITUTE(SUBSTITUTE(IF(INDEX(Attributes!$H$3:$H$52,Q444)&lt;&gt;"",INDEX(Attributes!$H$3:$H$52,Q444),Entity!$B$9),"{entity}",LOWER(Entity!$B$3)),"{value}",D444),"{attribute}",LOWER(C444)),"")))</f>
        <v/>
      </c>
    </row>
    <row r="445">
      <c r="A445">
        <f>ROW()-2</f>
        <v/>
      </c>
      <c r="B445">
        <f>IF(A445=1,"Pillar",IF(A445&lt;=1+Entity!$B$14,"Cluster",IF(A445&lt;=1+Entity!$B$14+Entity!$B$15,"Supporting","")))</f>
        <v/>
      </c>
      <c r="C445">
        <f>IF(B445="Cluster",INDEX(Attributes!$A$3:$A$52,MATCH(A445-1,Attributes!$P$3:$P$52,0)),IF(B445="Supporting",INDEX(Values!$A$3:$A$502,P445),""))</f>
        <v/>
      </c>
      <c r="D445">
        <f>IF(B445="Supporting",INDEX(Values!$B$3:$B$502,P445),"")</f>
        <v/>
      </c>
      <c r="E445">
        <f>IF(R445="","",UPPER(LEFT(R445,1))&amp;MID(R445,2,500))</f>
        <v/>
      </c>
      <c r="F445">
        <f>IF(E445="","",LOWER(SUBSTITUTE(SUBSTITUTE(SUBSTITUTE(SUBSTITUTE(SUBSTITUTE(SUBSTITUTE(SUBSTITUTE(TRIM(E445),":",""),",",""),"'",""),"&amp;","and"),"£",""),"  "," ")," ","-")))</f>
        <v/>
      </c>
      <c r="G445">
        <f>IF(B445="Cluster",$E$3,IF(B445="Supporting",INDEX($E$3:$E$553,MATCH(C445,$C$3:$C$553,0)),""))</f>
        <v/>
      </c>
      <c r="H445">
        <f>IF(B445="Supporting",IFERROR(INDEX($E$3:$E$553,1+Entity!$B$14+INDEX(Values!$O$3:$O$502,P445)),""),IF(B445="Cluster",IF(Entity!$B$14&lt;2,"",INDEX($E$3:$E$553,IF(A445-1=Entity!$B$14,2,A445+1))),""))</f>
        <v/>
      </c>
      <c r="I445">
        <f>IF(B445="Pillar",Entity!$B$14&amp;" cluster pages",IF(B445="Cluster",(COUNTIF($C$3:$C$553,SUBSTITUTE(SUBSTITUTE(C445,"?","~?"),"*","~*"))-1)&amp;" supporting pages",""))</f>
        <v/>
      </c>
      <c r="J445">
        <f>IF(B445="Pillar","Informational",IF(OR(B445="Cluster",B445="Supporting"),INDEX(Attributes!$D$3:$D$52,Q445)&amp;"",""))</f>
        <v/>
      </c>
      <c r="K445">
        <f>IF(B445="","",IF(B445="Pillar","Pillar guide (entity hub)",IF(B445="Cluster","Hub page for this attribute",IF(INDEX(Values!$C$3:$C$502,P445)="Yes","Entity page (profile of the sub-entity)",IFERROR(INDEX(Lists!$B$3:$B$6,MATCH(J445,Lists!$A$3:$A$6,0)),"Article")))))</f>
        <v/>
      </c>
      <c r="L445">
        <f>IF(B445="Pillar",Entity!$B$6&amp;"",IF(B445="Cluster",INDEX(Attributes!$I$3:$I$52,Q445)&amp;"",IF(B445="Supporting",INDEX(Values!$F$3:$F$502,P445)&amp;"","")))</f>
        <v/>
      </c>
      <c r="M445">
        <f>IF(B445="","",IF(L445&lt;&gt;"","Covered","Gap"))</f>
        <v/>
      </c>
      <c r="N445">
        <f>IF(B445="Pillar",SUMIFS(Values!$E$3:$E$502,Values!$I$3:$I$502,"Yes"),IF(B445="Cluster",SUMIFS(Values!$E$3:$E$502,Values!$A$3:$A$502,SUBSTITUTE(SUBSTITUTE(C445,"?","~?"),"*","~*"),Values!$I$3:$I$502,"Yes"),IF(B445="Supporting",N(INDEX(Values!$E$3:$E$502,P445)),"")))</f>
        <v/>
      </c>
      <c r="O445">
        <f>IF(B445="","",IF(B445="Pillar",100,IF(B445="Cluster",N(INDEX(Attributes!$E$3:$E$52,Q445))*25+IF(M445="Gap",10,0),N(INDEX(Attributes!$E$3:$E$52,Q445))*20+MIN(20,ROUND(LOG10(N(N445)+1)*5,0))+IF(M445="Gap",10,0)+IF(INDEX(Values!$D$3:$D$502,P445)="Yes",5,0))))</f>
        <v/>
      </c>
      <c r="P445">
        <f>IF(B445="Supporting",MATCH(A445-1-Entity!$B$14,Values!$J$3:$J$502,0),"")</f>
        <v/>
      </c>
      <c r="Q445">
        <f>IF(C445="","",MATCH(C445,Attributes!$A$3:$A$52,0))</f>
        <v/>
      </c>
      <c r="R445">
        <f>IF(B445="Pillar",SUBSTITUTE(Entity!$B$7,"{entity}",LOWER(Entity!$B$3)),IF(B445="Cluster",IF(INDEX(Attributes!$G$3:$G$52,Q445)&lt;&gt;"",INDEX(Attributes!$G$3:$G$52,Q445),SUBSTITUTE(SUBSTITUTE(Entity!$B$8,"{entity}",LOWER(Entity!$B$3)),"{attribute}",LOWER(C445))),IF(B445="Supporting",SUBSTITUTE(SUBSTITUTE(SUBSTITUTE(IF(INDEX(Attributes!$H$3:$H$52,Q445)&lt;&gt;"",INDEX(Attributes!$H$3:$H$52,Q445),Entity!$B$9),"{entity}",LOWER(Entity!$B$3)),"{value}",D445),"{attribute}",LOWER(C445)),"")))</f>
        <v/>
      </c>
    </row>
    <row r="446">
      <c r="A446">
        <f>ROW()-2</f>
        <v/>
      </c>
      <c r="B446">
        <f>IF(A446=1,"Pillar",IF(A446&lt;=1+Entity!$B$14,"Cluster",IF(A446&lt;=1+Entity!$B$14+Entity!$B$15,"Supporting","")))</f>
        <v/>
      </c>
      <c r="C446">
        <f>IF(B446="Cluster",INDEX(Attributes!$A$3:$A$52,MATCH(A446-1,Attributes!$P$3:$P$52,0)),IF(B446="Supporting",INDEX(Values!$A$3:$A$502,P446),""))</f>
        <v/>
      </c>
      <c r="D446">
        <f>IF(B446="Supporting",INDEX(Values!$B$3:$B$502,P446),"")</f>
        <v/>
      </c>
      <c r="E446">
        <f>IF(R446="","",UPPER(LEFT(R446,1))&amp;MID(R446,2,500))</f>
        <v/>
      </c>
      <c r="F446">
        <f>IF(E446="","",LOWER(SUBSTITUTE(SUBSTITUTE(SUBSTITUTE(SUBSTITUTE(SUBSTITUTE(SUBSTITUTE(SUBSTITUTE(TRIM(E446),":",""),",",""),"'",""),"&amp;","and"),"£",""),"  "," ")," ","-")))</f>
        <v/>
      </c>
      <c r="G446">
        <f>IF(B446="Cluster",$E$3,IF(B446="Supporting",INDEX($E$3:$E$553,MATCH(C446,$C$3:$C$553,0)),""))</f>
        <v/>
      </c>
      <c r="H446">
        <f>IF(B446="Supporting",IFERROR(INDEX($E$3:$E$553,1+Entity!$B$14+INDEX(Values!$O$3:$O$502,P446)),""),IF(B446="Cluster",IF(Entity!$B$14&lt;2,"",INDEX($E$3:$E$553,IF(A446-1=Entity!$B$14,2,A446+1))),""))</f>
        <v/>
      </c>
      <c r="I446">
        <f>IF(B446="Pillar",Entity!$B$14&amp;" cluster pages",IF(B446="Cluster",(COUNTIF($C$3:$C$553,SUBSTITUTE(SUBSTITUTE(C446,"?","~?"),"*","~*"))-1)&amp;" supporting pages",""))</f>
        <v/>
      </c>
      <c r="J446">
        <f>IF(B446="Pillar","Informational",IF(OR(B446="Cluster",B446="Supporting"),INDEX(Attributes!$D$3:$D$52,Q446)&amp;"",""))</f>
        <v/>
      </c>
      <c r="K446">
        <f>IF(B446="","",IF(B446="Pillar","Pillar guide (entity hub)",IF(B446="Cluster","Hub page for this attribute",IF(INDEX(Values!$C$3:$C$502,P446)="Yes","Entity page (profile of the sub-entity)",IFERROR(INDEX(Lists!$B$3:$B$6,MATCH(J446,Lists!$A$3:$A$6,0)),"Article")))))</f>
        <v/>
      </c>
      <c r="L446">
        <f>IF(B446="Pillar",Entity!$B$6&amp;"",IF(B446="Cluster",INDEX(Attributes!$I$3:$I$52,Q446)&amp;"",IF(B446="Supporting",INDEX(Values!$F$3:$F$502,P446)&amp;"","")))</f>
        <v/>
      </c>
      <c r="M446">
        <f>IF(B446="","",IF(L446&lt;&gt;"","Covered","Gap"))</f>
        <v/>
      </c>
      <c r="N446">
        <f>IF(B446="Pillar",SUMIFS(Values!$E$3:$E$502,Values!$I$3:$I$502,"Yes"),IF(B446="Cluster",SUMIFS(Values!$E$3:$E$502,Values!$A$3:$A$502,SUBSTITUTE(SUBSTITUTE(C446,"?","~?"),"*","~*"),Values!$I$3:$I$502,"Yes"),IF(B446="Supporting",N(INDEX(Values!$E$3:$E$502,P446)),"")))</f>
        <v/>
      </c>
      <c r="O446">
        <f>IF(B446="","",IF(B446="Pillar",100,IF(B446="Cluster",N(INDEX(Attributes!$E$3:$E$52,Q446))*25+IF(M446="Gap",10,0),N(INDEX(Attributes!$E$3:$E$52,Q446))*20+MIN(20,ROUND(LOG10(N(N446)+1)*5,0))+IF(M446="Gap",10,0)+IF(INDEX(Values!$D$3:$D$502,P446)="Yes",5,0))))</f>
        <v/>
      </c>
      <c r="P446">
        <f>IF(B446="Supporting",MATCH(A446-1-Entity!$B$14,Values!$J$3:$J$502,0),"")</f>
        <v/>
      </c>
      <c r="Q446">
        <f>IF(C446="","",MATCH(C446,Attributes!$A$3:$A$52,0))</f>
        <v/>
      </c>
      <c r="R446">
        <f>IF(B446="Pillar",SUBSTITUTE(Entity!$B$7,"{entity}",LOWER(Entity!$B$3)),IF(B446="Cluster",IF(INDEX(Attributes!$G$3:$G$52,Q446)&lt;&gt;"",INDEX(Attributes!$G$3:$G$52,Q446),SUBSTITUTE(SUBSTITUTE(Entity!$B$8,"{entity}",LOWER(Entity!$B$3)),"{attribute}",LOWER(C446))),IF(B446="Supporting",SUBSTITUTE(SUBSTITUTE(SUBSTITUTE(IF(INDEX(Attributes!$H$3:$H$52,Q446)&lt;&gt;"",INDEX(Attributes!$H$3:$H$52,Q446),Entity!$B$9),"{entity}",LOWER(Entity!$B$3)),"{value}",D446),"{attribute}",LOWER(C446)),"")))</f>
        <v/>
      </c>
    </row>
    <row r="447">
      <c r="A447">
        <f>ROW()-2</f>
        <v/>
      </c>
      <c r="B447">
        <f>IF(A447=1,"Pillar",IF(A447&lt;=1+Entity!$B$14,"Cluster",IF(A447&lt;=1+Entity!$B$14+Entity!$B$15,"Supporting","")))</f>
        <v/>
      </c>
      <c r="C447">
        <f>IF(B447="Cluster",INDEX(Attributes!$A$3:$A$52,MATCH(A447-1,Attributes!$P$3:$P$52,0)),IF(B447="Supporting",INDEX(Values!$A$3:$A$502,P447),""))</f>
        <v/>
      </c>
      <c r="D447">
        <f>IF(B447="Supporting",INDEX(Values!$B$3:$B$502,P447),"")</f>
        <v/>
      </c>
      <c r="E447">
        <f>IF(R447="","",UPPER(LEFT(R447,1))&amp;MID(R447,2,500))</f>
        <v/>
      </c>
      <c r="F447">
        <f>IF(E447="","",LOWER(SUBSTITUTE(SUBSTITUTE(SUBSTITUTE(SUBSTITUTE(SUBSTITUTE(SUBSTITUTE(SUBSTITUTE(TRIM(E447),":",""),",",""),"'",""),"&amp;","and"),"£",""),"  "," ")," ","-")))</f>
        <v/>
      </c>
      <c r="G447">
        <f>IF(B447="Cluster",$E$3,IF(B447="Supporting",INDEX($E$3:$E$553,MATCH(C447,$C$3:$C$553,0)),""))</f>
        <v/>
      </c>
      <c r="H447">
        <f>IF(B447="Supporting",IFERROR(INDEX($E$3:$E$553,1+Entity!$B$14+INDEX(Values!$O$3:$O$502,P447)),""),IF(B447="Cluster",IF(Entity!$B$14&lt;2,"",INDEX($E$3:$E$553,IF(A447-1=Entity!$B$14,2,A447+1))),""))</f>
        <v/>
      </c>
      <c r="I447">
        <f>IF(B447="Pillar",Entity!$B$14&amp;" cluster pages",IF(B447="Cluster",(COUNTIF($C$3:$C$553,SUBSTITUTE(SUBSTITUTE(C447,"?","~?"),"*","~*"))-1)&amp;" supporting pages",""))</f>
        <v/>
      </c>
      <c r="J447">
        <f>IF(B447="Pillar","Informational",IF(OR(B447="Cluster",B447="Supporting"),INDEX(Attributes!$D$3:$D$52,Q447)&amp;"",""))</f>
        <v/>
      </c>
      <c r="K447">
        <f>IF(B447="","",IF(B447="Pillar","Pillar guide (entity hub)",IF(B447="Cluster","Hub page for this attribute",IF(INDEX(Values!$C$3:$C$502,P447)="Yes","Entity page (profile of the sub-entity)",IFERROR(INDEX(Lists!$B$3:$B$6,MATCH(J447,Lists!$A$3:$A$6,0)),"Article")))))</f>
        <v/>
      </c>
      <c r="L447">
        <f>IF(B447="Pillar",Entity!$B$6&amp;"",IF(B447="Cluster",INDEX(Attributes!$I$3:$I$52,Q447)&amp;"",IF(B447="Supporting",INDEX(Values!$F$3:$F$502,P447)&amp;"","")))</f>
        <v/>
      </c>
      <c r="M447">
        <f>IF(B447="","",IF(L447&lt;&gt;"","Covered","Gap"))</f>
        <v/>
      </c>
      <c r="N447">
        <f>IF(B447="Pillar",SUMIFS(Values!$E$3:$E$502,Values!$I$3:$I$502,"Yes"),IF(B447="Cluster",SUMIFS(Values!$E$3:$E$502,Values!$A$3:$A$502,SUBSTITUTE(SUBSTITUTE(C447,"?","~?"),"*","~*"),Values!$I$3:$I$502,"Yes"),IF(B447="Supporting",N(INDEX(Values!$E$3:$E$502,P447)),"")))</f>
        <v/>
      </c>
      <c r="O447">
        <f>IF(B447="","",IF(B447="Pillar",100,IF(B447="Cluster",N(INDEX(Attributes!$E$3:$E$52,Q447))*25+IF(M447="Gap",10,0),N(INDEX(Attributes!$E$3:$E$52,Q447))*20+MIN(20,ROUND(LOG10(N(N447)+1)*5,0))+IF(M447="Gap",10,0)+IF(INDEX(Values!$D$3:$D$502,P447)="Yes",5,0))))</f>
        <v/>
      </c>
      <c r="P447">
        <f>IF(B447="Supporting",MATCH(A447-1-Entity!$B$14,Values!$J$3:$J$502,0),"")</f>
        <v/>
      </c>
      <c r="Q447">
        <f>IF(C447="","",MATCH(C447,Attributes!$A$3:$A$52,0))</f>
        <v/>
      </c>
      <c r="R447">
        <f>IF(B447="Pillar",SUBSTITUTE(Entity!$B$7,"{entity}",LOWER(Entity!$B$3)),IF(B447="Cluster",IF(INDEX(Attributes!$G$3:$G$52,Q447)&lt;&gt;"",INDEX(Attributes!$G$3:$G$52,Q447),SUBSTITUTE(SUBSTITUTE(Entity!$B$8,"{entity}",LOWER(Entity!$B$3)),"{attribute}",LOWER(C447))),IF(B447="Supporting",SUBSTITUTE(SUBSTITUTE(SUBSTITUTE(IF(INDEX(Attributes!$H$3:$H$52,Q447)&lt;&gt;"",INDEX(Attributes!$H$3:$H$52,Q447),Entity!$B$9),"{entity}",LOWER(Entity!$B$3)),"{value}",D447),"{attribute}",LOWER(C447)),"")))</f>
        <v/>
      </c>
    </row>
    <row r="448">
      <c r="A448">
        <f>ROW()-2</f>
        <v/>
      </c>
      <c r="B448">
        <f>IF(A448=1,"Pillar",IF(A448&lt;=1+Entity!$B$14,"Cluster",IF(A448&lt;=1+Entity!$B$14+Entity!$B$15,"Supporting","")))</f>
        <v/>
      </c>
      <c r="C448">
        <f>IF(B448="Cluster",INDEX(Attributes!$A$3:$A$52,MATCH(A448-1,Attributes!$P$3:$P$52,0)),IF(B448="Supporting",INDEX(Values!$A$3:$A$502,P448),""))</f>
        <v/>
      </c>
      <c r="D448">
        <f>IF(B448="Supporting",INDEX(Values!$B$3:$B$502,P448),"")</f>
        <v/>
      </c>
      <c r="E448">
        <f>IF(R448="","",UPPER(LEFT(R448,1))&amp;MID(R448,2,500))</f>
        <v/>
      </c>
      <c r="F448">
        <f>IF(E448="","",LOWER(SUBSTITUTE(SUBSTITUTE(SUBSTITUTE(SUBSTITUTE(SUBSTITUTE(SUBSTITUTE(SUBSTITUTE(TRIM(E448),":",""),",",""),"'",""),"&amp;","and"),"£",""),"  "," ")," ","-")))</f>
        <v/>
      </c>
      <c r="G448">
        <f>IF(B448="Cluster",$E$3,IF(B448="Supporting",INDEX($E$3:$E$553,MATCH(C448,$C$3:$C$553,0)),""))</f>
        <v/>
      </c>
      <c r="H448">
        <f>IF(B448="Supporting",IFERROR(INDEX($E$3:$E$553,1+Entity!$B$14+INDEX(Values!$O$3:$O$502,P448)),""),IF(B448="Cluster",IF(Entity!$B$14&lt;2,"",INDEX($E$3:$E$553,IF(A448-1=Entity!$B$14,2,A448+1))),""))</f>
        <v/>
      </c>
      <c r="I448">
        <f>IF(B448="Pillar",Entity!$B$14&amp;" cluster pages",IF(B448="Cluster",(COUNTIF($C$3:$C$553,SUBSTITUTE(SUBSTITUTE(C448,"?","~?"),"*","~*"))-1)&amp;" supporting pages",""))</f>
        <v/>
      </c>
      <c r="J448">
        <f>IF(B448="Pillar","Informational",IF(OR(B448="Cluster",B448="Supporting"),INDEX(Attributes!$D$3:$D$52,Q448)&amp;"",""))</f>
        <v/>
      </c>
      <c r="K448">
        <f>IF(B448="","",IF(B448="Pillar","Pillar guide (entity hub)",IF(B448="Cluster","Hub page for this attribute",IF(INDEX(Values!$C$3:$C$502,P448)="Yes","Entity page (profile of the sub-entity)",IFERROR(INDEX(Lists!$B$3:$B$6,MATCH(J448,Lists!$A$3:$A$6,0)),"Article")))))</f>
        <v/>
      </c>
      <c r="L448">
        <f>IF(B448="Pillar",Entity!$B$6&amp;"",IF(B448="Cluster",INDEX(Attributes!$I$3:$I$52,Q448)&amp;"",IF(B448="Supporting",INDEX(Values!$F$3:$F$502,P448)&amp;"","")))</f>
        <v/>
      </c>
      <c r="M448">
        <f>IF(B448="","",IF(L448&lt;&gt;"","Covered","Gap"))</f>
        <v/>
      </c>
      <c r="N448">
        <f>IF(B448="Pillar",SUMIFS(Values!$E$3:$E$502,Values!$I$3:$I$502,"Yes"),IF(B448="Cluster",SUMIFS(Values!$E$3:$E$502,Values!$A$3:$A$502,SUBSTITUTE(SUBSTITUTE(C448,"?","~?"),"*","~*"),Values!$I$3:$I$502,"Yes"),IF(B448="Supporting",N(INDEX(Values!$E$3:$E$502,P448)),"")))</f>
        <v/>
      </c>
      <c r="O448">
        <f>IF(B448="","",IF(B448="Pillar",100,IF(B448="Cluster",N(INDEX(Attributes!$E$3:$E$52,Q448))*25+IF(M448="Gap",10,0),N(INDEX(Attributes!$E$3:$E$52,Q448))*20+MIN(20,ROUND(LOG10(N(N448)+1)*5,0))+IF(M448="Gap",10,0)+IF(INDEX(Values!$D$3:$D$502,P448)="Yes",5,0))))</f>
        <v/>
      </c>
      <c r="P448">
        <f>IF(B448="Supporting",MATCH(A448-1-Entity!$B$14,Values!$J$3:$J$502,0),"")</f>
        <v/>
      </c>
      <c r="Q448">
        <f>IF(C448="","",MATCH(C448,Attributes!$A$3:$A$52,0))</f>
        <v/>
      </c>
      <c r="R448">
        <f>IF(B448="Pillar",SUBSTITUTE(Entity!$B$7,"{entity}",LOWER(Entity!$B$3)),IF(B448="Cluster",IF(INDEX(Attributes!$G$3:$G$52,Q448)&lt;&gt;"",INDEX(Attributes!$G$3:$G$52,Q448),SUBSTITUTE(SUBSTITUTE(Entity!$B$8,"{entity}",LOWER(Entity!$B$3)),"{attribute}",LOWER(C448))),IF(B448="Supporting",SUBSTITUTE(SUBSTITUTE(SUBSTITUTE(IF(INDEX(Attributes!$H$3:$H$52,Q448)&lt;&gt;"",INDEX(Attributes!$H$3:$H$52,Q448),Entity!$B$9),"{entity}",LOWER(Entity!$B$3)),"{value}",D448),"{attribute}",LOWER(C448)),"")))</f>
        <v/>
      </c>
    </row>
    <row r="449">
      <c r="A449">
        <f>ROW()-2</f>
        <v/>
      </c>
      <c r="B449">
        <f>IF(A449=1,"Pillar",IF(A449&lt;=1+Entity!$B$14,"Cluster",IF(A449&lt;=1+Entity!$B$14+Entity!$B$15,"Supporting","")))</f>
        <v/>
      </c>
      <c r="C449">
        <f>IF(B449="Cluster",INDEX(Attributes!$A$3:$A$52,MATCH(A449-1,Attributes!$P$3:$P$52,0)),IF(B449="Supporting",INDEX(Values!$A$3:$A$502,P449),""))</f>
        <v/>
      </c>
      <c r="D449">
        <f>IF(B449="Supporting",INDEX(Values!$B$3:$B$502,P449),"")</f>
        <v/>
      </c>
      <c r="E449">
        <f>IF(R449="","",UPPER(LEFT(R449,1))&amp;MID(R449,2,500))</f>
        <v/>
      </c>
      <c r="F449">
        <f>IF(E449="","",LOWER(SUBSTITUTE(SUBSTITUTE(SUBSTITUTE(SUBSTITUTE(SUBSTITUTE(SUBSTITUTE(SUBSTITUTE(TRIM(E449),":",""),",",""),"'",""),"&amp;","and"),"£",""),"  "," ")," ","-")))</f>
        <v/>
      </c>
      <c r="G449">
        <f>IF(B449="Cluster",$E$3,IF(B449="Supporting",INDEX($E$3:$E$553,MATCH(C449,$C$3:$C$553,0)),""))</f>
        <v/>
      </c>
      <c r="H449">
        <f>IF(B449="Supporting",IFERROR(INDEX($E$3:$E$553,1+Entity!$B$14+INDEX(Values!$O$3:$O$502,P449)),""),IF(B449="Cluster",IF(Entity!$B$14&lt;2,"",INDEX($E$3:$E$553,IF(A449-1=Entity!$B$14,2,A449+1))),""))</f>
        <v/>
      </c>
      <c r="I449">
        <f>IF(B449="Pillar",Entity!$B$14&amp;" cluster pages",IF(B449="Cluster",(COUNTIF($C$3:$C$553,SUBSTITUTE(SUBSTITUTE(C449,"?","~?"),"*","~*"))-1)&amp;" supporting pages",""))</f>
        <v/>
      </c>
      <c r="J449">
        <f>IF(B449="Pillar","Informational",IF(OR(B449="Cluster",B449="Supporting"),INDEX(Attributes!$D$3:$D$52,Q449)&amp;"",""))</f>
        <v/>
      </c>
      <c r="K449">
        <f>IF(B449="","",IF(B449="Pillar","Pillar guide (entity hub)",IF(B449="Cluster","Hub page for this attribute",IF(INDEX(Values!$C$3:$C$502,P449)="Yes","Entity page (profile of the sub-entity)",IFERROR(INDEX(Lists!$B$3:$B$6,MATCH(J449,Lists!$A$3:$A$6,0)),"Article")))))</f>
        <v/>
      </c>
      <c r="L449">
        <f>IF(B449="Pillar",Entity!$B$6&amp;"",IF(B449="Cluster",INDEX(Attributes!$I$3:$I$52,Q449)&amp;"",IF(B449="Supporting",INDEX(Values!$F$3:$F$502,P449)&amp;"","")))</f>
        <v/>
      </c>
      <c r="M449">
        <f>IF(B449="","",IF(L449&lt;&gt;"","Covered","Gap"))</f>
        <v/>
      </c>
      <c r="N449">
        <f>IF(B449="Pillar",SUMIFS(Values!$E$3:$E$502,Values!$I$3:$I$502,"Yes"),IF(B449="Cluster",SUMIFS(Values!$E$3:$E$502,Values!$A$3:$A$502,SUBSTITUTE(SUBSTITUTE(C449,"?","~?"),"*","~*"),Values!$I$3:$I$502,"Yes"),IF(B449="Supporting",N(INDEX(Values!$E$3:$E$502,P449)),"")))</f>
        <v/>
      </c>
      <c r="O449">
        <f>IF(B449="","",IF(B449="Pillar",100,IF(B449="Cluster",N(INDEX(Attributes!$E$3:$E$52,Q449))*25+IF(M449="Gap",10,0),N(INDEX(Attributes!$E$3:$E$52,Q449))*20+MIN(20,ROUND(LOG10(N(N449)+1)*5,0))+IF(M449="Gap",10,0)+IF(INDEX(Values!$D$3:$D$502,P449)="Yes",5,0))))</f>
        <v/>
      </c>
      <c r="P449">
        <f>IF(B449="Supporting",MATCH(A449-1-Entity!$B$14,Values!$J$3:$J$502,0),"")</f>
        <v/>
      </c>
      <c r="Q449">
        <f>IF(C449="","",MATCH(C449,Attributes!$A$3:$A$52,0))</f>
        <v/>
      </c>
      <c r="R449">
        <f>IF(B449="Pillar",SUBSTITUTE(Entity!$B$7,"{entity}",LOWER(Entity!$B$3)),IF(B449="Cluster",IF(INDEX(Attributes!$G$3:$G$52,Q449)&lt;&gt;"",INDEX(Attributes!$G$3:$G$52,Q449),SUBSTITUTE(SUBSTITUTE(Entity!$B$8,"{entity}",LOWER(Entity!$B$3)),"{attribute}",LOWER(C449))),IF(B449="Supporting",SUBSTITUTE(SUBSTITUTE(SUBSTITUTE(IF(INDEX(Attributes!$H$3:$H$52,Q449)&lt;&gt;"",INDEX(Attributes!$H$3:$H$52,Q449),Entity!$B$9),"{entity}",LOWER(Entity!$B$3)),"{value}",D449),"{attribute}",LOWER(C449)),"")))</f>
        <v/>
      </c>
    </row>
    <row r="450">
      <c r="A450">
        <f>ROW()-2</f>
        <v/>
      </c>
      <c r="B450">
        <f>IF(A450=1,"Pillar",IF(A450&lt;=1+Entity!$B$14,"Cluster",IF(A450&lt;=1+Entity!$B$14+Entity!$B$15,"Supporting","")))</f>
        <v/>
      </c>
      <c r="C450">
        <f>IF(B450="Cluster",INDEX(Attributes!$A$3:$A$52,MATCH(A450-1,Attributes!$P$3:$P$52,0)),IF(B450="Supporting",INDEX(Values!$A$3:$A$502,P450),""))</f>
        <v/>
      </c>
      <c r="D450">
        <f>IF(B450="Supporting",INDEX(Values!$B$3:$B$502,P450),"")</f>
        <v/>
      </c>
      <c r="E450">
        <f>IF(R450="","",UPPER(LEFT(R450,1))&amp;MID(R450,2,500))</f>
        <v/>
      </c>
      <c r="F450">
        <f>IF(E450="","",LOWER(SUBSTITUTE(SUBSTITUTE(SUBSTITUTE(SUBSTITUTE(SUBSTITUTE(SUBSTITUTE(SUBSTITUTE(TRIM(E450),":",""),",",""),"'",""),"&amp;","and"),"£",""),"  "," ")," ","-")))</f>
        <v/>
      </c>
      <c r="G450">
        <f>IF(B450="Cluster",$E$3,IF(B450="Supporting",INDEX($E$3:$E$553,MATCH(C450,$C$3:$C$553,0)),""))</f>
        <v/>
      </c>
      <c r="H450">
        <f>IF(B450="Supporting",IFERROR(INDEX($E$3:$E$553,1+Entity!$B$14+INDEX(Values!$O$3:$O$502,P450)),""),IF(B450="Cluster",IF(Entity!$B$14&lt;2,"",INDEX($E$3:$E$553,IF(A450-1=Entity!$B$14,2,A450+1))),""))</f>
        <v/>
      </c>
      <c r="I450">
        <f>IF(B450="Pillar",Entity!$B$14&amp;" cluster pages",IF(B450="Cluster",(COUNTIF($C$3:$C$553,SUBSTITUTE(SUBSTITUTE(C450,"?","~?"),"*","~*"))-1)&amp;" supporting pages",""))</f>
        <v/>
      </c>
      <c r="J450">
        <f>IF(B450="Pillar","Informational",IF(OR(B450="Cluster",B450="Supporting"),INDEX(Attributes!$D$3:$D$52,Q450)&amp;"",""))</f>
        <v/>
      </c>
      <c r="K450">
        <f>IF(B450="","",IF(B450="Pillar","Pillar guide (entity hub)",IF(B450="Cluster","Hub page for this attribute",IF(INDEX(Values!$C$3:$C$502,P450)="Yes","Entity page (profile of the sub-entity)",IFERROR(INDEX(Lists!$B$3:$B$6,MATCH(J450,Lists!$A$3:$A$6,0)),"Article")))))</f>
        <v/>
      </c>
      <c r="L450">
        <f>IF(B450="Pillar",Entity!$B$6&amp;"",IF(B450="Cluster",INDEX(Attributes!$I$3:$I$52,Q450)&amp;"",IF(B450="Supporting",INDEX(Values!$F$3:$F$502,P450)&amp;"","")))</f>
        <v/>
      </c>
      <c r="M450">
        <f>IF(B450="","",IF(L450&lt;&gt;"","Covered","Gap"))</f>
        <v/>
      </c>
      <c r="N450">
        <f>IF(B450="Pillar",SUMIFS(Values!$E$3:$E$502,Values!$I$3:$I$502,"Yes"),IF(B450="Cluster",SUMIFS(Values!$E$3:$E$502,Values!$A$3:$A$502,SUBSTITUTE(SUBSTITUTE(C450,"?","~?"),"*","~*"),Values!$I$3:$I$502,"Yes"),IF(B450="Supporting",N(INDEX(Values!$E$3:$E$502,P450)),"")))</f>
        <v/>
      </c>
      <c r="O450">
        <f>IF(B450="","",IF(B450="Pillar",100,IF(B450="Cluster",N(INDEX(Attributes!$E$3:$E$52,Q450))*25+IF(M450="Gap",10,0),N(INDEX(Attributes!$E$3:$E$52,Q450))*20+MIN(20,ROUND(LOG10(N(N450)+1)*5,0))+IF(M450="Gap",10,0)+IF(INDEX(Values!$D$3:$D$502,P450)="Yes",5,0))))</f>
        <v/>
      </c>
      <c r="P450">
        <f>IF(B450="Supporting",MATCH(A450-1-Entity!$B$14,Values!$J$3:$J$502,0),"")</f>
        <v/>
      </c>
      <c r="Q450">
        <f>IF(C450="","",MATCH(C450,Attributes!$A$3:$A$52,0))</f>
        <v/>
      </c>
      <c r="R450">
        <f>IF(B450="Pillar",SUBSTITUTE(Entity!$B$7,"{entity}",LOWER(Entity!$B$3)),IF(B450="Cluster",IF(INDEX(Attributes!$G$3:$G$52,Q450)&lt;&gt;"",INDEX(Attributes!$G$3:$G$52,Q450),SUBSTITUTE(SUBSTITUTE(Entity!$B$8,"{entity}",LOWER(Entity!$B$3)),"{attribute}",LOWER(C450))),IF(B450="Supporting",SUBSTITUTE(SUBSTITUTE(SUBSTITUTE(IF(INDEX(Attributes!$H$3:$H$52,Q450)&lt;&gt;"",INDEX(Attributes!$H$3:$H$52,Q450),Entity!$B$9),"{entity}",LOWER(Entity!$B$3)),"{value}",D450),"{attribute}",LOWER(C450)),"")))</f>
        <v/>
      </c>
    </row>
    <row r="451">
      <c r="A451">
        <f>ROW()-2</f>
        <v/>
      </c>
      <c r="B451">
        <f>IF(A451=1,"Pillar",IF(A451&lt;=1+Entity!$B$14,"Cluster",IF(A451&lt;=1+Entity!$B$14+Entity!$B$15,"Supporting","")))</f>
        <v/>
      </c>
      <c r="C451">
        <f>IF(B451="Cluster",INDEX(Attributes!$A$3:$A$52,MATCH(A451-1,Attributes!$P$3:$P$52,0)),IF(B451="Supporting",INDEX(Values!$A$3:$A$502,P451),""))</f>
        <v/>
      </c>
      <c r="D451">
        <f>IF(B451="Supporting",INDEX(Values!$B$3:$B$502,P451),"")</f>
        <v/>
      </c>
      <c r="E451">
        <f>IF(R451="","",UPPER(LEFT(R451,1))&amp;MID(R451,2,500))</f>
        <v/>
      </c>
      <c r="F451">
        <f>IF(E451="","",LOWER(SUBSTITUTE(SUBSTITUTE(SUBSTITUTE(SUBSTITUTE(SUBSTITUTE(SUBSTITUTE(SUBSTITUTE(TRIM(E451),":",""),",",""),"'",""),"&amp;","and"),"£",""),"  "," ")," ","-")))</f>
        <v/>
      </c>
      <c r="G451">
        <f>IF(B451="Cluster",$E$3,IF(B451="Supporting",INDEX($E$3:$E$553,MATCH(C451,$C$3:$C$553,0)),""))</f>
        <v/>
      </c>
      <c r="H451">
        <f>IF(B451="Supporting",IFERROR(INDEX($E$3:$E$553,1+Entity!$B$14+INDEX(Values!$O$3:$O$502,P451)),""),IF(B451="Cluster",IF(Entity!$B$14&lt;2,"",INDEX($E$3:$E$553,IF(A451-1=Entity!$B$14,2,A451+1))),""))</f>
        <v/>
      </c>
      <c r="I451">
        <f>IF(B451="Pillar",Entity!$B$14&amp;" cluster pages",IF(B451="Cluster",(COUNTIF($C$3:$C$553,SUBSTITUTE(SUBSTITUTE(C451,"?","~?"),"*","~*"))-1)&amp;" supporting pages",""))</f>
        <v/>
      </c>
      <c r="J451">
        <f>IF(B451="Pillar","Informational",IF(OR(B451="Cluster",B451="Supporting"),INDEX(Attributes!$D$3:$D$52,Q451)&amp;"",""))</f>
        <v/>
      </c>
      <c r="K451">
        <f>IF(B451="","",IF(B451="Pillar","Pillar guide (entity hub)",IF(B451="Cluster","Hub page for this attribute",IF(INDEX(Values!$C$3:$C$502,P451)="Yes","Entity page (profile of the sub-entity)",IFERROR(INDEX(Lists!$B$3:$B$6,MATCH(J451,Lists!$A$3:$A$6,0)),"Article")))))</f>
        <v/>
      </c>
      <c r="L451">
        <f>IF(B451="Pillar",Entity!$B$6&amp;"",IF(B451="Cluster",INDEX(Attributes!$I$3:$I$52,Q451)&amp;"",IF(B451="Supporting",INDEX(Values!$F$3:$F$502,P451)&amp;"","")))</f>
        <v/>
      </c>
      <c r="M451">
        <f>IF(B451="","",IF(L451&lt;&gt;"","Covered","Gap"))</f>
        <v/>
      </c>
      <c r="N451">
        <f>IF(B451="Pillar",SUMIFS(Values!$E$3:$E$502,Values!$I$3:$I$502,"Yes"),IF(B451="Cluster",SUMIFS(Values!$E$3:$E$502,Values!$A$3:$A$502,SUBSTITUTE(SUBSTITUTE(C451,"?","~?"),"*","~*"),Values!$I$3:$I$502,"Yes"),IF(B451="Supporting",N(INDEX(Values!$E$3:$E$502,P451)),"")))</f>
        <v/>
      </c>
      <c r="O451">
        <f>IF(B451="","",IF(B451="Pillar",100,IF(B451="Cluster",N(INDEX(Attributes!$E$3:$E$52,Q451))*25+IF(M451="Gap",10,0),N(INDEX(Attributes!$E$3:$E$52,Q451))*20+MIN(20,ROUND(LOG10(N(N451)+1)*5,0))+IF(M451="Gap",10,0)+IF(INDEX(Values!$D$3:$D$502,P451)="Yes",5,0))))</f>
        <v/>
      </c>
      <c r="P451">
        <f>IF(B451="Supporting",MATCH(A451-1-Entity!$B$14,Values!$J$3:$J$502,0),"")</f>
        <v/>
      </c>
      <c r="Q451">
        <f>IF(C451="","",MATCH(C451,Attributes!$A$3:$A$52,0))</f>
        <v/>
      </c>
      <c r="R451">
        <f>IF(B451="Pillar",SUBSTITUTE(Entity!$B$7,"{entity}",LOWER(Entity!$B$3)),IF(B451="Cluster",IF(INDEX(Attributes!$G$3:$G$52,Q451)&lt;&gt;"",INDEX(Attributes!$G$3:$G$52,Q451),SUBSTITUTE(SUBSTITUTE(Entity!$B$8,"{entity}",LOWER(Entity!$B$3)),"{attribute}",LOWER(C451))),IF(B451="Supporting",SUBSTITUTE(SUBSTITUTE(SUBSTITUTE(IF(INDEX(Attributes!$H$3:$H$52,Q451)&lt;&gt;"",INDEX(Attributes!$H$3:$H$52,Q451),Entity!$B$9),"{entity}",LOWER(Entity!$B$3)),"{value}",D451),"{attribute}",LOWER(C451)),"")))</f>
        <v/>
      </c>
    </row>
    <row r="452">
      <c r="A452">
        <f>ROW()-2</f>
        <v/>
      </c>
      <c r="B452">
        <f>IF(A452=1,"Pillar",IF(A452&lt;=1+Entity!$B$14,"Cluster",IF(A452&lt;=1+Entity!$B$14+Entity!$B$15,"Supporting","")))</f>
        <v/>
      </c>
      <c r="C452">
        <f>IF(B452="Cluster",INDEX(Attributes!$A$3:$A$52,MATCH(A452-1,Attributes!$P$3:$P$52,0)),IF(B452="Supporting",INDEX(Values!$A$3:$A$502,P452),""))</f>
        <v/>
      </c>
      <c r="D452">
        <f>IF(B452="Supporting",INDEX(Values!$B$3:$B$502,P452),"")</f>
        <v/>
      </c>
      <c r="E452">
        <f>IF(R452="","",UPPER(LEFT(R452,1))&amp;MID(R452,2,500))</f>
        <v/>
      </c>
      <c r="F452">
        <f>IF(E452="","",LOWER(SUBSTITUTE(SUBSTITUTE(SUBSTITUTE(SUBSTITUTE(SUBSTITUTE(SUBSTITUTE(SUBSTITUTE(TRIM(E452),":",""),",",""),"'",""),"&amp;","and"),"£",""),"  "," ")," ","-")))</f>
        <v/>
      </c>
      <c r="G452">
        <f>IF(B452="Cluster",$E$3,IF(B452="Supporting",INDEX($E$3:$E$553,MATCH(C452,$C$3:$C$553,0)),""))</f>
        <v/>
      </c>
      <c r="H452">
        <f>IF(B452="Supporting",IFERROR(INDEX($E$3:$E$553,1+Entity!$B$14+INDEX(Values!$O$3:$O$502,P452)),""),IF(B452="Cluster",IF(Entity!$B$14&lt;2,"",INDEX($E$3:$E$553,IF(A452-1=Entity!$B$14,2,A452+1))),""))</f>
        <v/>
      </c>
      <c r="I452">
        <f>IF(B452="Pillar",Entity!$B$14&amp;" cluster pages",IF(B452="Cluster",(COUNTIF($C$3:$C$553,SUBSTITUTE(SUBSTITUTE(C452,"?","~?"),"*","~*"))-1)&amp;" supporting pages",""))</f>
        <v/>
      </c>
      <c r="J452">
        <f>IF(B452="Pillar","Informational",IF(OR(B452="Cluster",B452="Supporting"),INDEX(Attributes!$D$3:$D$52,Q452)&amp;"",""))</f>
        <v/>
      </c>
      <c r="K452">
        <f>IF(B452="","",IF(B452="Pillar","Pillar guide (entity hub)",IF(B452="Cluster","Hub page for this attribute",IF(INDEX(Values!$C$3:$C$502,P452)="Yes","Entity page (profile of the sub-entity)",IFERROR(INDEX(Lists!$B$3:$B$6,MATCH(J452,Lists!$A$3:$A$6,0)),"Article")))))</f>
        <v/>
      </c>
      <c r="L452">
        <f>IF(B452="Pillar",Entity!$B$6&amp;"",IF(B452="Cluster",INDEX(Attributes!$I$3:$I$52,Q452)&amp;"",IF(B452="Supporting",INDEX(Values!$F$3:$F$502,P452)&amp;"","")))</f>
        <v/>
      </c>
      <c r="M452">
        <f>IF(B452="","",IF(L452&lt;&gt;"","Covered","Gap"))</f>
        <v/>
      </c>
      <c r="N452">
        <f>IF(B452="Pillar",SUMIFS(Values!$E$3:$E$502,Values!$I$3:$I$502,"Yes"),IF(B452="Cluster",SUMIFS(Values!$E$3:$E$502,Values!$A$3:$A$502,SUBSTITUTE(SUBSTITUTE(C452,"?","~?"),"*","~*"),Values!$I$3:$I$502,"Yes"),IF(B452="Supporting",N(INDEX(Values!$E$3:$E$502,P452)),"")))</f>
        <v/>
      </c>
      <c r="O452">
        <f>IF(B452="","",IF(B452="Pillar",100,IF(B452="Cluster",N(INDEX(Attributes!$E$3:$E$52,Q452))*25+IF(M452="Gap",10,0),N(INDEX(Attributes!$E$3:$E$52,Q452))*20+MIN(20,ROUND(LOG10(N(N452)+1)*5,0))+IF(M452="Gap",10,0)+IF(INDEX(Values!$D$3:$D$502,P452)="Yes",5,0))))</f>
        <v/>
      </c>
      <c r="P452">
        <f>IF(B452="Supporting",MATCH(A452-1-Entity!$B$14,Values!$J$3:$J$502,0),"")</f>
        <v/>
      </c>
      <c r="Q452">
        <f>IF(C452="","",MATCH(C452,Attributes!$A$3:$A$52,0))</f>
        <v/>
      </c>
      <c r="R452">
        <f>IF(B452="Pillar",SUBSTITUTE(Entity!$B$7,"{entity}",LOWER(Entity!$B$3)),IF(B452="Cluster",IF(INDEX(Attributes!$G$3:$G$52,Q452)&lt;&gt;"",INDEX(Attributes!$G$3:$G$52,Q452),SUBSTITUTE(SUBSTITUTE(Entity!$B$8,"{entity}",LOWER(Entity!$B$3)),"{attribute}",LOWER(C452))),IF(B452="Supporting",SUBSTITUTE(SUBSTITUTE(SUBSTITUTE(IF(INDEX(Attributes!$H$3:$H$52,Q452)&lt;&gt;"",INDEX(Attributes!$H$3:$H$52,Q452),Entity!$B$9),"{entity}",LOWER(Entity!$B$3)),"{value}",D452),"{attribute}",LOWER(C452)),"")))</f>
        <v/>
      </c>
    </row>
    <row r="453">
      <c r="A453">
        <f>ROW()-2</f>
        <v/>
      </c>
      <c r="B453">
        <f>IF(A453=1,"Pillar",IF(A453&lt;=1+Entity!$B$14,"Cluster",IF(A453&lt;=1+Entity!$B$14+Entity!$B$15,"Supporting","")))</f>
        <v/>
      </c>
      <c r="C453">
        <f>IF(B453="Cluster",INDEX(Attributes!$A$3:$A$52,MATCH(A453-1,Attributes!$P$3:$P$52,0)),IF(B453="Supporting",INDEX(Values!$A$3:$A$502,P453),""))</f>
        <v/>
      </c>
      <c r="D453">
        <f>IF(B453="Supporting",INDEX(Values!$B$3:$B$502,P453),"")</f>
        <v/>
      </c>
      <c r="E453">
        <f>IF(R453="","",UPPER(LEFT(R453,1))&amp;MID(R453,2,500))</f>
        <v/>
      </c>
      <c r="F453">
        <f>IF(E453="","",LOWER(SUBSTITUTE(SUBSTITUTE(SUBSTITUTE(SUBSTITUTE(SUBSTITUTE(SUBSTITUTE(SUBSTITUTE(TRIM(E453),":",""),",",""),"'",""),"&amp;","and"),"£",""),"  "," ")," ","-")))</f>
        <v/>
      </c>
      <c r="G453">
        <f>IF(B453="Cluster",$E$3,IF(B453="Supporting",INDEX($E$3:$E$553,MATCH(C453,$C$3:$C$553,0)),""))</f>
        <v/>
      </c>
      <c r="H453">
        <f>IF(B453="Supporting",IFERROR(INDEX($E$3:$E$553,1+Entity!$B$14+INDEX(Values!$O$3:$O$502,P453)),""),IF(B453="Cluster",IF(Entity!$B$14&lt;2,"",INDEX($E$3:$E$553,IF(A453-1=Entity!$B$14,2,A453+1))),""))</f>
        <v/>
      </c>
      <c r="I453">
        <f>IF(B453="Pillar",Entity!$B$14&amp;" cluster pages",IF(B453="Cluster",(COUNTIF($C$3:$C$553,SUBSTITUTE(SUBSTITUTE(C453,"?","~?"),"*","~*"))-1)&amp;" supporting pages",""))</f>
        <v/>
      </c>
      <c r="J453">
        <f>IF(B453="Pillar","Informational",IF(OR(B453="Cluster",B453="Supporting"),INDEX(Attributes!$D$3:$D$52,Q453)&amp;"",""))</f>
        <v/>
      </c>
      <c r="K453">
        <f>IF(B453="","",IF(B453="Pillar","Pillar guide (entity hub)",IF(B453="Cluster","Hub page for this attribute",IF(INDEX(Values!$C$3:$C$502,P453)="Yes","Entity page (profile of the sub-entity)",IFERROR(INDEX(Lists!$B$3:$B$6,MATCH(J453,Lists!$A$3:$A$6,0)),"Article")))))</f>
        <v/>
      </c>
      <c r="L453">
        <f>IF(B453="Pillar",Entity!$B$6&amp;"",IF(B453="Cluster",INDEX(Attributes!$I$3:$I$52,Q453)&amp;"",IF(B453="Supporting",INDEX(Values!$F$3:$F$502,P453)&amp;"","")))</f>
        <v/>
      </c>
      <c r="M453">
        <f>IF(B453="","",IF(L453&lt;&gt;"","Covered","Gap"))</f>
        <v/>
      </c>
      <c r="N453">
        <f>IF(B453="Pillar",SUMIFS(Values!$E$3:$E$502,Values!$I$3:$I$502,"Yes"),IF(B453="Cluster",SUMIFS(Values!$E$3:$E$502,Values!$A$3:$A$502,SUBSTITUTE(SUBSTITUTE(C453,"?","~?"),"*","~*"),Values!$I$3:$I$502,"Yes"),IF(B453="Supporting",N(INDEX(Values!$E$3:$E$502,P453)),"")))</f>
        <v/>
      </c>
      <c r="O453">
        <f>IF(B453="","",IF(B453="Pillar",100,IF(B453="Cluster",N(INDEX(Attributes!$E$3:$E$52,Q453))*25+IF(M453="Gap",10,0),N(INDEX(Attributes!$E$3:$E$52,Q453))*20+MIN(20,ROUND(LOG10(N(N453)+1)*5,0))+IF(M453="Gap",10,0)+IF(INDEX(Values!$D$3:$D$502,P453)="Yes",5,0))))</f>
        <v/>
      </c>
      <c r="P453">
        <f>IF(B453="Supporting",MATCH(A453-1-Entity!$B$14,Values!$J$3:$J$502,0),"")</f>
        <v/>
      </c>
      <c r="Q453">
        <f>IF(C453="","",MATCH(C453,Attributes!$A$3:$A$52,0))</f>
        <v/>
      </c>
      <c r="R453">
        <f>IF(B453="Pillar",SUBSTITUTE(Entity!$B$7,"{entity}",LOWER(Entity!$B$3)),IF(B453="Cluster",IF(INDEX(Attributes!$G$3:$G$52,Q453)&lt;&gt;"",INDEX(Attributes!$G$3:$G$52,Q453),SUBSTITUTE(SUBSTITUTE(Entity!$B$8,"{entity}",LOWER(Entity!$B$3)),"{attribute}",LOWER(C453))),IF(B453="Supporting",SUBSTITUTE(SUBSTITUTE(SUBSTITUTE(IF(INDEX(Attributes!$H$3:$H$52,Q453)&lt;&gt;"",INDEX(Attributes!$H$3:$H$52,Q453),Entity!$B$9),"{entity}",LOWER(Entity!$B$3)),"{value}",D453),"{attribute}",LOWER(C453)),"")))</f>
        <v/>
      </c>
    </row>
    <row r="454">
      <c r="A454">
        <f>ROW()-2</f>
        <v/>
      </c>
      <c r="B454">
        <f>IF(A454=1,"Pillar",IF(A454&lt;=1+Entity!$B$14,"Cluster",IF(A454&lt;=1+Entity!$B$14+Entity!$B$15,"Supporting","")))</f>
        <v/>
      </c>
      <c r="C454">
        <f>IF(B454="Cluster",INDEX(Attributes!$A$3:$A$52,MATCH(A454-1,Attributes!$P$3:$P$52,0)),IF(B454="Supporting",INDEX(Values!$A$3:$A$502,P454),""))</f>
        <v/>
      </c>
      <c r="D454">
        <f>IF(B454="Supporting",INDEX(Values!$B$3:$B$502,P454),"")</f>
        <v/>
      </c>
      <c r="E454">
        <f>IF(R454="","",UPPER(LEFT(R454,1))&amp;MID(R454,2,500))</f>
        <v/>
      </c>
      <c r="F454">
        <f>IF(E454="","",LOWER(SUBSTITUTE(SUBSTITUTE(SUBSTITUTE(SUBSTITUTE(SUBSTITUTE(SUBSTITUTE(SUBSTITUTE(TRIM(E454),":",""),",",""),"'",""),"&amp;","and"),"£",""),"  "," ")," ","-")))</f>
        <v/>
      </c>
      <c r="G454">
        <f>IF(B454="Cluster",$E$3,IF(B454="Supporting",INDEX($E$3:$E$553,MATCH(C454,$C$3:$C$553,0)),""))</f>
        <v/>
      </c>
      <c r="H454">
        <f>IF(B454="Supporting",IFERROR(INDEX($E$3:$E$553,1+Entity!$B$14+INDEX(Values!$O$3:$O$502,P454)),""),IF(B454="Cluster",IF(Entity!$B$14&lt;2,"",INDEX($E$3:$E$553,IF(A454-1=Entity!$B$14,2,A454+1))),""))</f>
        <v/>
      </c>
      <c r="I454">
        <f>IF(B454="Pillar",Entity!$B$14&amp;" cluster pages",IF(B454="Cluster",(COUNTIF($C$3:$C$553,SUBSTITUTE(SUBSTITUTE(C454,"?","~?"),"*","~*"))-1)&amp;" supporting pages",""))</f>
        <v/>
      </c>
      <c r="J454">
        <f>IF(B454="Pillar","Informational",IF(OR(B454="Cluster",B454="Supporting"),INDEX(Attributes!$D$3:$D$52,Q454)&amp;"",""))</f>
        <v/>
      </c>
      <c r="K454">
        <f>IF(B454="","",IF(B454="Pillar","Pillar guide (entity hub)",IF(B454="Cluster","Hub page for this attribute",IF(INDEX(Values!$C$3:$C$502,P454)="Yes","Entity page (profile of the sub-entity)",IFERROR(INDEX(Lists!$B$3:$B$6,MATCH(J454,Lists!$A$3:$A$6,0)),"Article")))))</f>
        <v/>
      </c>
      <c r="L454">
        <f>IF(B454="Pillar",Entity!$B$6&amp;"",IF(B454="Cluster",INDEX(Attributes!$I$3:$I$52,Q454)&amp;"",IF(B454="Supporting",INDEX(Values!$F$3:$F$502,P454)&amp;"","")))</f>
        <v/>
      </c>
      <c r="M454">
        <f>IF(B454="","",IF(L454&lt;&gt;"","Covered","Gap"))</f>
        <v/>
      </c>
      <c r="N454">
        <f>IF(B454="Pillar",SUMIFS(Values!$E$3:$E$502,Values!$I$3:$I$502,"Yes"),IF(B454="Cluster",SUMIFS(Values!$E$3:$E$502,Values!$A$3:$A$502,SUBSTITUTE(SUBSTITUTE(C454,"?","~?"),"*","~*"),Values!$I$3:$I$502,"Yes"),IF(B454="Supporting",N(INDEX(Values!$E$3:$E$502,P454)),"")))</f>
        <v/>
      </c>
      <c r="O454">
        <f>IF(B454="","",IF(B454="Pillar",100,IF(B454="Cluster",N(INDEX(Attributes!$E$3:$E$52,Q454))*25+IF(M454="Gap",10,0),N(INDEX(Attributes!$E$3:$E$52,Q454))*20+MIN(20,ROUND(LOG10(N(N454)+1)*5,0))+IF(M454="Gap",10,0)+IF(INDEX(Values!$D$3:$D$502,P454)="Yes",5,0))))</f>
        <v/>
      </c>
      <c r="P454">
        <f>IF(B454="Supporting",MATCH(A454-1-Entity!$B$14,Values!$J$3:$J$502,0),"")</f>
        <v/>
      </c>
      <c r="Q454">
        <f>IF(C454="","",MATCH(C454,Attributes!$A$3:$A$52,0))</f>
        <v/>
      </c>
      <c r="R454">
        <f>IF(B454="Pillar",SUBSTITUTE(Entity!$B$7,"{entity}",LOWER(Entity!$B$3)),IF(B454="Cluster",IF(INDEX(Attributes!$G$3:$G$52,Q454)&lt;&gt;"",INDEX(Attributes!$G$3:$G$52,Q454),SUBSTITUTE(SUBSTITUTE(Entity!$B$8,"{entity}",LOWER(Entity!$B$3)),"{attribute}",LOWER(C454))),IF(B454="Supporting",SUBSTITUTE(SUBSTITUTE(SUBSTITUTE(IF(INDEX(Attributes!$H$3:$H$52,Q454)&lt;&gt;"",INDEX(Attributes!$H$3:$H$52,Q454),Entity!$B$9),"{entity}",LOWER(Entity!$B$3)),"{value}",D454),"{attribute}",LOWER(C454)),"")))</f>
        <v/>
      </c>
    </row>
    <row r="455">
      <c r="A455">
        <f>ROW()-2</f>
        <v/>
      </c>
      <c r="B455">
        <f>IF(A455=1,"Pillar",IF(A455&lt;=1+Entity!$B$14,"Cluster",IF(A455&lt;=1+Entity!$B$14+Entity!$B$15,"Supporting","")))</f>
        <v/>
      </c>
      <c r="C455">
        <f>IF(B455="Cluster",INDEX(Attributes!$A$3:$A$52,MATCH(A455-1,Attributes!$P$3:$P$52,0)),IF(B455="Supporting",INDEX(Values!$A$3:$A$502,P455),""))</f>
        <v/>
      </c>
      <c r="D455">
        <f>IF(B455="Supporting",INDEX(Values!$B$3:$B$502,P455),"")</f>
        <v/>
      </c>
      <c r="E455">
        <f>IF(R455="","",UPPER(LEFT(R455,1))&amp;MID(R455,2,500))</f>
        <v/>
      </c>
      <c r="F455">
        <f>IF(E455="","",LOWER(SUBSTITUTE(SUBSTITUTE(SUBSTITUTE(SUBSTITUTE(SUBSTITUTE(SUBSTITUTE(SUBSTITUTE(TRIM(E455),":",""),",",""),"'",""),"&amp;","and"),"£",""),"  "," ")," ","-")))</f>
        <v/>
      </c>
      <c r="G455">
        <f>IF(B455="Cluster",$E$3,IF(B455="Supporting",INDEX($E$3:$E$553,MATCH(C455,$C$3:$C$553,0)),""))</f>
        <v/>
      </c>
      <c r="H455">
        <f>IF(B455="Supporting",IFERROR(INDEX($E$3:$E$553,1+Entity!$B$14+INDEX(Values!$O$3:$O$502,P455)),""),IF(B455="Cluster",IF(Entity!$B$14&lt;2,"",INDEX($E$3:$E$553,IF(A455-1=Entity!$B$14,2,A455+1))),""))</f>
        <v/>
      </c>
      <c r="I455">
        <f>IF(B455="Pillar",Entity!$B$14&amp;" cluster pages",IF(B455="Cluster",(COUNTIF($C$3:$C$553,SUBSTITUTE(SUBSTITUTE(C455,"?","~?"),"*","~*"))-1)&amp;" supporting pages",""))</f>
        <v/>
      </c>
      <c r="J455">
        <f>IF(B455="Pillar","Informational",IF(OR(B455="Cluster",B455="Supporting"),INDEX(Attributes!$D$3:$D$52,Q455)&amp;"",""))</f>
        <v/>
      </c>
      <c r="K455">
        <f>IF(B455="","",IF(B455="Pillar","Pillar guide (entity hub)",IF(B455="Cluster","Hub page for this attribute",IF(INDEX(Values!$C$3:$C$502,P455)="Yes","Entity page (profile of the sub-entity)",IFERROR(INDEX(Lists!$B$3:$B$6,MATCH(J455,Lists!$A$3:$A$6,0)),"Article")))))</f>
        <v/>
      </c>
      <c r="L455">
        <f>IF(B455="Pillar",Entity!$B$6&amp;"",IF(B455="Cluster",INDEX(Attributes!$I$3:$I$52,Q455)&amp;"",IF(B455="Supporting",INDEX(Values!$F$3:$F$502,P455)&amp;"","")))</f>
        <v/>
      </c>
      <c r="M455">
        <f>IF(B455="","",IF(L455&lt;&gt;"","Covered","Gap"))</f>
        <v/>
      </c>
      <c r="N455">
        <f>IF(B455="Pillar",SUMIFS(Values!$E$3:$E$502,Values!$I$3:$I$502,"Yes"),IF(B455="Cluster",SUMIFS(Values!$E$3:$E$502,Values!$A$3:$A$502,SUBSTITUTE(SUBSTITUTE(C455,"?","~?"),"*","~*"),Values!$I$3:$I$502,"Yes"),IF(B455="Supporting",N(INDEX(Values!$E$3:$E$502,P455)),"")))</f>
        <v/>
      </c>
      <c r="O455">
        <f>IF(B455="","",IF(B455="Pillar",100,IF(B455="Cluster",N(INDEX(Attributes!$E$3:$E$52,Q455))*25+IF(M455="Gap",10,0),N(INDEX(Attributes!$E$3:$E$52,Q455))*20+MIN(20,ROUND(LOG10(N(N455)+1)*5,0))+IF(M455="Gap",10,0)+IF(INDEX(Values!$D$3:$D$502,P455)="Yes",5,0))))</f>
        <v/>
      </c>
      <c r="P455">
        <f>IF(B455="Supporting",MATCH(A455-1-Entity!$B$14,Values!$J$3:$J$502,0),"")</f>
        <v/>
      </c>
      <c r="Q455">
        <f>IF(C455="","",MATCH(C455,Attributes!$A$3:$A$52,0))</f>
        <v/>
      </c>
      <c r="R455">
        <f>IF(B455="Pillar",SUBSTITUTE(Entity!$B$7,"{entity}",LOWER(Entity!$B$3)),IF(B455="Cluster",IF(INDEX(Attributes!$G$3:$G$52,Q455)&lt;&gt;"",INDEX(Attributes!$G$3:$G$52,Q455),SUBSTITUTE(SUBSTITUTE(Entity!$B$8,"{entity}",LOWER(Entity!$B$3)),"{attribute}",LOWER(C455))),IF(B455="Supporting",SUBSTITUTE(SUBSTITUTE(SUBSTITUTE(IF(INDEX(Attributes!$H$3:$H$52,Q455)&lt;&gt;"",INDEX(Attributes!$H$3:$H$52,Q455),Entity!$B$9),"{entity}",LOWER(Entity!$B$3)),"{value}",D455),"{attribute}",LOWER(C455)),"")))</f>
        <v/>
      </c>
    </row>
    <row r="456">
      <c r="A456">
        <f>ROW()-2</f>
        <v/>
      </c>
      <c r="B456">
        <f>IF(A456=1,"Pillar",IF(A456&lt;=1+Entity!$B$14,"Cluster",IF(A456&lt;=1+Entity!$B$14+Entity!$B$15,"Supporting","")))</f>
        <v/>
      </c>
      <c r="C456">
        <f>IF(B456="Cluster",INDEX(Attributes!$A$3:$A$52,MATCH(A456-1,Attributes!$P$3:$P$52,0)),IF(B456="Supporting",INDEX(Values!$A$3:$A$502,P456),""))</f>
        <v/>
      </c>
      <c r="D456">
        <f>IF(B456="Supporting",INDEX(Values!$B$3:$B$502,P456),"")</f>
        <v/>
      </c>
      <c r="E456">
        <f>IF(R456="","",UPPER(LEFT(R456,1))&amp;MID(R456,2,500))</f>
        <v/>
      </c>
      <c r="F456">
        <f>IF(E456="","",LOWER(SUBSTITUTE(SUBSTITUTE(SUBSTITUTE(SUBSTITUTE(SUBSTITUTE(SUBSTITUTE(SUBSTITUTE(TRIM(E456),":",""),",",""),"'",""),"&amp;","and"),"£",""),"  "," ")," ","-")))</f>
        <v/>
      </c>
      <c r="G456">
        <f>IF(B456="Cluster",$E$3,IF(B456="Supporting",INDEX($E$3:$E$553,MATCH(C456,$C$3:$C$553,0)),""))</f>
        <v/>
      </c>
      <c r="H456">
        <f>IF(B456="Supporting",IFERROR(INDEX($E$3:$E$553,1+Entity!$B$14+INDEX(Values!$O$3:$O$502,P456)),""),IF(B456="Cluster",IF(Entity!$B$14&lt;2,"",INDEX($E$3:$E$553,IF(A456-1=Entity!$B$14,2,A456+1))),""))</f>
        <v/>
      </c>
      <c r="I456">
        <f>IF(B456="Pillar",Entity!$B$14&amp;" cluster pages",IF(B456="Cluster",(COUNTIF($C$3:$C$553,SUBSTITUTE(SUBSTITUTE(C456,"?","~?"),"*","~*"))-1)&amp;" supporting pages",""))</f>
        <v/>
      </c>
      <c r="J456">
        <f>IF(B456="Pillar","Informational",IF(OR(B456="Cluster",B456="Supporting"),INDEX(Attributes!$D$3:$D$52,Q456)&amp;"",""))</f>
        <v/>
      </c>
      <c r="K456">
        <f>IF(B456="","",IF(B456="Pillar","Pillar guide (entity hub)",IF(B456="Cluster","Hub page for this attribute",IF(INDEX(Values!$C$3:$C$502,P456)="Yes","Entity page (profile of the sub-entity)",IFERROR(INDEX(Lists!$B$3:$B$6,MATCH(J456,Lists!$A$3:$A$6,0)),"Article")))))</f>
        <v/>
      </c>
      <c r="L456">
        <f>IF(B456="Pillar",Entity!$B$6&amp;"",IF(B456="Cluster",INDEX(Attributes!$I$3:$I$52,Q456)&amp;"",IF(B456="Supporting",INDEX(Values!$F$3:$F$502,P456)&amp;"","")))</f>
        <v/>
      </c>
      <c r="M456">
        <f>IF(B456="","",IF(L456&lt;&gt;"","Covered","Gap"))</f>
        <v/>
      </c>
      <c r="N456">
        <f>IF(B456="Pillar",SUMIFS(Values!$E$3:$E$502,Values!$I$3:$I$502,"Yes"),IF(B456="Cluster",SUMIFS(Values!$E$3:$E$502,Values!$A$3:$A$502,SUBSTITUTE(SUBSTITUTE(C456,"?","~?"),"*","~*"),Values!$I$3:$I$502,"Yes"),IF(B456="Supporting",N(INDEX(Values!$E$3:$E$502,P456)),"")))</f>
        <v/>
      </c>
      <c r="O456">
        <f>IF(B456="","",IF(B456="Pillar",100,IF(B456="Cluster",N(INDEX(Attributes!$E$3:$E$52,Q456))*25+IF(M456="Gap",10,0),N(INDEX(Attributes!$E$3:$E$52,Q456))*20+MIN(20,ROUND(LOG10(N(N456)+1)*5,0))+IF(M456="Gap",10,0)+IF(INDEX(Values!$D$3:$D$502,P456)="Yes",5,0))))</f>
        <v/>
      </c>
      <c r="P456">
        <f>IF(B456="Supporting",MATCH(A456-1-Entity!$B$14,Values!$J$3:$J$502,0),"")</f>
        <v/>
      </c>
      <c r="Q456">
        <f>IF(C456="","",MATCH(C456,Attributes!$A$3:$A$52,0))</f>
        <v/>
      </c>
      <c r="R456">
        <f>IF(B456="Pillar",SUBSTITUTE(Entity!$B$7,"{entity}",LOWER(Entity!$B$3)),IF(B456="Cluster",IF(INDEX(Attributes!$G$3:$G$52,Q456)&lt;&gt;"",INDEX(Attributes!$G$3:$G$52,Q456),SUBSTITUTE(SUBSTITUTE(Entity!$B$8,"{entity}",LOWER(Entity!$B$3)),"{attribute}",LOWER(C456))),IF(B456="Supporting",SUBSTITUTE(SUBSTITUTE(SUBSTITUTE(IF(INDEX(Attributes!$H$3:$H$52,Q456)&lt;&gt;"",INDEX(Attributes!$H$3:$H$52,Q456),Entity!$B$9),"{entity}",LOWER(Entity!$B$3)),"{value}",D456),"{attribute}",LOWER(C456)),"")))</f>
        <v/>
      </c>
    </row>
    <row r="457">
      <c r="A457">
        <f>ROW()-2</f>
        <v/>
      </c>
      <c r="B457">
        <f>IF(A457=1,"Pillar",IF(A457&lt;=1+Entity!$B$14,"Cluster",IF(A457&lt;=1+Entity!$B$14+Entity!$B$15,"Supporting","")))</f>
        <v/>
      </c>
      <c r="C457">
        <f>IF(B457="Cluster",INDEX(Attributes!$A$3:$A$52,MATCH(A457-1,Attributes!$P$3:$P$52,0)),IF(B457="Supporting",INDEX(Values!$A$3:$A$502,P457),""))</f>
        <v/>
      </c>
      <c r="D457">
        <f>IF(B457="Supporting",INDEX(Values!$B$3:$B$502,P457),"")</f>
        <v/>
      </c>
      <c r="E457">
        <f>IF(R457="","",UPPER(LEFT(R457,1))&amp;MID(R457,2,500))</f>
        <v/>
      </c>
      <c r="F457">
        <f>IF(E457="","",LOWER(SUBSTITUTE(SUBSTITUTE(SUBSTITUTE(SUBSTITUTE(SUBSTITUTE(SUBSTITUTE(SUBSTITUTE(TRIM(E457),":",""),",",""),"'",""),"&amp;","and"),"£",""),"  "," ")," ","-")))</f>
        <v/>
      </c>
      <c r="G457">
        <f>IF(B457="Cluster",$E$3,IF(B457="Supporting",INDEX($E$3:$E$553,MATCH(C457,$C$3:$C$553,0)),""))</f>
        <v/>
      </c>
      <c r="H457">
        <f>IF(B457="Supporting",IFERROR(INDEX($E$3:$E$553,1+Entity!$B$14+INDEX(Values!$O$3:$O$502,P457)),""),IF(B457="Cluster",IF(Entity!$B$14&lt;2,"",INDEX($E$3:$E$553,IF(A457-1=Entity!$B$14,2,A457+1))),""))</f>
        <v/>
      </c>
      <c r="I457">
        <f>IF(B457="Pillar",Entity!$B$14&amp;" cluster pages",IF(B457="Cluster",(COUNTIF($C$3:$C$553,SUBSTITUTE(SUBSTITUTE(C457,"?","~?"),"*","~*"))-1)&amp;" supporting pages",""))</f>
        <v/>
      </c>
      <c r="J457">
        <f>IF(B457="Pillar","Informational",IF(OR(B457="Cluster",B457="Supporting"),INDEX(Attributes!$D$3:$D$52,Q457)&amp;"",""))</f>
        <v/>
      </c>
      <c r="K457">
        <f>IF(B457="","",IF(B457="Pillar","Pillar guide (entity hub)",IF(B457="Cluster","Hub page for this attribute",IF(INDEX(Values!$C$3:$C$502,P457)="Yes","Entity page (profile of the sub-entity)",IFERROR(INDEX(Lists!$B$3:$B$6,MATCH(J457,Lists!$A$3:$A$6,0)),"Article")))))</f>
        <v/>
      </c>
      <c r="L457">
        <f>IF(B457="Pillar",Entity!$B$6&amp;"",IF(B457="Cluster",INDEX(Attributes!$I$3:$I$52,Q457)&amp;"",IF(B457="Supporting",INDEX(Values!$F$3:$F$502,P457)&amp;"","")))</f>
        <v/>
      </c>
      <c r="M457">
        <f>IF(B457="","",IF(L457&lt;&gt;"","Covered","Gap"))</f>
        <v/>
      </c>
      <c r="N457">
        <f>IF(B457="Pillar",SUMIFS(Values!$E$3:$E$502,Values!$I$3:$I$502,"Yes"),IF(B457="Cluster",SUMIFS(Values!$E$3:$E$502,Values!$A$3:$A$502,SUBSTITUTE(SUBSTITUTE(C457,"?","~?"),"*","~*"),Values!$I$3:$I$502,"Yes"),IF(B457="Supporting",N(INDEX(Values!$E$3:$E$502,P457)),"")))</f>
        <v/>
      </c>
      <c r="O457">
        <f>IF(B457="","",IF(B457="Pillar",100,IF(B457="Cluster",N(INDEX(Attributes!$E$3:$E$52,Q457))*25+IF(M457="Gap",10,0),N(INDEX(Attributes!$E$3:$E$52,Q457))*20+MIN(20,ROUND(LOG10(N(N457)+1)*5,0))+IF(M457="Gap",10,0)+IF(INDEX(Values!$D$3:$D$502,P457)="Yes",5,0))))</f>
        <v/>
      </c>
      <c r="P457">
        <f>IF(B457="Supporting",MATCH(A457-1-Entity!$B$14,Values!$J$3:$J$502,0),"")</f>
        <v/>
      </c>
      <c r="Q457">
        <f>IF(C457="","",MATCH(C457,Attributes!$A$3:$A$52,0))</f>
        <v/>
      </c>
      <c r="R457">
        <f>IF(B457="Pillar",SUBSTITUTE(Entity!$B$7,"{entity}",LOWER(Entity!$B$3)),IF(B457="Cluster",IF(INDEX(Attributes!$G$3:$G$52,Q457)&lt;&gt;"",INDEX(Attributes!$G$3:$G$52,Q457),SUBSTITUTE(SUBSTITUTE(Entity!$B$8,"{entity}",LOWER(Entity!$B$3)),"{attribute}",LOWER(C457))),IF(B457="Supporting",SUBSTITUTE(SUBSTITUTE(SUBSTITUTE(IF(INDEX(Attributes!$H$3:$H$52,Q457)&lt;&gt;"",INDEX(Attributes!$H$3:$H$52,Q457),Entity!$B$9),"{entity}",LOWER(Entity!$B$3)),"{value}",D457),"{attribute}",LOWER(C457)),"")))</f>
        <v/>
      </c>
    </row>
    <row r="458">
      <c r="A458">
        <f>ROW()-2</f>
        <v/>
      </c>
      <c r="B458">
        <f>IF(A458=1,"Pillar",IF(A458&lt;=1+Entity!$B$14,"Cluster",IF(A458&lt;=1+Entity!$B$14+Entity!$B$15,"Supporting","")))</f>
        <v/>
      </c>
      <c r="C458">
        <f>IF(B458="Cluster",INDEX(Attributes!$A$3:$A$52,MATCH(A458-1,Attributes!$P$3:$P$52,0)),IF(B458="Supporting",INDEX(Values!$A$3:$A$502,P458),""))</f>
        <v/>
      </c>
      <c r="D458">
        <f>IF(B458="Supporting",INDEX(Values!$B$3:$B$502,P458),"")</f>
        <v/>
      </c>
      <c r="E458">
        <f>IF(R458="","",UPPER(LEFT(R458,1))&amp;MID(R458,2,500))</f>
        <v/>
      </c>
      <c r="F458">
        <f>IF(E458="","",LOWER(SUBSTITUTE(SUBSTITUTE(SUBSTITUTE(SUBSTITUTE(SUBSTITUTE(SUBSTITUTE(SUBSTITUTE(TRIM(E458),":",""),",",""),"'",""),"&amp;","and"),"£",""),"  "," ")," ","-")))</f>
        <v/>
      </c>
      <c r="G458">
        <f>IF(B458="Cluster",$E$3,IF(B458="Supporting",INDEX($E$3:$E$553,MATCH(C458,$C$3:$C$553,0)),""))</f>
        <v/>
      </c>
      <c r="H458">
        <f>IF(B458="Supporting",IFERROR(INDEX($E$3:$E$553,1+Entity!$B$14+INDEX(Values!$O$3:$O$502,P458)),""),IF(B458="Cluster",IF(Entity!$B$14&lt;2,"",INDEX($E$3:$E$553,IF(A458-1=Entity!$B$14,2,A458+1))),""))</f>
        <v/>
      </c>
      <c r="I458">
        <f>IF(B458="Pillar",Entity!$B$14&amp;" cluster pages",IF(B458="Cluster",(COUNTIF($C$3:$C$553,SUBSTITUTE(SUBSTITUTE(C458,"?","~?"),"*","~*"))-1)&amp;" supporting pages",""))</f>
        <v/>
      </c>
      <c r="J458">
        <f>IF(B458="Pillar","Informational",IF(OR(B458="Cluster",B458="Supporting"),INDEX(Attributes!$D$3:$D$52,Q458)&amp;"",""))</f>
        <v/>
      </c>
      <c r="K458">
        <f>IF(B458="","",IF(B458="Pillar","Pillar guide (entity hub)",IF(B458="Cluster","Hub page for this attribute",IF(INDEX(Values!$C$3:$C$502,P458)="Yes","Entity page (profile of the sub-entity)",IFERROR(INDEX(Lists!$B$3:$B$6,MATCH(J458,Lists!$A$3:$A$6,0)),"Article")))))</f>
        <v/>
      </c>
      <c r="L458">
        <f>IF(B458="Pillar",Entity!$B$6&amp;"",IF(B458="Cluster",INDEX(Attributes!$I$3:$I$52,Q458)&amp;"",IF(B458="Supporting",INDEX(Values!$F$3:$F$502,P458)&amp;"","")))</f>
        <v/>
      </c>
      <c r="M458">
        <f>IF(B458="","",IF(L458&lt;&gt;"","Covered","Gap"))</f>
        <v/>
      </c>
      <c r="N458">
        <f>IF(B458="Pillar",SUMIFS(Values!$E$3:$E$502,Values!$I$3:$I$502,"Yes"),IF(B458="Cluster",SUMIFS(Values!$E$3:$E$502,Values!$A$3:$A$502,SUBSTITUTE(SUBSTITUTE(C458,"?","~?"),"*","~*"),Values!$I$3:$I$502,"Yes"),IF(B458="Supporting",N(INDEX(Values!$E$3:$E$502,P458)),"")))</f>
        <v/>
      </c>
      <c r="O458">
        <f>IF(B458="","",IF(B458="Pillar",100,IF(B458="Cluster",N(INDEX(Attributes!$E$3:$E$52,Q458))*25+IF(M458="Gap",10,0),N(INDEX(Attributes!$E$3:$E$52,Q458))*20+MIN(20,ROUND(LOG10(N(N458)+1)*5,0))+IF(M458="Gap",10,0)+IF(INDEX(Values!$D$3:$D$502,P458)="Yes",5,0))))</f>
        <v/>
      </c>
      <c r="P458">
        <f>IF(B458="Supporting",MATCH(A458-1-Entity!$B$14,Values!$J$3:$J$502,0),"")</f>
        <v/>
      </c>
      <c r="Q458">
        <f>IF(C458="","",MATCH(C458,Attributes!$A$3:$A$52,0))</f>
        <v/>
      </c>
      <c r="R458">
        <f>IF(B458="Pillar",SUBSTITUTE(Entity!$B$7,"{entity}",LOWER(Entity!$B$3)),IF(B458="Cluster",IF(INDEX(Attributes!$G$3:$G$52,Q458)&lt;&gt;"",INDEX(Attributes!$G$3:$G$52,Q458),SUBSTITUTE(SUBSTITUTE(Entity!$B$8,"{entity}",LOWER(Entity!$B$3)),"{attribute}",LOWER(C458))),IF(B458="Supporting",SUBSTITUTE(SUBSTITUTE(SUBSTITUTE(IF(INDEX(Attributes!$H$3:$H$52,Q458)&lt;&gt;"",INDEX(Attributes!$H$3:$H$52,Q458),Entity!$B$9),"{entity}",LOWER(Entity!$B$3)),"{value}",D458),"{attribute}",LOWER(C458)),"")))</f>
        <v/>
      </c>
    </row>
    <row r="459">
      <c r="A459">
        <f>ROW()-2</f>
        <v/>
      </c>
      <c r="B459">
        <f>IF(A459=1,"Pillar",IF(A459&lt;=1+Entity!$B$14,"Cluster",IF(A459&lt;=1+Entity!$B$14+Entity!$B$15,"Supporting","")))</f>
        <v/>
      </c>
      <c r="C459">
        <f>IF(B459="Cluster",INDEX(Attributes!$A$3:$A$52,MATCH(A459-1,Attributes!$P$3:$P$52,0)),IF(B459="Supporting",INDEX(Values!$A$3:$A$502,P459),""))</f>
        <v/>
      </c>
      <c r="D459">
        <f>IF(B459="Supporting",INDEX(Values!$B$3:$B$502,P459),"")</f>
        <v/>
      </c>
      <c r="E459">
        <f>IF(R459="","",UPPER(LEFT(R459,1))&amp;MID(R459,2,500))</f>
        <v/>
      </c>
      <c r="F459">
        <f>IF(E459="","",LOWER(SUBSTITUTE(SUBSTITUTE(SUBSTITUTE(SUBSTITUTE(SUBSTITUTE(SUBSTITUTE(SUBSTITUTE(TRIM(E459),":",""),",",""),"'",""),"&amp;","and"),"£",""),"  "," ")," ","-")))</f>
        <v/>
      </c>
      <c r="G459">
        <f>IF(B459="Cluster",$E$3,IF(B459="Supporting",INDEX($E$3:$E$553,MATCH(C459,$C$3:$C$553,0)),""))</f>
        <v/>
      </c>
      <c r="H459">
        <f>IF(B459="Supporting",IFERROR(INDEX($E$3:$E$553,1+Entity!$B$14+INDEX(Values!$O$3:$O$502,P459)),""),IF(B459="Cluster",IF(Entity!$B$14&lt;2,"",INDEX($E$3:$E$553,IF(A459-1=Entity!$B$14,2,A459+1))),""))</f>
        <v/>
      </c>
      <c r="I459">
        <f>IF(B459="Pillar",Entity!$B$14&amp;" cluster pages",IF(B459="Cluster",(COUNTIF($C$3:$C$553,SUBSTITUTE(SUBSTITUTE(C459,"?","~?"),"*","~*"))-1)&amp;" supporting pages",""))</f>
        <v/>
      </c>
      <c r="J459">
        <f>IF(B459="Pillar","Informational",IF(OR(B459="Cluster",B459="Supporting"),INDEX(Attributes!$D$3:$D$52,Q459)&amp;"",""))</f>
        <v/>
      </c>
      <c r="K459">
        <f>IF(B459="","",IF(B459="Pillar","Pillar guide (entity hub)",IF(B459="Cluster","Hub page for this attribute",IF(INDEX(Values!$C$3:$C$502,P459)="Yes","Entity page (profile of the sub-entity)",IFERROR(INDEX(Lists!$B$3:$B$6,MATCH(J459,Lists!$A$3:$A$6,0)),"Article")))))</f>
        <v/>
      </c>
      <c r="L459">
        <f>IF(B459="Pillar",Entity!$B$6&amp;"",IF(B459="Cluster",INDEX(Attributes!$I$3:$I$52,Q459)&amp;"",IF(B459="Supporting",INDEX(Values!$F$3:$F$502,P459)&amp;"","")))</f>
        <v/>
      </c>
      <c r="M459">
        <f>IF(B459="","",IF(L459&lt;&gt;"","Covered","Gap"))</f>
        <v/>
      </c>
      <c r="N459">
        <f>IF(B459="Pillar",SUMIFS(Values!$E$3:$E$502,Values!$I$3:$I$502,"Yes"),IF(B459="Cluster",SUMIFS(Values!$E$3:$E$502,Values!$A$3:$A$502,SUBSTITUTE(SUBSTITUTE(C459,"?","~?"),"*","~*"),Values!$I$3:$I$502,"Yes"),IF(B459="Supporting",N(INDEX(Values!$E$3:$E$502,P459)),"")))</f>
        <v/>
      </c>
      <c r="O459">
        <f>IF(B459="","",IF(B459="Pillar",100,IF(B459="Cluster",N(INDEX(Attributes!$E$3:$E$52,Q459))*25+IF(M459="Gap",10,0),N(INDEX(Attributes!$E$3:$E$52,Q459))*20+MIN(20,ROUND(LOG10(N(N459)+1)*5,0))+IF(M459="Gap",10,0)+IF(INDEX(Values!$D$3:$D$502,P459)="Yes",5,0))))</f>
        <v/>
      </c>
      <c r="P459">
        <f>IF(B459="Supporting",MATCH(A459-1-Entity!$B$14,Values!$J$3:$J$502,0),"")</f>
        <v/>
      </c>
      <c r="Q459">
        <f>IF(C459="","",MATCH(C459,Attributes!$A$3:$A$52,0))</f>
        <v/>
      </c>
      <c r="R459">
        <f>IF(B459="Pillar",SUBSTITUTE(Entity!$B$7,"{entity}",LOWER(Entity!$B$3)),IF(B459="Cluster",IF(INDEX(Attributes!$G$3:$G$52,Q459)&lt;&gt;"",INDEX(Attributes!$G$3:$G$52,Q459),SUBSTITUTE(SUBSTITUTE(Entity!$B$8,"{entity}",LOWER(Entity!$B$3)),"{attribute}",LOWER(C459))),IF(B459="Supporting",SUBSTITUTE(SUBSTITUTE(SUBSTITUTE(IF(INDEX(Attributes!$H$3:$H$52,Q459)&lt;&gt;"",INDEX(Attributes!$H$3:$H$52,Q459),Entity!$B$9),"{entity}",LOWER(Entity!$B$3)),"{value}",D459),"{attribute}",LOWER(C459)),"")))</f>
        <v/>
      </c>
    </row>
    <row r="460">
      <c r="A460">
        <f>ROW()-2</f>
        <v/>
      </c>
      <c r="B460">
        <f>IF(A460=1,"Pillar",IF(A460&lt;=1+Entity!$B$14,"Cluster",IF(A460&lt;=1+Entity!$B$14+Entity!$B$15,"Supporting","")))</f>
        <v/>
      </c>
      <c r="C460">
        <f>IF(B460="Cluster",INDEX(Attributes!$A$3:$A$52,MATCH(A460-1,Attributes!$P$3:$P$52,0)),IF(B460="Supporting",INDEX(Values!$A$3:$A$502,P460),""))</f>
        <v/>
      </c>
      <c r="D460">
        <f>IF(B460="Supporting",INDEX(Values!$B$3:$B$502,P460),"")</f>
        <v/>
      </c>
      <c r="E460">
        <f>IF(R460="","",UPPER(LEFT(R460,1))&amp;MID(R460,2,500))</f>
        <v/>
      </c>
      <c r="F460">
        <f>IF(E460="","",LOWER(SUBSTITUTE(SUBSTITUTE(SUBSTITUTE(SUBSTITUTE(SUBSTITUTE(SUBSTITUTE(SUBSTITUTE(TRIM(E460),":",""),",",""),"'",""),"&amp;","and"),"£",""),"  "," ")," ","-")))</f>
        <v/>
      </c>
      <c r="G460">
        <f>IF(B460="Cluster",$E$3,IF(B460="Supporting",INDEX($E$3:$E$553,MATCH(C460,$C$3:$C$553,0)),""))</f>
        <v/>
      </c>
      <c r="H460">
        <f>IF(B460="Supporting",IFERROR(INDEX($E$3:$E$553,1+Entity!$B$14+INDEX(Values!$O$3:$O$502,P460)),""),IF(B460="Cluster",IF(Entity!$B$14&lt;2,"",INDEX($E$3:$E$553,IF(A460-1=Entity!$B$14,2,A460+1))),""))</f>
        <v/>
      </c>
      <c r="I460">
        <f>IF(B460="Pillar",Entity!$B$14&amp;" cluster pages",IF(B460="Cluster",(COUNTIF($C$3:$C$553,SUBSTITUTE(SUBSTITUTE(C460,"?","~?"),"*","~*"))-1)&amp;" supporting pages",""))</f>
        <v/>
      </c>
      <c r="J460">
        <f>IF(B460="Pillar","Informational",IF(OR(B460="Cluster",B460="Supporting"),INDEX(Attributes!$D$3:$D$52,Q460)&amp;"",""))</f>
        <v/>
      </c>
      <c r="K460">
        <f>IF(B460="","",IF(B460="Pillar","Pillar guide (entity hub)",IF(B460="Cluster","Hub page for this attribute",IF(INDEX(Values!$C$3:$C$502,P460)="Yes","Entity page (profile of the sub-entity)",IFERROR(INDEX(Lists!$B$3:$B$6,MATCH(J460,Lists!$A$3:$A$6,0)),"Article")))))</f>
        <v/>
      </c>
      <c r="L460">
        <f>IF(B460="Pillar",Entity!$B$6&amp;"",IF(B460="Cluster",INDEX(Attributes!$I$3:$I$52,Q460)&amp;"",IF(B460="Supporting",INDEX(Values!$F$3:$F$502,P460)&amp;"","")))</f>
        <v/>
      </c>
      <c r="M460">
        <f>IF(B460="","",IF(L460&lt;&gt;"","Covered","Gap"))</f>
        <v/>
      </c>
      <c r="N460">
        <f>IF(B460="Pillar",SUMIFS(Values!$E$3:$E$502,Values!$I$3:$I$502,"Yes"),IF(B460="Cluster",SUMIFS(Values!$E$3:$E$502,Values!$A$3:$A$502,SUBSTITUTE(SUBSTITUTE(C460,"?","~?"),"*","~*"),Values!$I$3:$I$502,"Yes"),IF(B460="Supporting",N(INDEX(Values!$E$3:$E$502,P460)),"")))</f>
        <v/>
      </c>
      <c r="O460">
        <f>IF(B460="","",IF(B460="Pillar",100,IF(B460="Cluster",N(INDEX(Attributes!$E$3:$E$52,Q460))*25+IF(M460="Gap",10,0),N(INDEX(Attributes!$E$3:$E$52,Q460))*20+MIN(20,ROUND(LOG10(N(N460)+1)*5,0))+IF(M460="Gap",10,0)+IF(INDEX(Values!$D$3:$D$502,P460)="Yes",5,0))))</f>
        <v/>
      </c>
      <c r="P460">
        <f>IF(B460="Supporting",MATCH(A460-1-Entity!$B$14,Values!$J$3:$J$502,0),"")</f>
        <v/>
      </c>
      <c r="Q460">
        <f>IF(C460="","",MATCH(C460,Attributes!$A$3:$A$52,0))</f>
        <v/>
      </c>
      <c r="R460">
        <f>IF(B460="Pillar",SUBSTITUTE(Entity!$B$7,"{entity}",LOWER(Entity!$B$3)),IF(B460="Cluster",IF(INDEX(Attributes!$G$3:$G$52,Q460)&lt;&gt;"",INDEX(Attributes!$G$3:$G$52,Q460),SUBSTITUTE(SUBSTITUTE(Entity!$B$8,"{entity}",LOWER(Entity!$B$3)),"{attribute}",LOWER(C460))),IF(B460="Supporting",SUBSTITUTE(SUBSTITUTE(SUBSTITUTE(IF(INDEX(Attributes!$H$3:$H$52,Q460)&lt;&gt;"",INDEX(Attributes!$H$3:$H$52,Q460),Entity!$B$9),"{entity}",LOWER(Entity!$B$3)),"{value}",D460),"{attribute}",LOWER(C460)),"")))</f>
        <v/>
      </c>
    </row>
    <row r="461">
      <c r="A461">
        <f>ROW()-2</f>
        <v/>
      </c>
      <c r="B461">
        <f>IF(A461=1,"Pillar",IF(A461&lt;=1+Entity!$B$14,"Cluster",IF(A461&lt;=1+Entity!$B$14+Entity!$B$15,"Supporting","")))</f>
        <v/>
      </c>
      <c r="C461">
        <f>IF(B461="Cluster",INDEX(Attributes!$A$3:$A$52,MATCH(A461-1,Attributes!$P$3:$P$52,0)),IF(B461="Supporting",INDEX(Values!$A$3:$A$502,P461),""))</f>
        <v/>
      </c>
      <c r="D461">
        <f>IF(B461="Supporting",INDEX(Values!$B$3:$B$502,P461),"")</f>
        <v/>
      </c>
      <c r="E461">
        <f>IF(R461="","",UPPER(LEFT(R461,1))&amp;MID(R461,2,500))</f>
        <v/>
      </c>
      <c r="F461">
        <f>IF(E461="","",LOWER(SUBSTITUTE(SUBSTITUTE(SUBSTITUTE(SUBSTITUTE(SUBSTITUTE(SUBSTITUTE(SUBSTITUTE(TRIM(E461),":",""),",",""),"'",""),"&amp;","and"),"£",""),"  "," ")," ","-")))</f>
        <v/>
      </c>
      <c r="G461">
        <f>IF(B461="Cluster",$E$3,IF(B461="Supporting",INDEX($E$3:$E$553,MATCH(C461,$C$3:$C$553,0)),""))</f>
        <v/>
      </c>
      <c r="H461">
        <f>IF(B461="Supporting",IFERROR(INDEX($E$3:$E$553,1+Entity!$B$14+INDEX(Values!$O$3:$O$502,P461)),""),IF(B461="Cluster",IF(Entity!$B$14&lt;2,"",INDEX($E$3:$E$553,IF(A461-1=Entity!$B$14,2,A461+1))),""))</f>
        <v/>
      </c>
      <c r="I461">
        <f>IF(B461="Pillar",Entity!$B$14&amp;" cluster pages",IF(B461="Cluster",(COUNTIF($C$3:$C$553,SUBSTITUTE(SUBSTITUTE(C461,"?","~?"),"*","~*"))-1)&amp;" supporting pages",""))</f>
        <v/>
      </c>
      <c r="J461">
        <f>IF(B461="Pillar","Informational",IF(OR(B461="Cluster",B461="Supporting"),INDEX(Attributes!$D$3:$D$52,Q461)&amp;"",""))</f>
        <v/>
      </c>
      <c r="K461">
        <f>IF(B461="","",IF(B461="Pillar","Pillar guide (entity hub)",IF(B461="Cluster","Hub page for this attribute",IF(INDEX(Values!$C$3:$C$502,P461)="Yes","Entity page (profile of the sub-entity)",IFERROR(INDEX(Lists!$B$3:$B$6,MATCH(J461,Lists!$A$3:$A$6,0)),"Article")))))</f>
        <v/>
      </c>
      <c r="L461">
        <f>IF(B461="Pillar",Entity!$B$6&amp;"",IF(B461="Cluster",INDEX(Attributes!$I$3:$I$52,Q461)&amp;"",IF(B461="Supporting",INDEX(Values!$F$3:$F$502,P461)&amp;"","")))</f>
        <v/>
      </c>
      <c r="M461">
        <f>IF(B461="","",IF(L461&lt;&gt;"","Covered","Gap"))</f>
        <v/>
      </c>
      <c r="N461">
        <f>IF(B461="Pillar",SUMIFS(Values!$E$3:$E$502,Values!$I$3:$I$502,"Yes"),IF(B461="Cluster",SUMIFS(Values!$E$3:$E$502,Values!$A$3:$A$502,SUBSTITUTE(SUBSTITUTE(C461,"?","~?"),"*","~*"),Values!$I$3:$I$502,"Yes"),IF(B461="Supporting",N(INDEX(Values!$E$3:$E$502,P461)),"")))</f>
        <v/>
      </c>
      <c r="O461">
        <f>IF(B461="","",IF(B461="Pillar",100,IF(B461="Cluster",N(INDEX(Attributes!$E$3:$E$52,Q461))*25+IF(M461="Gap",10,0),N(INDEX(Attributes!$E$3:$E$52,Q461))*20+MIN(20,ROUND(LOG10(N(N461)+1)*5,0))+IF(M461="Gap",10,0)+IF(INDEX(Values!$D$3:$D$502,P461)="Yes",5,0))))</f>
        <v/>
      </c>
      <c r="P461">
        <f>IF(B461="Supporting",MATCH(A461-1-Entity!$B$14,Values!$J$3:$J$502,0),"")</f>
        <v/>
      </c>
      <c r="Q461">
        <f>IF(C461="","",MATCH(C461,Attributes!$A$3:$A$52,0))</f>
        <v/>
      </c>
      <c r="R461">
        <f>IF(B461="Pillar",SUBSTITUTE(Entity!$B$7,"{entity}",LOWER(Entity!$B$3)),IF(B461="Cluster",IF(INDEX(Attributes!$G$3:$G$52,Q461)&lt;&gt;"",INDEX(Attributes!$G$3:$G$52,Q461),SUBSTITUTE(SUBSTITUTE(Entity!$B$8,"{entity}",LOWER(Entity!$B$3)),"{attribute}",LOWER(C461))),IF(B461="Supporting",SUBSTITUTE(SUBSTITUTE(SUBSTITUTE(IF(INDEX(Attributes!$H$3:$H$52,Q461)&lt;&gt;"",INDEX(Attributes!$H$3:$H$52,Q461),Entity!$B$9),"{entity}",LOWER(Entity!$B$3)),"{value}",D461),"{attribute}",LOWER(C461)),"")))</f>
        <v/>
      </c>
    </row>
    <row r="462">
      <c r="A462">
        <f>ROW()-2</f>
        <v/>
      </c>
      <c r="B462">
        <f>IF(A462=1,"Pillar",IF(A462&lt;=1+Entity!$B$14,"Cluster",IF(A462&lt;=1+Entity!$B$14+Entity!$B$15,"Supporting","")))</f>
        <v/>
      </c>
      <c r="C462">
        <f>IF(B462="Cluster",INDEX(Attributes!$A$3:$A$52,MATCH(A462-1,Attributes!$P$3:$P$52,0)),IF(B462="Supporting",INDEX(Values!$A$3:$A$502,P462),""))</f>
        <v/>
      </c>
      <c r="D462">
        <f>IF(B462="Supporting",INDEX(Values!$B$3:$B$502,P462),"")</f>
        <v/>
      </c>
      <c r="E462">
        <f>IF(R462="","",UPPER(LEFT(R462,1))&amp;MID(R462,2,500))</f>
        <v/>
      </c>
      <c r="F462">
        <f>IF(E462="","",LOWER(SUBSTITUTE(SUBSTITUTE(SUBSTITUTE(SUBSTITUTE(SUBSTITUTE(SUBSTITUTE(SUBSTITUTE(TRIM(E462),":",""),",",""),"'",""),"&amp;","and"),"£",""),"  "," ")," ","-")))</f>
        <v/>
      </c>
      <c r="G462">
        <f>IF(B462="Cluster",$E$3,IF(B462="Supporting",INDEX($E$3:$E$553,MATCH(C462,$C$3:$C$553,0)),""))</f>
        <v/>
      </c>
      <c r="H462">
        <f>IF(B462="Supporting",IFERROR(INDEX($E$3:$E$553,1+Entity!$B$14+INDEX(Values!$O$3:$O$502,P462)),""),IF(B462="Cluster",IF(Entity!$B$14&lt;2,"",INDEX($E$3:$E$553,IF(A462-1=Entity!$B$14,2,A462+1))),""))</f>
        <v/>
      </c>
      <c r="I462">
        <f>IF(B462="Pillar",Entity!$B$14&amp;" cluster pages",IF(B462="Cluster",(COUNTIF($C$3:$C$553,SUBSTITUTE(SUBSTITUTE(C462,"?","~?"),"*","~*"))-1)&amp;" supporting pages",""))</f>
        <v/>
      </c>
      <c r="J462">
        <f>IF(B462="Pillar","Informational",IF(OR(B462="Cluster",B462="Supporting"),INDEX(Attributes!$D$3:$D$52,Q462)&amp;"",""))</f>
        <v/>
      </c>
      <c r="K462">
        <f>IF(B462="","",IF(B462="Pillar","Pillar guide (entity hub)",IF(B462="Cluster","Hub page for this attribute",IF(INDEX(Values!$C$3:$C$502,P462)="Yes","Entity page (profile of the sub-entity)",IFERROR(INDEX(Lists!$B$3:$B$6,MATCH(J462,Lists!$A$3:$A$6,0)),"Article")))))</f>
        <v/>
      </c>
      <c r="L462">
        <f>IF(B462="Pillar",Entity!$B$6&amp;"",IF(B462="Cluster",INDEX(Attributes!$I$3:$I$52,Q462)&amp;"",IF(B462="Supporting",INDEX(Values!$F$3:$F$502,P462)&amp;"","")))</f>
        <v/>
      </c>
      <c r="M462">
        <f>IF(B462="","",IF(L462&lt;&gt;"","Covered","Gap"))</f>
        <v/>
      </c>
      <c r="N462">
        <f>IF(B462="Pillar",SUMIFS(Values!$E$3:$E$502,Values!$I$3:$I$502,"Yes"),IF(B462="Cluster",SUMIFS(Values!$E$3:$E$502,Values!$A$3:$A$502,SUBSTITUTE(SUBSTITUTE(C462,"?","~?"),"*","~*"),Values!$I$3:$I$502,"Yes"),IF(B462="Supporting",N(INDEX(Values!$E$3:$E$502,P462)),"")))</f>
        <v/>
      </c>
      <c r="O462">
        <f>IF(B462="","",IF(B462="Pillar",100,IF(B462="Cluster",N(INDEX(Attributes!$E$3:$E$52,Q462))*25+IF(M462="Gap",10,0),N(INDEX(Attributes!$E$3:$E$52,Q462))*20+MIN(20,ROUND(LOG10(N(N462)+1)*5,0))+IF(M462="Gap",10,0)+IF(INDEX(Values!$D$3:$D$502,P462)="Yes",5,0))))</f>
        <v/>
      </c>
      <c r="P462">
        <f>IF(B462="Supporting",MATCH(A462-1-Entity!$B$14,Values!$J$3:$J$502,0),"")</f>
        <v/>
      </c>
      <c r="Q462">
        <f>IF(C462="","",MATCH(C462,Attributes!$A$3:$A$52,0))</f>
        <v/>
      </c>
      <c r="R462">
        <f>IF(B462="Pillar",SUBSTITUTE(Entity!$B$7,"{entity}",LOWER(Entity!$B$3)),IF(B462="Cluster",IF(INDEX(Attributes!$G$3:$G$52,Q462)&lt;&gt;"",INDEX(Attributes!$G$3:$G$52,Q462),SUBSTITUTE(SUBSTITUTE(Entity!$B$8,"{entity}",LOWER(Entity!$B$3)),"{attribute}",LOWER(C462))),IF(B462="Supporting",SUBSTITUTE(SUBSTITUTE(SUBSTITUTE(IF(INDEX(Attributes!$H$3:$H$52,Q462)&lt;&gt;"",INDEX(Attributes!$H$3:$H$52,Q462),Entity!$B$9),"{entity}",LOWER(Entity!$B$3)),"{value}",D462),"{attribute}",LOWER(C462)),"")))</f>
        <v/>
      </c>
    </row>
    <row r="463">
      <c r="A463">
        <f>ROW()-2</f>
        <v/>
      </c>
      <c r="B463">
        <f>IF(A463=1,"Pillar",IF(A463&lt;=1+Entity!$B$14,"Cluster",IF(A463&lt;=1+Entity!$B$14+Entity!$B$15,"Supporting","")))</f>
        <v/>
      </c>
      <c r="C463">
        <f>IF(B463="Cluster",INDEX(Attributes!$A$3:$A$52,MATCH(A463-1,Attributes!$P$3:$P$52,0)),IF(B463="Supporting",INDEX(Values!$A$3:$A$502,P463),""))</f>
        <v/>
      </c>
      <c r="D463">
        <f>IF(B463="Supporting",INDEX(Values!$B$3:$B$502,P463),"")</f>
        <v/>
      </c>
      <c r="E463">
        <f>IF(R463="","",UPPER(LEFT(R463,1))&amp;MID(R463,2,500))</f>
        <v/>
      </c>
      <c r="F463">
        <f>IF(E463="","",LOWER(SUBSTITUTE(SUBSTITUTE(SUBSTITUTE(SUBSTITUTE(SUBSTITUTE(SUBSTITUTE(SUBSTITUTE(TRIM(E463),":",""),",",""),"'",""),"&amp;","and"),"£",""),"  "," ")," ","-")))</f>
        <v/>
      </c>
      <c r="G463">
        <f>IF(B463="Cluster",$E$3,IF(B463="Supporting",INDEX($E$3:$E$553,MATCH(C463,$C$3:$C$553,0)),""))</f>
        <v/>
      </c>
      <c r="H463">
        <f>IF(B463="Supporting",IFERROR(INDEX($E$3:$E$553,1+Entity!$B$14+INDEX(Values!$O$3:$O$502,P463)),""),IF(B463="Cluster",IF(Entity!$B$14&lt;2,"",INDEX($E$3:$E$553,IF(A463-1=Entity!$B$14,2,A463+1))),""))</f>
        <v/>
      </c>
      <c r="I463">
        <f>IF(B463="Pillar",Entity!$B$14&amp;" cluster pages",IF(B463="Cluster",(COUNTIF($C$3:$C$553,SUBSTITUTE(SUBSTITUTE(C463,"?","~?"),"*","~*"))-1)&amp;" supporting pages",""))</f>
        <v/>
      </c>
      <c r="J463">
        <f>IF(B463="Pillar","Informational",IF(OR(B463="Cluster",B463="Supporting"),INDEX(Attributes!$D$3:$D$52,Q463)&amp;"",""))</f>
        <v/>
      </c>
      <c r="K463">
        <f>IF(B463="","",IF(B463="Pillar","Pillar guide (entity hub)",IF(B463="Cluster","Hub page for this attribute",IF(INDEX(Values!$C$3:$C$502,P463)="Yes","Entity page (profile of the sub-entity)",IFERROR(INDEX(Lists!$B$3:$B$6,MATCH(J463,Lists!$A$3:$A$6,0)),"Article")))))</f>
        <v/>
      </c>
      <c r="L463">
        <f>IF(B463="Pillar",Entity!$B$6&amp;"",IF(B463="Cluster",INDEX(Attributes!$I$3:$I$52,Q463)&amp;"",IF(B463="Supporting",INDEX(Values!$F$3:$F$502,P463)&amp;"","")))</f>
        <v/>
      </c>
      <c r="M463">
        <f>IF(B463="","",IF(L463&lt;&gt;"","Covered","Gap"))</f>
        <v/>
      </c>
      <c r="N463">
        <f>IF(B463="Pillar",SUMIFS(Values!$E$3:$E$502,Values!$I$3:$I$502,"Yes"),IF(B463="Cluster",SUMIFS(Values!$E$3:$E$502,Values!$A$3:$A$502,SUBSTITUTE(SUBSTITUTE(C463,"?","~?"),"*","~*"),Values!$I$3:$I$502,"Yes"),IF(B463="Supporting",N(INDEX(Values!$E$3:$E$502,P463)),"")))</f>
        <v/>
      </c>
      <c r="O463">
        <f>IF(B463="","",IF(B463="Pillar",100,IF(B463="Cluster",N(INDEX(Attributes!$E$3:$E$52,Q463))*25+IF(M463="Gap",10,0),N(INDEX(Attributes!$E$3:$E$52,Q463))*20+MIN(20,ROUND(LOG10(N(N463)+1)*5,0))+IF(M463="Gap",10,0)+IF(INDEX(Values!$D$3:$D$502,P463)="Yes",5,0))))</f>
        <v/>
      </c>
      <c r="P463">
        <f>IF(B463="Supporting",MATCH(A463-1-Entity!$B$14,Values!$J$3:$J$502,0),"")</f>
        <v/>
      </c>
      <c r="Q463">
        <f>IF(C463="","",MATCH(C463,Attributes!$A$3:$A$52,0))</f>
        <v/>
      </c>
      <c r="R463">
        <f>IF(B463="Pillar",SUBSTITUTE(Entity!$B$7,"{entity}",LOWER(Entity!$B$3)),IF(B463="Cluster",IF(INDEX(Attributes!$G$3:$G$52,Q463)&lt;&gt;"",INDEX(Attributes!$G$3:$G$52,Q463),SUBSTITUTE(SUBSTITUTE(Entity!$B$8,"{entity}",LOWER(Entity!$B$3)),"{attribute}",LOWER(C463))),IF(B463="Supporting",SUBSTITUTE(SUBSTITUTE(SUBSTITUTE(IF(INDEX(Attributes!$H$3:$H$52,Q463)&lt;&gt;"",INDEX(Attributes!$H$3:$H$52,Q463),Entity!$B$9),"{entity}",LOWER(Entity!$B$3)),"{value}",D463),"{attribute}",LOWER(C463)),"")))</f>
        <v/>
      </c>
    </row>
    <row r="464">
      <c r="A464">
        <f>ROW()-2</f>
        <v/>
      </c>
      <c r="B464">
        <f>IF(A464=1,"Pillar",IF(A464&lt;=1+Entity!$B$14,"Cluster",IF(A464&lt;=1+Entity!$B$14+Entity!$B$15,"Supporting","")))</f>
        <v/>
      </c>
      <c r="C464">
        <f>IF(B464="Cluster",INDEX(Attributes!$A$3:$A$52,MATCH(A464-1,Attributes!$P$3:$P$52,0)),IF(B464="Supporting",INDEX(Values!$A$3:$A$502,P464),""))</f>
        <v/>
      </c>
      <c r="D464">
        <f>IF(B464="Supporting",INDEX(Values!$B$3:$B$502,P464),"")</f>
        <v/>
      </c>
      <c r="E464">
        <f>IF(R464="","",UPPER(LEFT(R464,1))&amp;MID(R464,2,500))</f>
        <v/>
      </c>
      <c r="F464">
        <f>IF(E464="","",LOWER(SUBSTITUTE(SUBSTITUTE(SUBSTITUTE(SUBSTITUTE(SUBSTITUTE(SUBSTITUTE(SUBSTITUTE(TRIM(E464),":",""),",",""),"'",""),"&amp;","and"),"£",""),"  "," ")," ","-")))</f>
        <v/>
      </c>
      <c r="G464">
        <f>IF(B464="Cluster",$E$3,IF(B464="Supporting",INDEX($E$3:$E$553,MATCH(C464,$C$3:$C$553,0)),""))</f>
        <v/>
      </c>
      <c r="H464">
        <f>IF(B464="Supporting",IFERROR(INDEX($E$3:$E$553,1+Entity!$B$14+INDEX(Values!$O$3:$O$502,P464)),""),IF(B464="Cluster",IF(Entity!$B$14&lt;2,"",INDEX($E$3:$E$553,IF(A464-1=Entity!$B$14,2,A464+1))),""))</f>
        <v/>
      </c>
      <c r="I464">
        <f>IF(B464="Pillar",Entity!$B$14&amp;" cluster pages",IF(B464="Cluster",(COUNTIF($C$3:$C$553,SUBSTITUTE(SUBSTITUTE(C464,"?","~?"),"*","~*"))-1)&amp;" supporting pages",""))</f>
        <v/>
      </c>
      <c r="J464">
        <f>IF(B464="Pillar","Informational",IF(OR(B464="Cluster",B464="Supporting"),INDEX(Attributes!$D$3:$D$52,Q464)&amp;"",""))</f>
        <v/>
      </c>
      <c r="K464">
        <f>IF(B464="","",IF(B464="Pillar","Pillar guide (entity hub)",IF(B464="Cluster","Hub page for this attribute",IF(INDEX(Values!$C$3:$C$502,P464)="Yes","Entity page (profile of the sub-entity)",IFERROR(INDEX(Lists!$B$3:$B$6,MATCH(J464,Lists!$A$3:$A$6,0)),"Article")))))</f>
        <v/>
      </c>
      <c r="L464">
        <f>IF(B464="Pillar",Entity!$B$6&amp;"",IF(B464="Cluster",INDEX(Attributes!$I$3:$I$52,Q464)&amp;"",IF(B464="Supporting",INDEX(Values!$F$3:$F$502,P464)&amp;"","")))</f>
        <v/>
      </c>
      <c r="M464">
        <f>IF(B464="","",IF(L464&lt;&gt;"","Covered","Gap"))</f>
        <v/>
      </c>
      <c r="N464">
        <f>IF(B464="Pillar",SUMIFS(Values!$E$3:$E$502,Values!$I$3:$I$502,"Yes"),IF(B464="Cluster",SUMIFS(Values!$E$3:$E$502,Values!$A$3:$A$502,SUBSTITUTE(SUBSTITUTE(C464,"?","~?"),"*","~*"),Values!$I$3:$I$502,"Yes"),IF(B464="Supporting",N(INDEX(Values!$E$3:$E$502,P464)),"")))</f>
        <v/>
      </c>
      <c r="O464">
        <f>IF(B464="","",IF(B464="Pillar",100,IF(B464="Cluster",N(INDEX(Attributes!$E$3:$E$52,Q464))*25+IF(M464="Gap",10,0),N(INDEX(Attributes!$E$3:$E$52,Q464))*20+MIN(20,ROUND(LOG10(N(N464)+1)*5,0))+IF(M464="Gap",10,0)+IF(INDEX(Values!$D$3:$D$502,P464)="Yes",5,0))))</f>
        <v/>
      </c>
      <c r="P464">
        <f>IF(B464="Supporting",MATCH(A464-1-Entity!$B$14,Values!$J$3:$J$502,0),"")</f>
        <v/>
      </c>
      <c r="Q464">
        <f>IF(C464="","",MATCH(C464,Attributes!$A$3:$A$52,0))</f>
        <v/>
      </c>
      <c r="R464">
        <f>IF(B464="Pillar",SUBSTITUTE(Entity!$B$7,"{entity}",LOWER(Entity!$B$3)),IF(B464="Cluster",IF(INDEX(Attributes!$G$3:$G$52,Q464)&lt;&gt;"",INDEX(Attributes!$G$3:$G$52,Q464),SUBSTITUTE(SUBSTITUTE(Entity!$B$8,"{entity}",LOWER(Entity!$B$3)),"{attribute}",LOWER(C464))),IF(B464="Supporting",SUBSTITUTE(SUBSTITUTE(SUBSTITUTE(IF(INDEX(Attributes!$H$3:$H$52,Q464)&lt;&gt;"",INDEX(Attributes!$H$3:$H$52,Q464),Entity!$B$9),"{entity}",LOWER(Entity!$B$3)),"{value}",D464),"{attribute}",LOWER(C464)),"")))</f>
        <v/>
      </c>
    </row>
    <row r="465">
      <c r="A465">
        <f>ROW()-2</f>
        <v/>
      </c>
      <c r="B465">
        <f>IF(A465=1,"Pillar",IF(A465&lt;=1+Entity!$B$14,"Cluster",IF(A465&lt;=1+Entity!$B$14+Entity!$B$15,"Supporting","")))</f>
        <v/>
      </c>
      <c r="C465">
        <f>IF(B465="Cluster",INDEX(Attributes!$A$3:$A$52,MATCH(A465-1,Attributes!$P$3:$P$52,0)),IF(B465="Supporting",INDEX(Values!$A$3:$A$502,P465),""))</f>
        <v/>
      </c>
      <c r="D465">
        <f>IF(B465="Supporting",INDEX(Values!$B$3:$B$502,P465),"")</f>
        <v/>
      </c>
      <c r="E465">
        <f>IF(R465="","",UPPER(LEFT(R465,1))&amp;MID(R465,2,500))</f>
        <v/>
      </c>
      <c r="F465">
        <f>IF(E465="","",LOWER(SUBSTITUTE(SUBSTITUTE(SUBSTITUTE(SUBSTITUTE(SUBSTITUTE(SUBSTITUTE(SUBSTITUTE(TRIM(E465),":",""),",",""),"'",""),"&amp;","and"),"£",""),"  "," ")," ","-")))</f>
        <v/>
      </c>
      <c r="G465">
        <f>IF(B465="Cluster",$E$3,IF(B465="Supporting",INDEX($E$3:$E$553,MATCH(C465,$C$3:$C$553,0)),""))</f>
        <v/>
      </c>
      <c r="H465">
        <f>IF(B465="Supporting",IFERROR(INDEX($E$3:$E$553,1+Entity!$B$14+INDEX(Values!$O$3:$O$502,P465)),""),IF(B465="Cluster",IF(Entity!$B$14&lt;2,"",INDEX($E$3:$E$553,IF(A465-1=Entity!$B$14,2,A465+1))),""))</f>
        <v/>
      </c>
      <c r="I465">
        <f>IF(B465="Pillar",Entity!$B$14&amp;" cluster pages",IF(B465="Cluster",(COUNTIF($C$3:$C$553,SUBSTITUTE(SUBSTITUTE(C465,"?","~?"),"*","~*"))-1)&amp;" supporting pages",""))</f>
        <v/>
      </c>
      <c r="J465">
        <f>IF(B465="Pillar","Informational",IF(OR(B465="Cluster",B465="Supporting"),INDEX(Attributes!$D$3:$D$52,Q465)&amp;"",""))</f>
        <v/>
      </c>
      <c r="K465">
        <f>IF(B465="","",IF(B465="Pillar","Pillar guide (entity hub)",IF(B465="Cluster","Hub page for this attribute",IF(INDEX(Values!$C$3:$C$502,P465)="Yes","Entity page (profile of the sub-entity)",IFERROR(INDEX(Lists!$B$3:$B$6,MATCH(J465,Lists!$A$3:$A$6,0)),"Article")))))</f>
        <v/>
      </c>
      <c r="L465">
        <f>IF(B465="Pillar",Entity!$B$6&amp;"",IF(B465="Cluster",INDEX(Attributes!$I$3:$I$52,Q465)&amp;"",IF(B465="Supporting",INDEX(Values!$F$3:$F$502,P465)&amp;"","")))</f>
        <v/>
      </c>
      <c r="M465">
        <f>IF(B465="","",IF(L465&lt;&gt;"","Covered","Gap"))</f>
        <v/>
      </c>
      <c r="N465">
        <f>IF(B465="Pillar",SUMIFS(Values!$E$3:$E$502,Values!$I$3:$I$502,"Yes"),IF(B465="Cluster",SUMIFS(Values!$E$3:$E$502,Values!$A$3:$A$502,SUBSTITUTE(SUBSTITUTE(C465,"?","~?"),"*","~*"),Values!$I$3:$I$502,"Yes"),IF(B465="Supporting",N(INDEX(Values!$E$3:$E$502,P465)),"")))</f>
        <v/>
      </c>
      <c r="O465">
        <f>IF(B465="","",IF(B465="Pillar",100,IF(B465="Cluster",N(INDEX(Attributes!$E$3:$E$52,Q465))*25+IF(M465="Gap",10,0),N(INDEX(Attributes!$E$3:$E$52,Q465))*20+MIN(20,ROUND(LOG10(N(N465)+1)*5,0))+IF(M465="Gap",10,0)+IF(INDEX(Values!$D$3:$D$502,P465)="Yes",5,0))))</f>
        <v/>
      </c>
      <c r="P465">
        <f>IF(B465="Supporting",MATCH(A465-1-Entity!$B$14,Values!$J$3:$J$502,0),"")</f>
        <v/>
      </c>
      <c r="Q465">
        <f>IF(C465="","",MATCH(C465,Attributes!$A$3:$A$52,0))</f>
        <v/>
      </c>
      <c r="R465">
        <f>IF(B465="Pillar",SUBSTITUTE(Entity!$B$7,"{entity}",LOWER(Entity!$B$3)),IF(B465="Cluster",IF(INDEX(Attributes!$G$3:$G$52,Q465)&lt;&gt;"",INDEX(Attributes!$G$3:$G$52,Q465),SUBSTITUTE(SUBSTITUTE(Entity!$B$8,"{entity}",LOWER(Entity!$B$3)),"{attribute}",LOWER(C465))),IF(B465="Supporting",SUBSTITUTE(SUBSTITUTE(SUBSTITUTE(IF(INDEX(Attributes!$H$3:$H$52,Q465)&lt;&gt;"",INDEX(Attributes!$H$3:$H$52,Q465),Entity!$B$9),"{entity}",LOWER(Entity!$B$3)),"{value}",D465),"{attribute}",LOWER(C465)),"")))</f>
        <v/>
      </c>
    </row>
    <row r="466">
      <c r="A466">
        <f>ROW()-2</f>
        <v/>
      </c>
      <c r="B466">
        <f>IF(A466=1,"Pillar",IF(A466&lt;=1+Entity!$B$14,"Cluster",IF(A466&lt;=1+Entity!$B$14+Entity!$B$15,"Supporting","")))</f>
        <v/>
      </c>
      <c r="C466">
        <f>IF(B466="Cluster",INDEX(Attributes!$A$3:$A$52,MATCH(A466-1,Attributes!$P$3:$P$52,0)),IF(B466="Supporting",INDEX(Values!$A$3:$A$502,P466),""))</f>
        <v/>
      </c>
      <c r="D466">
        <f>IF(B466="Supporting",INDEX(Values!$B$3:$B$502,P466),"")</f>
        <v/>
      </c>
      <c r="E466">
        <f>IF(R466="","",UPPER(LEFT(R466,1))&amp;MID(R466,2,500))</f>
        <v/>
      </c>
      <c r="F466">
        <f>IF(E466="","",LOWER(SUBSTITUTE(SUBSTITUTE(SUBSTITUTE(SUBSTITUTE(SUBSTITUTE(SUBSTITUTE(SUBSTITUTE(TRIM(E466),":",""),",",""),"'",""),"&amp;","and"),"£",""),"  "," ")," ","-")))</f>
        <v/>
      </c>
      <c r="G466">
        <f>IF(B466="Cluster",$E$3,IF(B466="Supporting",INDEX($E$3:$E$553,MATCH(C466,$C$3:$C$553,0)),""))</f>
        <v/>
      </c>
      <c r="H466">
        <f>IF(B466="Supporting",IFERROR(INDEX($E$3:$E$553,1+Entity!$B$14+INDEX(Values!$O$3:$O$502,P466)),""),IF(B466="Cluster",IF(Entity!$B$14&lt;2,"",INDEX($E$3:$E$553,IF(A466-1=Entity!$B$14,2,A466+1))),""))</f>
        <v/>
      </c>
      <c r="I466">
        <f>IF(B466="Pillar",Entity!$B$14&amp;" cluster pages",IF(B466="Cluster",(COUNTIF($C$3:$C$553,SUBSTITUTE(SUBSTITUTE(C466,"?","~?"),"*","~*"))-1)&amp;" supporting pages",""))</f>
        <v/>
      </c>
      <c r="J466">
        <f>IF(B466="Pillar","Informational",IF(OR(B466="Cluster",B466="Supporting"),INDEX(Attributes!$D$3:$D$52,Q466)&amp;"",""))</f>
        <v/>
      </c>
      <c r="K466">
        <f>IF(B466="","",IF(B466="Pillar","Pillar guide (entity hub)",IF(B466="Cluster","Hub page for this attribute",IF(INDEX(Values!$C$3:$C$502,P466)="Yes","Entity page (profile of the sub-entity)",IFERROR(INDEX(Lists!$B$3:$B$6,MATCH(J466,Lists!$A$3:$A$6,0)),"Article")))))</f>
        <v/>
      </c>
      <c r="L466">
        <f>IF(B466="Pillar",Entity!$B$6&amp;"",IF(B466="Cluster",INDEX(Attributes!$I$3:$I$52,Q466)&amp;"",IF(B466="Supporting",INDEX(Values!$F$3:$F$502,P466)&amp;"","")))</f>
        <v/>
      </c>
      <c r="M466">
        <f>IF(B466="","",IF(L466&lt;&gt;"","Covered","Gap"))</f>
        <v/>
      </c>
      <c r="N466">
        <f>IF(B466="Pillar",SUMIFS(Values!$E$3:$E$502,Values!$I$3:$I$502,"Yes"),IF(B466="Cluster",SUMIFS(Values!$E$3:$E$502,Values!$A$3:$A$502,SUBSTITUTE(SUBSTITUTE(C466,"?","~?"),"*","~*"),Values!$I$3:$I$502,"Yes"),IF(B466="Supporting",N(INDEX(Values!$E$3:$E$502,P466)),"")))</f>
        <v/>
      </c>
      <c r="O466">
        <f>IF(B466="","",IF(B466="Pillar",100,IF(B466="Cluster",N(INDEX(Attributes!$E$3:$E$52,Q466))*25+IF(M466="Gap",10,0),N(INDEX(Attributes!$E$3:$E$52,Q466))*20+MIN(20,ROUND(LOG10(N(N466)+1)*5,0))+IF(M466="Gap",10,0)+IF(INDEX(Values!$D$3:$D$502,P466)="Yes",5,0))))</f>
        <v/>
      </c>
      <c r="P466">
        <f>IF(B466="Supporting",MATCH(A466-1-Entity!$B$14,Values!$J$3:$J$502,0),"")</f>
        <v/>
      </c>
      <c r="Q466">
        <f>IF(C466="","",MATCH(C466,Attributes!$A$3:$A$52,0))</f>
        <v/>
      </c>
      <c r="R466">
        <f>IF(B466="Pillar",SUBSTITUTE(Entity!$B$7,"{entity}",LOWER(Entity!$B$3)),IF(B466="Cluster",IF(INDEX(Attributes!$G$3:$G$52,Q466)&lt;&gt;"",INDEX(Attributes!$G$3:$G$52,Q466),SUBSTITUTE(SUBSTITUTE(Entity!$B$8,"{entity}",LOWER(Entity!$B$3)),"{attribute}",LOWER(C466))),IF(B466="Supporting",SUBSTITUTE(SUBSTITUTE(SUBSTITUTE(IF(INDEX(Attributes!$H$3:$H$52,Q466)&lt;&gt;"",INDEX(Attributes!$H$3:$H$52,Q466),Entity!$B$9),"{entity}",LOWER(Entity!$B$3)),"{value}",D466),"{attribute}",LOWER(C466)),"")))</f>
        <v/>
      </c>
    </row>
    <row r="467">
      <c r="A467">
        <f>ROW()-2</f>
        <v/>
      </c>
      <c r="B467">
        <f>IF(A467=1,"Pillar",IF(A467&lt;=1+Entity!$B$14,"Cluster",IF(A467&lt;=1+Entity!$B$14+Entity!$B$15,"Supporting","")))</f>
        <v/>
      </c>
      <c r="C467">
        <f>IF(B467="Cluster",INDEX(Attributes!$A$3:$A$52,MATCH(A467-1,Attributes!$P$3:$P$52,0)),IF(B467="Supporting",INDEX(Values!$A$3:$A$502,P467),""))</f>
        <v/>
      </c>
      <c r="D467">
        <f>IF(B467="Supporting",INDEX(Values!$B$3:$B$502,P467),"")</f>
        <v/>
      </c>
      <c r="E467">
        <f>IF(R467="","",UPPER(LEFT(R467,1))&amp;MID(R467,2,500))</f>
        <v/>
      </c>
      <c r="F467">
        <f>IF(E467="","",LOWER(SUBSTITUTE(SUBSTITUTE(SUBSTITUTE(SUBSTITUTE(SUBSTITUTE(SUBSTITUTE(SUBSTITUTE(TRIM(E467),":",""),",",""),"'",""),"&amp;","and"),"£",""),"  "," ")," ","-")))</f>
        <v/>
      </c>
      <c r="G467">
        <f>IF(B467="Cluster",$E$3,IF(B467="Supporting",INDEX($E$3:$E$553,MATCH(C467,$C$3:$C$553,0)),""))</f>
        <v/>
      </c>
      <c r="H467">
        <f>IF(B467="Supporting",IFERROR(INDEX($E$3:$E$553,1+Entity!$B$14+INDEX(Values!$O$3:$O$502,P467)),""),IF(B467="Cluster",IF(Entity!$B$14&lt;2,"",INDEX($E$3:$E$553,IF(A467-1=Entity!$B$14,2,A467+1))),""))</f>
        <v/>
      </c>
      <c r="I467">
        <f>IF(B467="Pillar",Entity!$B$14&amp;" cluster pages",IF(B467="Cluster",(COUNTIF($C$3:$C$553,SUBSTITUTE(SUBSTITUTE(C467,"?","~?"),"*","~*"))-1)&amp;" supporting pages",""))</f>
        <v/>
      </c>
      <c r="J467">
        <f>IF(B467="Pillar","Informational",IF(OR(B467="Cluster",B467="Supporting"),INDEX(Attributes!$D$3:$D$52,Q467)&amp;"",""))</f>
        <v/>
      </c>
      <c r="K467">
        <f>IF(B467="","",IF(B467="Pillar","Pillar guide (entity hub)",IF(B467="Cluster","Hub page for this attribute",IF(INDEX(Values!$C$3:$C$502,P467)="Yes","Entity page (profile of the sub-entity)",IFERROR(INDEX(Lists!$B$3:$B$6,MATCH(J467,Lists!$A$3:$A$6,0)),"Article")))))</f>
        <v/>
      </c>
      <c r="L467">
        <f>IF(B467="Pillar",Entity!$B$6&amp;"",IF(B467="Cluster",INDEX(Attributes!$I$3:$I$52,Q467)&amp;"",IF(B467="Supporting",INDEX(Values!$F$3:$F$502,P467)&amp;"","")))</f>
        <v/>
      </c>
      <c r="M467">
        <f>IF(B467="","",IF(L467&lt;&gt;"","Covered","Gap"))</f>
        <v/>
      </c>
      <c r="N467">
        <f>IF(B467="Pillar",SUMIFS(Values!$E$3:$E$502,Values!$I$3:$I$502,"Yes"),IF(B467="Cluster",SUMIFS(Values!$E$3:$E$502,Values!$A$3:$A$502,SUBSTITUTE(SUBSTITUTE(C467,"?","~?"),"*","~*"),Values!$I$3:$I$502,"Yes"),IF(B467="Supporting",N(INDEX(Values!$E$3:$E$502,P467)),"")))</f>
        <v/>
      </c>
      <c r="O467">
        <f>IF(B467="","",IF(B467="Pillar",100,IF(B467="Cluster",N(INDEX(Attributes!$E$3:$E$52,Q467))*25+IF(M467="Gap",10,0),N(INDEX(Attributes!$E$3:$E$52,Q467))*20+MIN(20,ROUND(LOG10(N(N467)+1)*5,0))+IF(M467="Gap",10,0)+IF(INDEX(Values!$D$3:$D$502,P467)="Yes",5,0))))</f>
        <v/>
      </c>
      <c r="P467">
        <f>IF(B467="Supporting",MATCH(A467-1-Entity!$B$14,Values!$J$3:$J$502,0),"")</f>
        <v/>
      </c>
      <c r="Q467">
        <f>IF(C467="","",MATCH(C467,Attributes!$A$3:$A$52,0))</f>
        <v/>
      </c>
      <c r="R467">
        <f>IF(B467="Pillar",SUBSTITUTE(Entity!$B$7,"{entity}",LOWER(Entity!$B$3)),IF(B467="Cluster",IF(INDEX(Attributes!$G$3:$G$52,Q467)&lt;&gt;"",INDEX(Attributes!$G$3:$G$52,Q467),SUBSTITUTE(SUBSTITUTE(Entity!$B$8,"{entity}",LOWER(Entity!$B$3)),"{attribute}",LOWER(C467))),IF(B467="Supporting",SUBSTITUTE(SUBSTITUTE(SUBSTITUTE(IF(INDEX(Attributes!$H$3:$H$52,Q467)&lt;&gt;"",INDEX(Attributes!$H$3:$H$52,Q467),Entity!$B$9),"{entity}",LOWER(Entity!$B$3)),"{value}",D467),"{attribute}",LOWER(C467)),"")))</f>
        <v/>
      </c>
    </row>
    <row r="468">
      <c r="A468">
        <f>ROW()-2</f>
        <v/>
      </c>
      <c r="B468">
        <f>IF(A468=1,"Pillar",IF(A468&lt;=1+Entity!$B$14,"Cluster",IF(A468&lt;=1+Entity!$B$14+Entity!$B$15,"Supporting","")))</f>
        <v/>
      </c>
      <c r="C468">
        <f>IF(B468="Cluster",INDEX(Attributes!$A$3:$A$52,MATCH(A468-1,Attributes!$P$3:$P$52,0)),IF(B468="Supporting",INDEX(Values!$A$3:$A$502,P468),""))</f>
        <v/>
      </c>
      <c r="D468">
        <f>IF(B468="Supporting",INDEX(Values!$B$3:$B$502,P468),"")</f>
        <v/>
      </c>
      <c r="E468">
        <f>IF(R468="","",UPPER(LEFT(R468,1))&amp;MID(R468,2,500))</f>
        <v/>
      </c>
      <c r="F468">
        <f>IF(E468="","",LOWER(SUBSTITUTE(SUBSTITUTE(SUBSTITUTE(SUBSTITUTE(SUBSTITUTE(SUBSTITUTE(SUBSTITUTE(TRIM(E468),":",""),",",""),"'",""),"&amp;","and"),"£",""),"  "," ")," ","-")))</f>
        <v/>
      </c>
      <c r="G468">
        <f>IF(B468="Cluster",$E$3,IF(B468="Supporting",INDEX($E$3:$E$553,MATCH(C468,$C$3:$C$553,0)),""))</f>
        <v/>
      </c>
      <c r="H468">
        <f>IF(B468="Supporting",IFERROR(INDEX($E$3:$E$553,1+Entity!$B$14+INDEX(Values!$O$3:$O$502,P468)),""),IF(B468="Cluster",IF(Entity!$B$14&lt;2,"",INDEX($E$3:$E$553,IF(A468-1=Entity!$B$14,2,A468+1))),""))</f>
        <v/>
      </c>
      <c r="I468">
        <f>IF(B468="Pillar",Entity!$B$14&amp;" cluster pages",IF(B468="Cluster",(COUNTIF($C$3:$C$553,SUBSTITUTE(SUBSTITUTE(C468,"?","~?"),"*","~*"))-1)&amp;" supporting pages",""))</f>
        <v/>
      </c>
      <c r="J468">
        <f>IF(B468="Pillar","Informational",IF(OR(B468="Cluster",B468="Supporting"),INDEX(Attributes!$D$3:$D$52,Q468)&amp;"",""))</f>
        <v/>
      </c>
      <c r="K468">
        <f>IF(B468="","",IF(B468="Pillar","Pillar guide (entity hub)",IF(B468="Cluster","Hub page for this attribute",IF(INDEX(Values!$C$3:$C$502,P468)="Yes","Entity page (profile of the sub-entity)",IFERROR(INDEX(Lists!$B$3:$B$6,MATCH(J468,Lists!$A$3:$A$6,0)),"Article")))))</f>
        <v/>
      </c>
      <c r="L468">
        <f>IF(B468="Pillar",Entity!$B$6&amp;"",IF(B468="Cluster",INDEX(Attributes!$I$3:$I$52,Q468)&amp;"",IF(B468="Supporting",INDEX(Values!$F$3:$F$502,P468)&amp;"","")))</f>
        <v/>
      </c>
      <c r="M468">
        <f>IF(B468="","",IF(L468&lt;&gt;"","Covered","Gap"))</f>
        <v/>
      </c>
      <c r="N468">
        <f>IF(B468="Pillar",SUMIFS(Values!$E$3:$E$502,Values!$I$3:$I$502,"Yes"),IF(B468="Cluster",SUMIFS(Values!$E$3:$E$502,Values!$A$3:$A$502,SUBSTITUTE(SUBSTITUTE(C468,"?","~?"),"*","~*"),Values!$I$3:$I$502,"Yes"),IF(B468="Supporting",N(INDEX(Values!$E$3:$E$502,P468)),"")))</f>
        <v/>
      </c>
      <c r="O468">
        <f>IF(B468="","",IF(B468="Pillar",100,IF(B468="Cluster",N(INDEX(Attributes!$E$3:$E$52,Q468))*25+IF(M468="Gap",10,0),N(INDEX(Attributes!$E$3:$E$52,Q468))*20+MIN(20,ROUND(LOG10(N(N468)+1)*5,0))+IF(M468="Gap",10,0)+IF(INDEX(Values!$D$3:$D$502,P468)="Yes",5,0))))</f>
        <v/>
      </c>
      <c r="P468">
        <f>IF(B468="Supporting",MATCH(A468-1-Entity!$B$14,Values!$J$3:$J$502,0),"")</f>
        <v/>
      </c>
      <c r="Q468">
        <f>IF(C468="","",MATCH(C468,Attributes!$A$3:$A$52,0))</f>
        <v/>
      </c>
      <c r="R468">
        <f>IF(B468="Pillar",SUBSTITUTE(Entity!$B$7,"{entity}",LOWER(Entity!$B$3)),IF(B468="Cluster",IF(INDEX(Attributes!$G$3:$G$52,Q468)&lt;&gt;"",INDEX(Attributes!$G$3:$G$52,Q468),SUBSTITUTE(SUBSTITUTE(Entity!$B$8,"{entity}",LOWER(Entity!$B$3)),"{attribute}",LOWER(C468))),IF(B468="Supporting",SUBSTITUTE(SUBSTITUTE(SUBSTITUTE(IF(INDEX(Attributes!$H$3:$H$52,Q468)&lt;&gt;"",INDEX(Attributes!$H$3:$H$52,Q468),Entity!$B$9),"{entity}",LOWER(Entity!$B$3)),"{value}",D468),"{attribute}",LOWER(C468)),"")))</f>
        <v/>
      </c>
    </row>
    <row r="469">
      <c r="A469">
        <f>ROW()-2</f>
        <v/>
      </c>
      <c r="B469">
        <f>IF(A469=1,"Pillar",IF(A469&lt;=1+Entity!$B$14,"Cluster",IF(A469&lt;=1+Entity!$B$14+Entity!$B$15,"Supporting","")))</f>
        <v/>
      </c>
      <c r="C469">
        <f>IF(B469="Cluster",INDEX(Attributes!$A$3:$A$52,MATCH(A469-1,Attributes!$P$3:$P$52,0)),IF(B469="Supporting",INDEX(Values!$A$3:$A$502,P469),""))</f>
        <v/>
      </c>
      <c r="D469">
        <f>IF(B469="Supporting",INDEX(Values!$B$3:$B$502,P469),"")</f>
        <v/>
      </c>
      <c r="E469">
        <f>IF(R469="","",UPPER(LEFT(R469,1))&amp;MID(R469,2,500))</f>
        <v/>
      </c>
      <c r="F469">
        <f>IF(E469="","",LOWER(SUBSTITUTE(SUBSTITUTE(SUBSTITUTE(SUBSTITUTE(SUBSTITUTE(SUBSTITUTE(SUBSTITUTE(TRIM(E469),":",""),",",""),"'",""),"&amp;","and"),"£",""),"  "," ")," ","-")))</f>
        <v/>
      </c>
      <c r="G469">
        <f>IF(B469="Cluster",$E$3,IF(B469="Supporting",INDEX($E$3:$E$553,MATCH(C469,$C$3:$C$553,0)),""))</f>
        <v/>
      </c>
      <c r="H469">
        <f>IF(B469="Supporting",IFERROR(INDEX($E$3:$E$553,1+Entity!$B$14+INDEX(Values!$O$3:$O$502,P469)),""),IF(B469="Cluster",IF(Entity!$B$14&lt;2,"",INDEX($E$3:$E$553,IF(A469-1=Entity!$B$14,2,A469+1))),""))</f>
        <v/>
      </c>
      <c r="I469">
        <f>IF(B469="Pillar",Entity!$B$14&amp;" cluster pages",IF(B469="Cluster",(COUNTIF($C$3:$C$553,SUBSTITUTE(SUBSTITUTE(C469,"?","~?"),"*","~*"))-1)&amp;" supporting pages",""))</f>
        <v/>
      </c>
      <c r="J469">
        <f>IF(B469="Pillar","Informational",IF(OR(B469="Cluster",B469="Supporting"),INDEX(Attributes!$D$3:$D$52,Q469)&amp;"",""))</f>
        <v/>
      </c>
      <c r="K469">
        <f>IF(B469="","",IF(B469="Pillar","Pillar guide (entity hub)",IF(B469="Cluster","Hub page for this attribute",IF(INDEX(Values!$C$3:$C$502,P469)="Yes","Entity page (profile of the sub-entity)",IFERROR(INDEX(Lists!$B$3:$B$6,MATCH(J469,Lists!$A$3:$A$6,0)),"Article")))))</f>
        <v/>
      </c>
      <c r="L469">
        <f>IF(B469="Pillar",Entity!$B$6&amp;"",IF(B469="Cluster",INDEX(Attributes!$I$3:$I$52,Q469)&amp;"",IF(B469="Supporting",INDEX(Values!$F$3:$F$502,P469)&amp;"","")))</f>
        <v/>
      </c>
      <c r="M469">
        <f>IF(B469="","",IF(L469&lt;&gt;"","Covered","Gap"))</f>
        <v/>
      </c>
      <c r="N469">
        <f>IF(B469="Pillar",SUMIFS(Values!$E$3:$E$502,Values!$I$3:$I$502,"Yes"),IF(B469="Cluster",SUMIFS(Values!$E$3:$E$502,Values!$A$3:$A$502,SUBSTITUTE(SUBSTITUTE(C469,"?","~?"),"*","~*"),Values!$I$3:$I$502,"Yes"),IF(B469="Supporting",N(INDEX(Values!$E$3:$E$502,P469)),"")))</f>
        <v/>
      </c>
      <c r="O469">
        <f>IF(B469="","",IF(B469="Pillar",100,IF(B469="Cluster",N(INDEX(Attributes!$E$3:$E$52,Q469))*25+IF(M469="Gap",10,0),N(INDEX(Attributes!$E$3:$E$52,Q469))*20+MIN(20,ROUND(LOG10(N(N469)+1)*5,0))+IF(M469="Gap",10,0)+IF(INDEX(Values!$D$3:$D$502,P469)="Yes",5,0))))</f>
        <v/>
      </c>
      <c r="P469">
        <f>IF(B469="Supporting",MATCH(A469-1-Entity!$B$14,Values!$J$3:$J$502,0),"")</f>
        <v/>
      </c>
      <c r="Q469">
        <f>IF(C469="","",MATCH(C469,Attributes!$A$3:$A$52,0))</f>
        <v/>
      </c>
      <c r="R469">
        <f>IF(B469="Pillar",SUBSTITUTE(Entity!$B$7,"{entity}",LOWER(Entity!$B$3)),IF(B469="Cluster",IF(INDEX(Attributes!$G$3:$G$52,Q469)&lt;&gt;"",INDEX(Attributes!$G$3:$G$52,Q469),SUBSTITUTE(SUBSTITUTE(Entity!$B$8,"{entity}",LOWER(Entity!$B$3)),"{attribute}",LOWER(C469))),IF(B469="Supporting",SUBSTITUTE(SUBSTITUTE(SUBSTITUTE(IF(INDEX(Attributes!$H$3:$H$52,Q469)&lt;&gt;"",INDEX(Attributes!$H$3:$H$52,Q469),Entity!$B$9),"{entity}",LOWER(Entity!$B$3)),"{value}",D469),"{attribute}",LOWER(C469)),"")))</f>
        <v/>
      </c>
    </row>
    <row r="470">
      <c r="A470">
        <f>ROW()-2</f>
        <v/>
      </c>
      <c r="B470">
        <f>IF(A470=1,"Pillar",IF(A470&lt;=1+Entity!$B$14,"Cluster",IF(A470&lt;=1+Entity!$B$14+Entity!$B$15,"Supporting","")))</f>
        <v/>
      </c>
      <c r="C470">
        <f>IF(B470="Cluster",INDEX(Attributes!$A$3:$A$52,MATCH(A470-1,Attributes!$P$3:$P$52,0)),IF(B470="Supporting",INDEX(Values!$A$3:$A$502,P470),""))</f>
        <v/>
      </c>
      <c r="D470">
        <f>IF(B470="Supporting",INDEX(Values!$B$3:$B$502,P470),"")</f>
        <v/>
      </c>
      <c r="E470">
        <f>IF(R470="","",UPPER(LEFT(R470,1))&amp;MID(R470,2,500))</f>
        <v/>
      </c>
      <c r="F470">
        <f>IF(E470="","",LOWER(SUBSTITUTE(SUBSTITUTE(SUBSTITUTE(SUBSTITUTE(SUBSTITUTE(SUBSTITUTE(SUBSTITUTE(TRIM(E470),":",""),",",""),"'",""),"&amp;","and"),"£",""),"  "," ")," ","-")))</f>
        <v/>
      </c>
      <c r="G470">
        <f>IF(B470="Cluster",$E$3,IF(B470="Supporting",INDEX($E$3:$E$553,MATCH(C470,$C$3:$C$553,0)),""))</f>
        <v/>
      </c>
      <c r="H470">
        <f>IF(B470="Supporting",IFERROR(INDEX($E$3:$E$553,1+Entity!$B$14+INDEX(Values!$O$3:$O$502,P470)),""),IF(B470="Cluster",IF(Entity!$B$14&lt;2,"",INDEX($E$3:$E$553,IF(A470-1=Entity!$B$14,2,A470+1))),""))</f>
        <v/>
      </c>
      <c r="I470">
        <f>IF(B470="Pillar",Entity!$B$14&amp;" cluster pages",IF(B470="Cluster",(COUNTIF($C$3:$C$553,SUBSTITUTE(SUBSTITUTE(C470,"?","~?"),"*","~*"))-1)&amp;" supporting pages",""))</f>
        <v/>
      </c>
      <c r="J470">
        <f>IF(B470="Pillar","Informational",IF(OR(B470="Cluster",B470="Supporting"),INDEX(Attributes!$D$3:$D$52,Q470)&amp;"",""))</f>
        <v/>
      </c>
      <c r="K470">
        <f>IF(B470="","",IF(B470="Pillar","Pillar guide (entity hub)",IF(B470="Cluster","Hub page for this attribute",IF(INDEX(Values!$C$3:$C$502,P470)="Yes","Entity page (profile of the sub-entity)",IFERROR(INDEX(Lists!$B$3:$B$6,MATCH(J470,Lists!$A$3:$A$6,0)),"Article")))))</f>
        <v/>
      </c>
      <c r="L470">
        <f>IF(B470="Pillar",Entity!$B$6&amp;"",IF(B470="Cluster",INDEX(Attributes!$I$3:$I$52,Q470)&amp;"",IF(B470="Supporting",INDEX(Values!$F$3:$F$502,P470)&amp;"","")))</f>
        <v/>
      </c>
      <c r="M470">
        <f>IF(B470="","",IF(L470&lt;&gt;"","Covered","Gap"))</f>
        <v/>
      </c>
      <c r="N470">
        <f>IF(B470="Pillar",SUMIFS(Values!$E$3:$E$502,Values!$I$3:$I$502,"Yes"),IF(B470="Cluster",SUMIFS(Values!$E$3:$E$502,Values!$A$3:$A$502,SUBSTITUTE(SUBSTITUTE(C470,"?","~?"),"*","~*"),Values!$I$3:$I$502,"Yes"),IF(B470="Supporting",N(INDEX(Values!$E$3:$E$502,P470)),"")))</f>
        <v/>
      </c>
      <c r="O470">
        <f>IF(B470="","",IF(B470="Pillar",100,IF(B470="Cluster",N(INDEX(Attributes!$E$3:$E$52,Q470))*25+IF(M470="Gap",10,0),N(INDEX(Attributes!$E$3:$E$52,Q470))*20+MIN(20,ROUND(LOG10(N(N470)+1)*5,0))+IF(M470="Gap",10,0)+IF(INDEX(Values!$D$3:$D$502,P470)="Yes",5,0))))</f>
        <v/>
      </c>
      <c r="P470">
        <f>IF(B470="Supporting",MATCH(A470-1-Entity!$B$14,Values!$J$3:$J$502,0),"")</f>
        <v/>
      </c>
      <c r="Q470">
        <f>IF(C470="","",MATCH(C470,Attributes!$A$3:$A$52,0))</f>
        <v/>
      </c>
      <c r="R470">
        <f>IF(B470="Pillar",SUBSTITUTE(Entity!$B$7,"{entity}",LOWER(Entity!$B$3)),IF(B470="Cluster",IF(INDEX(Attributes!$G$3:$G$52,Q470)&lt;&gt;"",INDEX(Attributes!$G$3:$G$52,Q470),SUBSTITUTE(SUBSTITUTE(Entity!$B$8,"{entity}",LOWER(Entity!$B$3)),"{attribute}",LOWER(C470))),IF(B470="Supporting",SUBSTITUTE(SUBSTITUTE(SUBSTITUTE(IF(INDEX(Attributes!$H$3:$H$52,Q470)&lt;&gt;"",INDEX(Attributes!$H$3:$H$52,Q470),Entity!$B$9),"{entity}",LOWER(Entity!$B$3)),"{value}",D470),"{attribute}",LOWER(C470)),"")))</f>
        <v/>
      </c>
    </row>
    <row r="471">
      <c r="A471">
        <f>ROW()-2</f>
        <v/>
      </c>
      <c r="B471">
        <f>IF(A471=1,"Pillar",IF(A471&lt;=1+Entity!$B$14,"Cluster",IF(A471&lt;=1+Entity!$B$14+Entity!$B$15,"Supporting","")))</f>
        <v/>
      </c>
      <c r="C471">
        <f>IF(B471="Cluster",INDEX(Attributes!$A$3:$A$52,MATCH(A471-1,Attributes!$P$3:$P$52,0)),IF(B471="Supporting",INDEX(Values!$A$3:$A$502,P471),""))</f>
        <v/>
      </c>
      <c r="D471">
        <f>IF(B471="Supporting",INDEX(Values!$B$3:$B$502,P471),"")</f>
        <v/>
      </c>
      <c r="E471">
        <f>IF(R471="","",UPPER(LEFT(R471,1))&amp;MID(R471,2,500))</f>
        <v/>
      </c>
      <c r="F471">
        <f>IF(E471="","",LOWER(SUBSTITUTE(SUBSTITUTE(SUBSTITUTE(SUBSTITUTE(SUBSTITUTE(SUBSTITUTE(SUBSTITUTE(TRIM(E471),":",""),",",""),"'",""),"&amp;","and"),"£",""),"  "," ")," ","-")))</f>
        <v/>
      </c>
      <c r="G471">
        <f>IF(B471="Cluster",$E$3,IF(B471="Supporting",INDEX($E$3:$E$553,MATCH(C471,$C$3:$C$553,0)),""))</f>
        <v/>
      </c>
      <c r="H471">
        <f>IF(B471="Supporting",IFERROR(INDEX($E$3:$E$553,1+Entity!$B$14+INDEX(Values!$O$3:$O$502,P471)),""),IF(B471="Cluster",IF(Entity!$B$14&lt;2,"",INDEX($E$3:$E$553,IF(A471-1=Entity!$B$14,2,A471+1))),""))</f>
        <v/>
      </c>
      <c r="I471">
        <f>IF(B471="Pillar",Entity!$B$14&amp;" cluster pages",IF(B471="Cluster",(COUNTIF($C$3:$C$553,SUBSTITUTE(SUBSTITUTE(C471,"?","~?"),"*","~*"))-1)&amp;" supporting pages",""))</f>
        <v/>
      </c>
      <c r="J471">
        <f>IF(B471="Pillar","Informational",IF(OR(B471="Cluster",B471="Supporting"),INDEX(Attributes!$D$3:$D$52,Q471)&amp;"",""))</f>
        <v/>
      </c>
      <c r="K471">
        <f>IF(B471="","",IF(B471="Pillar","Pillar guide (entity hub)",IF(B471="Cluster","Hub page for this attribute",IF(INDEX(Values!$C$3:$C$502,P471)="Yes","Entity page (profile of the sub-entity)",IFERROR(INDEX(Lists!$B$3:$B$6,MATCH(J471,Lists!$A$3:$A$6,0)),"Article")))))</f>
        <v/>
      </c>
      <c r="L471">
        <f>IF(B471="Pillar",Entity!$B$6&amp;"",IF(B471="Cluster",INDEX(Attributes!$I$3:$I$52,Q471)&amp;"",IF(B471="Supporting",INDEX(Values!$F$3:$F$502,P471)&amp;"","")))</f>
        <v/>
      </c>
      <c r="M471">
        <f>IF(B471="","",IF(L471&lt;&gt;"","Covered","Gap"))</f>
        <v/>
      </c>
      <c r="N471">
        <f>IF(B471="Pillar",SUMIFS(Values!$E$3:$E$502,Values!$I$3:$I$502,"Yes"),IF(B471="Cluster",SUMIFS(Values!$E$3:$E$502,Values!$A$3:$A$502,SUBSTITUTE(SUBSTITUTE(C471,"?","~?"),"*","~*"),Values!$I$3:$I$502,"Yes"),IF(B471="Supporting",N(INDEX(Values!$E$3:$E$502,P471)),"")))</f>
        <v/>
      </c>
      <c r="O471">
        <f>IF(B471="","",IF(B471="Pillar",100,IF(B471="Cluster",N(INDEX(Attributes!$E$3:$E$52,Q471))*25+IF(M471="Gap",10,0),N(INDEX(Attributes!$E$3:$E$52,Q471))*20+MIN(20,ROUND(LOG10(N(N471)+1)*5,0))+IF(M471="Gap",10,0)+IF(INDEX(Values!$D$3:$D$502,P471)="Yes",5,0))))</f>
        <v/>
      </c>
      <c r="P471">
        <f>IF(B471="Supporting",MATCH(A471-1-Entity!$B$14,Values!$J$3:$J$502,0),"")</f>
        <v/>
      </c>
      <c r="Q471">
        <f>IF(C471="","",MATCH(C471,Attributes!$A$3:$A$52,0))</f>
        <v/>
      </c>
      <c r="R471">
        <f>IF(B471="Pillar",SUBSTITUTE(Entity!$B$7,"{entity}",LOWER(Entity!$B$3)),IF(B471="Cluster",IF(INDEX(Attributes!$G$3:$G$52,Q471)&lt;&gt;"",INDEX(Attributes!$G$3:$G$52,Q471),SUBSTITUTE(SUBSTITUTE(Entity!$B$8,"{entity}",LOWER(Entity!$B$3)),"{attribute}",LOWER(C471))),IF(B471="Supporting",SUBSTITUTE(SUBSTITUTE(SUBSTITUTE(IF(INDEX(Attributes!$H$3:$H$52,Q471)&lt;&gt;"",INDEX(Attributes!$H$3:$H$52,Q471),Entity!$B$9),"{entity}",LOWER(Entity!$B$3)),"{value}",D471),"{attribute}",LOWER(C471)),"")))</f>
        <v/>
      </c>
    </row>
    <row r="472">
      <c r="A472">
        <f>ROW()-2</f>
        <v/>
      </c>
      <c r="B472">
        <f>IF(A472=1,"Pillar",IF(A472&lt;=1+Entity!$B$14,"Cluster",IF(A472&lt;=1+Entity!$B$14+Entity!$B$15,"Supporting","")))</f>
        <v/>
      </c>
      <c r="C472">
        <f>IF(B472="Cluster",INDEX(Attributes!$A$3:$A$52,MATCH(A472-1,Attributes!$P$3:$P$52,0)),IF(B472="Supporting",INDEX(Values!$A$3:$A$502,P472),""))</f>
        <v/>
      </c>
      <c r="D472">
        <f>IF(B472="Supporting",INDEX(Values!$B$3:$B$502,P472),"")</f>
        <v/>
      </c>
      <c r="E472">
        <f>IF(R472="","",UPPER(LEFT(R472,1))&amp;MID(R472,2,500))</f>
        <v/>
      </c>
      <c r="F472">
        <f>IF(E472="","",LOWER(SUBSTITUTE(SUBSTITUTE(SUBSTITUTE(SUBSTITUTE(SUBSTITUTE(SUBSTITUTE(SUBSTITUTE(TRIM(E472),":",""),",",""),"'",""),"&amp;","and"),"£",""),"  "," ")," ","-")))</f>
        <v/>
      </c>
      <c r="G472">
        <f>IF(B472="Cluster",$E$3,IF(B472="Supporting",INDEX($E$3:$E$553,MATCH(C472,$C$3:$C$553,0)),""))</f>
        <v/>
      </c>
      <c r="H472">
        <f>IF(B472="Supporting",IFERROR(INDEX($E$3:$E$553,1+Entity!$B$14+INDEX(Values!$O$3:$O$502,P472)),""),IF(B472="Cluster",IF(Entity!$B$14&lt;2,"",INDEX($E$3:$E$553,IF(A472-1=Entity!$B$14,2,A472+1))),""))</f>
        <v/>
      </c>
      <c r="I472">
        <f>IF(B472="Pillar",Entity!$B$14&amp;" cluster pages",IF(B472="Cluster",(COUNTIF($C$3:$C$553,SUBSTITUTE(SUBSTITUTE(C472,"?","~?"),"*","~*"))-1)&amp;" supporting pages",""))</f>
        <v/>
      </c>
      <c r="J472">
        <f>IF(B472="Pillar","Informational",IF(OR(B472="Cluster",B472="Supporting"),INDEX(Attributes!$D$3:$D$52,Q472)&amp;"",""))</f>
        <v/>
      </c>
      <c r="K472">
        <f>IF(B472="","",IF(B472="Pillar","Pillar guide (entity hub)",IF(B472="Cluster","Hub page for this attribute",IF(INDEX(Values!$C$3:$C$502,P472)="Yes","Entity page (profile of the sub-entity)",IFERROR(INDEX(Lists!$B$3:$B$6,MATCH(J472,Lists!$A$3:$A$6,0)),"Article")))))</f>
        <v/>
      </c>
      <c r="L472">
        <f>IF(B472="Pillar",Entity!$B$6&amp;"",IF(B472="Cluster",INDEX(Attributes!$I$3:$I$52,Q472)&amp;"",IF(B472="Supporting",INDEX(Values!$F$3:$F$502,P472)&amp;"","")))</f>
        <v/>
      </c>
      <c r="M472">
        <f>IF(B472="","",IF(L472&lt;&gt;"","Covered","Gap"))</f>
        <v/>
      </c>
      <c r="N472">
        <f>IF(B472="Pillar",SUMIFS(Values!$E$3:$E$502,Values!$I$3:$I$502,"Yes"),IF(B472="Cluster",SUMIFS(Values!$E$3:$E$502,Values!$A$3:$A$502,SUBSTITUTE(SUBSTITUTE(C472,"?","~?"),"*","~*"),Values!$I$3:$I$502,"Yes"),IF(B472="Supporting",N(INDEX(Values!$E$3:$E$502,P472)),"")))</f>
        <v/>
      </c>
      <c r="O472">
        <f>IF(B472="","",IF(B472="Pillar",100,IF(B472="Cluster",N(INDEX(Attributes!$E$3:$E$52,Q472))*25+IF(M472="Gap",10,0),N(INDEX(Attributes!$E$3:$E$52,Q472))*20+MIN(20,ROUND(LOG10(N(N472)+1)*5,0))+IF(M472="Gap",10,0)+IF(INDEX(Values!$D$3:$D$502,P472)="Yes",5,0))))</f>
        <v/>
      </c>
      <c r="P472">
        <f>IF(B472="Supporting",MATCH(A472-1-Entity!$B$14,Values!$J$3:$J$502,0),"")</f>
        <v/>
      </c>
      <c r="Q472">
        <f>IF(C472="","",MATCH(C472,Attributes!$A$3:$A$52,0))</f>
        <v/>
      </c>
      <c r="R472">
        <f>IF(B472="Pillar",SUBSTITUTE(Entity!$B$7,"{entity}",LOWER(Entity!$B$3)),IF(B472="Cluster",IF(INDEX(Attributes!$G$3:$G$52,Q472)&lt;&gt;"",INDEX(Attributes!$G$3:$G$52,Q472),SUBSTITUTE(SUBSTITUTE(Entity!$B$8,"{entity}",LOWER(Entity!$B$3)),"{attribute}",LOWER(C472))),IF(B472="Supporting",SUBSTITUTE(SUBSTITUTE(SUBSTITUTE(IF(INDEX(Attributes!$H$3:$H$52,Q472)&lt;&gt;"",INDEX(Attributes!$H$3:$H$52,Q472),Entity!$B$9),"{entity}",LOWER(Entity!$B$3)),"{value}",D472),"{attribute}",LOWER(C472)),"")))</f>
        <v/>
      </c>
    </row>
    <row r="473">
      <c r="A473">
        <f>ROW()-2</f>
        <v/>
      </c>
      <c r="B473">
        <f>IF(A473=1,"Pillar",IF(A473&lt;=1+Entity!$B$14,"Cluster",IF(A473&lt;=1+Entity!$B$14+Entity!$B$15,"Supporting","")))</f>
        <v/>
      </c>
      <c r="C473">
        <f>IF(B473="Cluster",INDEX(Attributes!$A$3:$A$52,MATCH(A473-1,Attributes!$P$3:$P$52,0)),IF(B473="Supporting",INDEX(Values!$A$3:$A$502,P473),""))</f>
        <v/>
      </c>
      <c r="D473">
        <f>IF(B473="Supporting",INDEX(Values!$B$3:$B$502,P473),"")</f>
        <v/>
      </c>
      <c r="E473">
        <f>IF(R473="","",UPPER(LEFT(R473,1))&amp;MID(R473,2,500))</f>
        <v/>
      </c>
      <c r="F473">
        <f>IF(E473="","",LOWER(SUBSTITUTE(SUBSTITUTE(SUBSTITUTE(SUBSTITUTE(SUBSTITUTE(SUBSTITUTE(SUBSTITUTE(TRIM(E473),":",""),",",""),"'",""),"&amp;","and"),"£",""),"  "," ")," ","-")))</f>
        <v/>
      </c>
      <c r="G473">
        <f>IF(B473="Cluster",$E$3,IF(B473="Supporting",INDEX($E$3:$E$553,MATCH(C473,$C$3:$C$553,0)),""))</f>
        <v/>
      </c>
      <c r="H473">
        <f>IF(B473="Supporting",IFERROR(INDEX($E$3:$E$553,1+Entity!$B$14+INDEX(Values!$O$3:$O$502,P473)),""),IF(B473="Cluster",IF(Entity!$B$14&lt;2,"",INDEX($E$3:$E$553,IF(A473-1=Entity!$B$14,2,A473+1))),""))</f>
        <v/>
      </c>
      <c r="I473">
        <f>IF(B473="Pillar",Entity!$B$14&amp;" cluster pages",IF(B473="Cluster",(COUNTIF($C$3:$C$553,SUBSTITUTE(SUBSTITUTE(C473,"?","~?"),"*","~*"))-1)&amp;" supporting pages",""))</f>
        <v/>
      </c>
      <c r="J473">
        <f>IF(B473="Pillar","Informational",IF(OR(B473="Cluster",B473="Supporting"),INDEX(Attributes!$D$3:$D$52,Q473)&amp;"",""))</f>
        <v/>
      </c>
      <c r="K473">
        <f>IF(B473="","",IF(B473="Pillar","Pillar guide (entity hub)",IF(B473="Cluster","Hub page for this attribute",IF(INDEX(Values!$C$3:$C$502,P473)="Yes","Entity page (profile of the sub-entity)",IFERROR(INDEX(Lists!$B$3:$B$6,MATCH(J473,Lists!$A$3:$A$6,0)),"Article")))))</f>
        <v/>
      </c>
      <c r="L473">
        <f>IF(B473="Pillar",Entity!$B$6&amp;"",IF(B473="Cluster",INDEX(Attributes!$I$3:$I$52,Q473)&amp;"",IF(B473="Supporting",INDEX(Values!$F$3:$F$502,P473)&amp;"","")))</f>
        <v/>
      </c>
      <c r="M473">
        <f>IF(B473="","",IF(L473&lt;&gt;"","Covered","Gap"))</f>
        <v/>
      </c>
      <c r="N473">
        <f>IF(B473="Pillar",SUMIFS(Values!$E$3:$E$502,Values!$I$3:$I$502,"Yes"),IF(B473="Cluster",SUMIFS(Values!$E$3:$E$502,Values!$A$3:$A$502,SUBSTITUTE(SUBSTITUTE(C473,"?","~?"),"*","~*"),Values!$I$3:$I$502,"Yes"),IF(B473="Supporting",N(INDEX(Values!$E$3:$E$502,P473)),"")))</f>
        <v/>
      </c>
      <c r="O473">
        <f>IF(B473="","",IF(B473="Pillar",100,IF(B473="Cluster",N(INDEX(Attributes!$E$3:$E$52,Q473))*25+IF(M473="Gap",10,0),N(INDEX(Attributes!$E$3:$E$52,Q473))*20+MIN(20,ROUND(LOG10(N(N473)+1)*5,0))+IF(M473="Gap",10,0)+IF(INDEX(Values!$D$3:$D$502,P473)="Yes",5,0))))</f>
        <v/>
      </c>
      <c r="P473">
        <f>IF(B473="Supporting",MATCH(A473-1-Entity!$B$14,Values!$J$3:$J$502,0),"")</f>
        <v/>
      </c>
      <c r="Q473">
        <f>IF(C473="","",MATCH(C473,Attributes!$A$3:$A$52,0))</f>
        <v/>
      </c>
      <c r="R473">
        <f>IF(B473="Pillar",SUBSTITUTE(Entity!$B$7,"{entity}",LOWER(Entity!$B$3)),IF(B473="Cluster",IF(INDEX(Attributes!$G$3:$G$52,Q473)&lt;&gt;"",INDEX(Attributes!$G$3:$G$52,Q473),SUBSTITUTE(SUBSTITUTE(Entity!$B$8,"{entity}",LOWER(Entity!$B$3)),"{attribute}",LOWER(C473))),IF(B473="Supporting",SUBSTITUTE(SUBSTITUTE(SUBSTITUTE(IF(INDEX(Attributes!$H$3:$H$52,Q473)&lt;&gt;"",INDEX(Attributes!$H$3:$H$52,Q473),Entity!$B$9),"{entity}",LOWER(Entity!$B$3)),"{value}",D473),"{attribute}",LOWER(C473)),"")))</f>
        <v/>
      </c>
    </row>
    <row r="474">
      <c r="A474">
        <f>ROW()-2</f>
        <v/>
      </c>
      <c r="B474">
        <f>IF(A474=1,"Pillar",IF(A474&lt;=1+Entity!$B$14,"Cluster",IF(A474&lt;=1+Entity!$B$14+Entity!$B$15,"Supporting","")))</f>
        <v/>
      </c>
      <c r="C474">
        <f>IF(B474="Cluster",INDEX(Attributes!$A$3:$A$52,MATCH(A474-1,Attributes!$P$3:$P$52,0)),IF(B474="Supporting",INDEX(Values!$A$3:$A$502,P474),""))</f>
        <v/>
      </c>
      <c r="D474">
        <f>IF(B474="Supporting",INDEX(Values!$B$3:$B$502,P474),"")</f>
        <v/>
      </c>
      <c r="E474">
        <f>IF(R474="","",UPPER(LEFT(R474,1))&amp;MID(R474,2,500))</f>
        <v/>
      </c>
      <c r="F474">
        <f>IF(E474="","",LOWER(SUBSTITUTE(SUBSTITUTE(SUBSTITUTE(SUBSTITUTE(SUBSTITUTE(SUBSTITUTE(SUBSTITUTE(TRIM(E474),":",""),",",""),"'",""),"&amp;","and"),"£",""),"  "," ")," ","-")))</f>
        <v/>
      </c>
      <c r="G474">
        <f>IF(B474="Cluster",$E$3,IF(B474="Supporting",INDEX($E$3:$E$553,MATCH(C474,$C$3:$C$553,0)),""))</f>
        <v/>
      </c>
      <c r="H474">
        <f>IF(B474="Supporting",IFERROR(INDEX($E$3:$E$553,1+Entity!$B$14+INDEX(Values!$O$3:$O$502,P474)),""),IF(B474="Cluster",IF(Entity!$B$14&lt;2,"",INDEX($E$3:$E$553,IF(A474-1=Entity!$B$14,2,A474+1))),""))</f>
        <v/>
      </c>
      <c r="I474">
        <f>IF(B474="Pillar",Entity!$B$14&amp;" cluster pages",IF(B474="Cluster",(COUNTIF($C$3:$C$553,SUBSTITUTE(SUBSTITUTE(C474,"?","~?"),"*","~*"))-1)&amp;" supporting pages",""))</f>
        <v/>
      </c>
      <c r="J474">
        <f>IF(B474="Pillar","Informational",IF(OR(B474="Cluster",B474="Supporting"),INDEX(Attributes!$D$3:$D$52,Q474)&amp;"",""))</f>
        <v/>
      </c>
      <c r="K474">
        <f>IF(B474="","",IF(B474="Pillar","Pillar guide (entity hub)",IF(B474="Cluster","Hub page for this attribute",IF(INDEX(Values!$C$3:$C$502,P474)="Yes","Entity page (profile of the sub-entity)",IFERROR(INDEX(Lists!$B$3:$B$6,MATCH(J474,Lists!$A$3:$A$6,0)),"Article")))))</f>
        <v/>
      </c>
      <c r="L474">
        <f>IF(B474="Pillar",Entity!$B$6&amp;"",IF(B474="Cluster",INDEX(Attributes!$I$3:$I$52,Q474)&amp;"",IF(B474="Supporting",INDEX(Values!$F$3:$F$502,P474)&amp;"","")))</f>
        <v/>
      </c>
      <c r="M474">
        <f>IF(B474="","",IF(L474&lt;&gt;"","Covered","Gap"))</f>
        <v/>
      </c>
      <c r="N474">
        <f>IF(B474="Pillar",SUMIFS(Values!$E$3:$E$502,Values!$I$3:$I$502,"Yes"),IF(B474="Cluster",SUMIFS(Values!$E$3:$E$502,Values!$A$3:$A$502,SUBSTITUTE(SUBSTITUTE(C474,"?","~?"),"*","~*"),Values!$I$3:$I$502,"Yes"),IF(B474="Supporting",N(INDEX(Values!$E$3:$E$502,P474)),"")))</f>
        <v/>
      </c>
      <c r="O474">
        <f>IF(B474="","",IF(B474="Pillar",100,IF(B474="Cluster",N(INDEX(Attributes!$E$3:$E$52,Q474))*25+IF(M474="Gap",10,0),N(INDEX(Attributes!$E$3:$E$52,Q474))*20+MIN(20,ROUND(LOG10(N(N474)+1)*5,0))+IF(M474="Gap",10,0)+IF(INDEX(Values!$D$3:$D$502,P474)="Yes",5,0))))</f>
        <v/>
      </c>
      <c r="P474">
        <f>IF(B474="Supporting",MATCH(A474-1-Entity!$B$14,Values!$J$3:$J$502,0),"")</f>
        <v/>
      </c>
      <c r="Q474">
        <f>IF(C474="","",MATCH(C474,Attributes!$A$3:$A$52,0))</f>
        <v/>
      </c>
      <c r="R474">
        <f>IF(B474="Pillar",SUBSTITUTE(Entity!$B$7,"{entity}",LOWER(Entity!$B$3)),IF(B474="Cluster",IF(INDEX(Attributes!$G$3:$G$52,Q474)&lt;&gt;"",INDEX(Attributes!$G$3:$G$52,Q474),SUBSTITUTE(SUBSTITUTE(Entity!$B$8,"{entity}",LOWER(Entity!$B$3)),"{attribute}",LOWER(C474))),IF(B474="Supporting",SUBSTITUTE(SUBSTITUTE(SUBSTITUTE(IF(INDEX(Attributes!$H$3:$H$52,Q474)&lt;&gt;"",INDEX(Attributes!$H$3:$H$52,Q474),Entity!$B$9),"{entity}",LOWER(Entity!$B$3)),"{value}",D474),"{attribute}",LOWER(C474)),"")))</f>
        <v/>
      </c>
    </row>
    <row r="475">
      <c r="A475">
        <f>ROW()-2</f>
        <v/>
      </c>
      <c r="B475">
        <f>IF(A475=1,"Pillar",IF(A475&lt;=1+Entity!$B$14,"Cluster",IF(A475&lt;=1+Entity!$B$14+Entity!$B$15,"Supporting","")))</f>
        <v/>
      </c>
      <c r="C475">
        <f>IF(B475="Cluster",INDEX(Attributes!$A$3:$A$52,MATCH(A475-1,Attributes!$P$3:$P$52,0)),IF(B475="Supporting",INDEX(Values!$A$3:$A$502,P475),""))</f>
        <v/>
      </c>
      <c r="D475">
        <f>IF(B475="Supporting",INDEX(Values!$B$3:$B$502,P475),"")</f>
        <v/>
      </c>
      <c r="E475">
        <f>IF(R475="","",UPPER(LEFT(R475,1))&amp;MID(R475,2,500))</f>
        <v/>
      </c>
      <c r="F475">
        <f>IF(E475="","",LOWER(SUBSTITUTE(SUBSTITUTE(SUBSTITUTE(SUBSTITUTE(SUBSTITUTE(SUBSTITUTE(SUBSTITUTE(TRIM(E475),":",""),",",""),"'",""),"&amp;","and"),"£",""),"  "," ")," ","-")))</f>
        <v/>
      </c>
      <c r="G475">
        <f>IF(B475="Cluster",$E$3,IF(B475="Supporting",INDEX($E$3:$E$553,MATCH(C475,$C$3:$C$553,0)),""))</f>
        <v/>
      </c>
      <c r="H475">
        <f>IF(B475="Supporting",IFERROR(INDEX($E$3:$E$553,1+Entity!$B$14+INDEX(Values!$O$3:$O$502,P475)),""),IF(B475="Cluster",IF(Entity!$B$14&lt;2,"",INDEX($E$3:$E$553,IF(A475-1=Entity!$B$14,2,A475+1))),""))</f>
        <v/>
      </c>
      <c r="I475">
        <f>IF(B475="Pillar",Entity!$B$14&amp;" cluster pages",IF(B475="Cluster",(COUNTIF($C$3:$C$553,SUBSTITUTE(SUBSTITUTE(C475,"?","~?"),"*","~*"))-1)&amp;" supporting pages",""))</f>
        <v/>
      </c>
      <c r="J475">
        <f>IF(B475="Pillar","Informational",IF(OR(B475="Cluster",B475="Supporting"),INDEX(Attributes!$D$3:$D$52,Q475)&amp;"",""))</f>
        <v/>
      </c>
      <c r="K475">
        <f>IF(B475="","",IF(B475="Pillar","Pillar guide (entity hub)",IF(B475="Cluster","Hub page for this attribute",IF(INDEX(Values!$C$3:$C$502,P475)="Yes","Entity page (profile of the sub-entity)",IFERROR(INDEX(Lists!$B$3:$B$6,MATCH(J475,Lists!$A$3:$A$6,0)),"Article")))))</f>
        <v/>
      </c>
      <c r="L475">
        <f>IF(B475="Pillar",Entity!$B$6&amp;"",IF(B475="Cluster",INDEX(Attributes!$I$3:$I$52,Q475)&amp;"",IF(B475="Supporting",INDEX(Values!$F$3:$F$502,P475)&amp;"","")))</f>
        <v/>
      </c>
      <c r="M475">
        <f>IF(B475="","",IF(L475&lt;&gt;"","Covered","Gap"))</f>
        <v/>
      </c>
      <c r="N475">
        <f>IF(B475="Pillar",SUMIFS(Values!$E$3:$E$502,Values!$I$3:$I$502,"Yes"),IF(B475="Cluster",SUMIFS(Values!$E$3:$E$502,Values!$A$3:$A$502,SUBSTITUTE(SUBSTITUTE(C475,"?","~?"),"*","~*"),Values!$I$3:$I$502,"Yes"),IF(B475="Supporting",N(INDEX(Values!$E$3:$E$502,P475)),"")))</f>
        <v/>
      </c>
      <c r="O475">
        <f>IF(B475="","",IF(B475="Pillar",100,IF(B475="Cluster",N(INDEX(Attributes!$E$3:$E$52,Q475))*25+IF(M475="Gap",10,0),N(INDEX(Attributes!$E$3:$E$52,Q475))*20+MIN(20,ROUND(LOG10(N(N475)+1)*5,0))+IF(M475="Gap",10,0)+IF(INDEX(Values!$D$3:$D$502,P475)="Yes",5,0))))</f>
        <v/>
      </c>
      <c r="P475">
        <f>IF(B475="Supporting",MATCH(A475-1-Entity!$B$14,Values!$J$3:$J$502,0),"")</f>
        <v/>
      </c>
      <c r="Q475">
        <f>IF(C475="","",MATCH(C475,Attributes!$A$3:$A$52,0))</f>
        <v/>
      </c>
      <c r="R475">
        <f>IF(B475="Pillar",SUBSTITUTE(Entity!$B$7,"{entity}",LOWER(Entity!$B$3)),IF(B475="Cluster",IF(INDEX(Attributes!$G$3:$G$52,Q475)&lt;&gt;"",INDEX(Attributes!$G$3:$G$52,Q475),SUBSTITUTE(SUBSTITUTE(Entity!$B$8,"{entity}",LOWER(Entity!$B$3)),"{attribute}",LOWER(C475))),IF(B475="Supporting",SUBSTITUTE(SUBSTITUTE(SUBSTITUTE(IF(INDEX(Attributes!$H$3:$H$52,Q475)&lt;&gt;"",INDEX(Attributes!$H$3:$H$52,Q475),Entity!$B$9),"{entity}",LOWER(Entity!$B$3)),"{value}",D475),"{attribute}",LOWER(C475)),"")))</f>
        <v/>
      </c>
    </row>
    <row r="476">
      <c r="A476">
        <f>ROW()-2</f>
        <v/>
      </c>
      <c r="B476">
        <f>IF(A476=1,"Pillar",IF(A476&lt;=1+Entity!$B$14,"Cluster",IF(A476&lt;=1+Entity!$B$14+Entity!$B$15,"Supporting","")))</f>
        <v/>
      </c>
      <c r="C476">
        <f>IF(B476="Cluster",INDEX(Attributes!$A$3:$A$52,MATCH(A476-1,Attributes!$P$3:$P$52,0)),IF(B476="Supporting",INDEX(Values!$A$3:$A$502,P476),""))</f>
        <v/>
      </c>
      <c r="D476">
        <f>IF(B476="Supporting",INDEX(Values!$B$3:$B$502,P476),"")</f>
        <v/>
      </c>
      <c r="E476">
        <f>IF(R476="","",UPPER(LEFT(R476,1))&amp;MID(R476,2,500))</f>
        <v/>
      </c>
      <c r="F476">
        <f>IF(E476="","",LOWER(SUBSTITUTE(SUBSTITUTE(SUBSTITUTE(SUBSTITUTE(SUBSTITUTE(SUBSTITUTE(SUBSTITUTE(TRIM(E476),":",""),",",""),"'",""),"&amp;","and"),"£",""),"  "," ")," ","-")))</f>
        <v/>
      </c>
      <c r="G476">
        <f>IF(B476="Cluster",$E$3,IF(B476="Supporting",INDEX($E$3:$E$553,MATCH(C476,$C$3:$C$553,0)),""))</f>
        <v/>
      </c>
      <c r="H476">
        <f>IF(B476="Supporting",IFERROR(INDEX($E$3:$E$553,1+Entity!$B$14+INDEX(Values!$O$3:$O$502,P476)),""),IF(B476="Cluster",IF(Entity!$B$14&lt;2,"",INDEX($E$3:$E$553,IF(A476-1=Entity!$B$14,2,A476+1))),""))</f>
        <v/>
      </c>
      <c r="I476">
        <f>IF(B476="Pillar",Entity!$B$14&amp;" cluster pages",IF(B476="Cluster",(COUNTIF($C$3:$C$553,SUBSTITUTE(SUBSTITUTE(C476,"?","~?"),"*","~*"))-1)&amp;" supporting pages",""))</f>
        <v/>
      </c>
      <c r="J476">
        <f>IF(B476="Pillar","Informational",IF(OR(B476="Cluster",B476="Supporting"),INDEX(Attributes!$D$3:$D$52,Q476)&amp;"",""))</f>
        <v/>
      </c>
      <c r="K476">
        <f>IF(B476="","",IF(B476="Pillar","Pillar guide (entity hub)",IF(B476="Cluster","Hub page for this attribute",IF(INDEX(Values!$C$3:$C$502,P476)="Yes","Entity page (profile of the sub-entity)",IFERROR(INDEX(Lists!$B$3:$B$6,MATCH(J476,Lists!$A$3:$A$6,0)),"Article")))))</f>
        <v/>
      </c>
      <c r="L476">
        <f>IF(B476="Pillar",Entity!$B$6&amp;"",IF(B476="Cluster",INDEX(Attributes!$I$3:$I$52,Q476)&amp;"",IF(B476="Supporting",INDEX(Values!$F$3:$F$502,P476)&amp;"","")))</f>
        <v/>
      </c>
      <c r="M476">
        <f>IF(B476="","",IF(L476&lt;&gt;"","Covered","Gap"))</f>
        <v/>
      </c>
      <c r="N476">
        <f>IF(B476="Pillar",SUMIFS(Values!$E$3:$E$502,Values!$I$3:$I$502,"Yes"),IF(B476="Cluster",SUMIFS(Values!$E$3:$E$502,Values!$A$3:$A$502,SUBSTITUTE(SUBSTITUTE(C476,"?","~?"),"*","~*"),Values!$I$3:$I$502,"Yes"),IF(B476="Supporting",N(INDEX(Values!$E$3:$E$502,P476)),"")))</f>
        <v/>
      </c>
      <c r="O476">
        <f>IF(B476="","",IF(B476="Pillar",100,IF(B476="Cluster",N(INDEX(Attributes!$E$3:$E$52,Q476))*25+IF(M476="Gap",10,0),N(INDEX(Attributes!$E$3:$E$52,Q476))*20+MIN(20,ROUND(LOG10(N(N476)+1)*5,0))+IF(M476="Gap",10,0)+IF(INDEX(Values!$D$3:$D$502,P476)="Yes",5,0))))</f>
        <v/>
      </c>
      <c r="P476">
        <f>IF(B476="Supporting",MATCH(A476-1-Entity!$B$14,Values!$J$3:$J$502,0),"")</f>
        <v/>
      </c>
      <c r="Q476">
        <f>IF(C476="","",MATCH(C476,Attributes!$A$3:$A$52,0))</f>
        <v/>
      </c>
      <c r="R476">
        <f>IF(B476="Pillar",SUBSTITUTE(Entity!$B$7,"{entity}",LOWER(Entity!$B$3)),IF(B476="Cluster",IF(INDEX(Attributes!$G$3:$G$52,Q476)&lt;&gt;"",INDEX(Attributes!$G$3:$G$52,Q476),SUBSTITUTE(SUBSTITUTE(Entity!$B$8,"{entity}",LOWER(Entity!$B$3)),"{attribute}",LOWER(C476))),IF(B476="Supporting",SUBSTITUTE(SUBSTITUTE(SUBSTITUTE(IF(INDEX(Attributes!$H$3:$H$52,Q476)&lt;&gt;"",INDEX(Attributes!$H$3:$H$52,Q476),Entity!$B$9),"{entity}",LOWER(Entity!$B$3)),"{value}",D476),"{attribute}",LOWER(C476)),"")))</f>
        <v/>
      </c>
    </row>
    <row r="477">
      <c r="A477">
        <f>ROW()-2</f>
        <v/>
      </c>
      <c r="B477">
        <f>IF(A477=1,"Pillar",IF(A477&lt;=1+Entity!$B$14,"Cluster",IF(A477&lt;=1+Entity!$B$14+Entity!$B$15,"Supporting","")))</f>
        <v/>
      </c>
      <c r="C477">
        <f>IF(B477="Cluster",INDEX(Attributes!$A$3:$A$52,MATCH(A477-1,Attributes!$P$3:$P$52,0)),IF(B477="Supporting",INDEX(Values!$A$3:$A$502,P477),""))</f>
        <v/>
      </c>
      <c r="D477">
        <f>IF(B477="Supporting",INDEX(Values!$B$3:$B$502,P477),"")</f>
        <v/>
      </c>
      <c r="E477">
        <f>IF(R477="","",UPPER(LEFT(R477,1))&amp;MID(R477,2,500))</f>
        <v/>
      </c>
      <c r="F477">
        <f>IF(E477="","",LOWER(SUBSTITUTE(SUBSTITUTE(SUBSTITUTE(SUBSTITUTE(SUBSTITUTE(SUBSTITUTE(SUBSTITUTE(TRIM(E477),":",""),",",""),"'",""),"&amp;","and"),"£",""),"  "," ")," ","-")))</f>
        <v/>
      </c>
      <c r="G477">
        <f>IF(B477="Cluster",$E$3,IF(B477="Supporting",INDEX($E$3:$E$553,MATCH(C477,$C$3:$C$553,0)),""))</f>
        <v/>
      </c>
      <c r="H477">
        <f>IF(B477="Supporting",IFERROR(INDEX($E$3:$E$553,1+Entity!$B$14+INDEX(Values!$O$3:$O$502,P477)),""),IF(B477="Cluster",IF(Entity!$B$14&lt;2,"",INDEX($E$3:$E$553,IF(A477-1=Entity!$B$14,2,A477+1))),""))</f>
        <v/>
      </c>
      <c r="I477">
        <f>IF(B477="Pillar",Entity!$B$14&amp;" cluster pages",IF(B477="Cluster",(COUNTIF($C$3:$C$553,SUBSTITUTE(SUBSTITUTE(C477,"?","~?"),"*","~*"))-1)&amp;" supporting pages",""))</f>
        <v/>
      </c>
      <c r="J477">
        <f>IF(B477="Pillar","Informational",IF(OR(B477="Cluster",B477="Supporting"),INDEX(Attributes!$D$3:$D$52,Q477)&amp;"",""))</f>
        <v/>
      </c>
      <c r="K477">
        <f>IF(B477="","",IF(B477="Pillar","Pillar guide (entity hub)",IF(B477="Cluster","Hub page for this attribute",IF(INDEX(Values!$C$3:$C$502,P477)="Yes","Entity page (profile of the sub-entity)",IFERROR(INDEX(Lists!$B$3:$B$6,MATCH(J477,Lists!$A$3:$A$6,0)),"Article")))))</f>
        <v/>
      </c>
      <c r="L477">
        <f>IF(B477="Pillar",Entity!$B$6&amp;"",IF(B477="Cluster",INDEX(Attributes!$I$3:$I$52,Q477)&amp;"",IF(B477="Supporting",INDEX(Values!$F$3:$F$502,P477)&amp;"","")))</f>
        <v/>
      </c>
      <c r="M477">
        <f>IF(B477="","",IF(L477&lt;&gt;"","Covered","Gap"))</f>
        <v/>
      </c>
      <c r="N477">
        <f>IF(B477="Pillar",SUMIFS(Values!$E$3:$E$502,Values!$I$3:$I$502,"Yes"),IF(B477="Cluster",SUMIFS(Values!$E$3:$E$502,Values!$A$3:$A$502,SUBSTITUTE(SUBSTITUTE(C477,"?","~?"),"*","~*"),Values!$I$3:$I$502,"Yes"),IF(B477="Supporting",N(INDEX(Values!$E$3:$E$502,P477)),"")))</f>
        <v/>
      </c>
      <c r="O477">
        <f>IF(B477="","",IF(B477="Pillar",100,IF(B477="Cluster",N(INDEX(Attributes!$E$3:$E$52,Q477))*25+IF(M477="Gap",10,0),N(INDEX(Attributes!$E$3:$E$52,Q477))*20+MIN(20,ROUND(LOG10(N(N477)+1)*5,0))+IF(M477="Gap",10,0)+IF(INDEX(Values!$D$3:$D$502,P477)="Yes",5,0))))</f>
        <v/>
      </c>
      <c r="P477">
        <f>IF(B477="Supporting",MATCH(A477-1-Entity!$B$14,Values!$J$3:$J$502,0),"")</f>
        <v/>
      </c>
      <c r="Q477">
        <f>IF(C477="","",MATCH(C477,Attributes!$A$3:$A$52,0))</f>
        <v/>
      </c>
      <c r="R477">
        <f>IF(B477="Pillar",SUBSTITUTE(Entity!$B$7,"{entity}",LOWER(Entity!$B$3)),IF(B477="Cluster",IF(INDEX(Attributes!$G$3:$G$52,Q477)&lt;&gt;"",INDEX(Attributes!$G$3:$G$52,Q477),SUBSTITUTE(SUBSTITUTE(Entity!$B$8,"{entity}",LOWER(Entity!$B$3)),"{attribute}",LOWER(C477))),IF(B477="Supporting",SUBSTITUTE(SUBSTITUTE(SUBSTITUTE(IF(INDEX(Attributes!$H$3:$H$52,Q477)&lt;&gt;"",INDEX(Attributes!$H$3:$H$52,Q477),Entity!$B$9),"{entity}",LOWER(Entity!$B$3)),"{value}",D477),"{attribute}",LOWER(C477)),"")))</f>
        <v/>
      </c>
    </row>
    <row r="478">
      <c r="A478">
        <f>ROW()-2</f>
        <v/>
      </c>
      <c r="B478">
        <f>IF(A478=1,"Pillar",IF(A478&lt;=1+Entity!$B$14,"Cluster",IF(A478&lt;=1+Entity!$B$14+Entity!$B$15,"Supporting","")))</f>
        <v/>
      </c>
      <c r="C478">
        <f>IF(B478="Cluster",INDEX(Attributes!$A$3:$A$52,MATCH(A478-1,Attributes!$P$3:$P$52,0)),IF(B478="Supporting",INDEX(Values!$A$3:$A$502,P478),""))</f>
        <v/>
      </c>
      <c r="D478">
        <f>IF(B478="Supporting",INDEX(Values!$B$3:$B$502,P478),"")</f>
        <v/>
      </c>
      <c r="E478">
        <f>IF(R478="","",UPPER(LEFT(R478,1))&amp;MID(R478,2,500))</f>
        <v/>
      </c>
      <c r="F478">
        <f>IF(E478="","",LOWER(SUBSTITUTE(SUBSTITUTE(SUBSTITUTE(SUBSTITUTE(SUBSTITUTE(SUBSTITUTE(SUBSTITUTE(TRIM(E478),":",""),",",""),"'",""),"&amp;","and"),"£",""),"  "," ")," ","-")))</f>
        <v/>
      </c>
      <c r="G478">
        <f>IF(B478="Cluster",$E$3,IF(B478="Supporting",INDEX($E$3:$E$553,MATCH(C478,$C$3:$C$553,0)),""))</f>
        <v/>
      </c>
      <c r="H478">
        <f>IF(B478="Supporting",IFERROR(INDEX($E$3:$E$553,1+Entity!$B$14+INDEX(Values!$O$3:$O$502,P478)),""),IF(B478="Cluster",IF(Entity!$B$14&lt;2,"",INDEX($E$3:$E$553,IF(A478-1=Entity!$B$14,2,A478+1))),""))</f>
        <v/>
      </c>
      <c r="I478">
        <f>IF(B478="Pillar",Entity!$B$14&amp;" cluster pages",IF(B478="Cluster",(COUNTIF($C$3:$C$553,SUBSTITUTE(SUBSTITUTE(C478,"?","~?"),"*","~*"))-1)&amp;" supporting pages",""))</f>
        <v/>
      </c>
      <c r="J478">
        <f>IF(B478="Pillar","Informational",IF(OR(B478="Cluster",B478="Supporting"),INDEX(Attributes!$D$3:$D$52,Q478)&amp;"",""))</f>
        <v/>
      </c>
      <c r="K478">
        <f>IF(B478="","",IF(B478="Pillar","Pillar guide (entity hub)",IF(B478="Cluster","Hub page for this attribute",IF(INDEX(Values!$C$3:$C$502,P478)="Yes","Entity page (profile of the sub-entity)",IFERROR(INDEX(Lists!$B$3:$B$6,MATCH(J478,Lists!$A$3:$A$6,0)),"Article")))))</f>
        <v/>
      </c>
      <c r="L478">
        <f>IF(B478="Pillar",Entity!$B$6&amp;"",IF(B478="Cluster",INDEX(Attributes!$I$3:$I$52,Q478)&amp;"",IF(B478="Supporting",INDEX(Values!$F$3:$F$502,P478)&amp;"","")))</f>
        <v/>
      </c>
      <c r="M478">
        <f>IF(B478="","",IF(L478&lt;&gt;"","Covered","Gap"))</f>
        <v/>
      </c>
      <c r="N478">
        <f>IF(B478="Pillar",SUMIFS(Values!$E$3:$E$502,Values!$I$3:$I$502,"Yes"),IF(B478="Cluster",SUMIFS(Values!$E$3:$E$502,Values!$A$3:$A$502,SUBSTITUTE(SUBSTITUTE(C478,"?","~?"),"*","~*"),Values!$I$3:$I$502,"Yes"),IF(B478="Supporting",N(INDEX(Values!$E$3:$E$502,P478)),"")))</f>
        <v/>
      </c>
      <c r="O478">
        <f>IF(B478="","",IF(B478="Pillar",100,IF(B478="Cluster",N(INDEX(Attributes!$E$3:$E$52,Q478))*25+IF(M478="Gap",10,0),N(INDEX(Attributes!$E$3:$E$52,Q478))*20+MIN(20,ROUND(LOG10(N(N478)+1)*5,0))+IF(M478="Gap",10,0)+IF(INDEX(Values!$D$3:$D$502,P478)="Yes",5,0))))</f>
        <v/>
      </c>
      <c r="P478">
        <f>IF(B478="Supporting",MATCH(A478-1-Entity!$B$14,Values!$J$3:$J$502,0),"")</f>
        <v/>
      </c>
      <c r="Q478">
        <f>IF(C478="","",MATCH(C478,Attributes!$A$3:$A$52,0))</f>
        <v/>
      </c>
      <c r="R478">
        <f>IF(B478="Pillar",SUBSTITUTE(Entity!$B$7,"{entity}",LOWER(Entity!$B$3)),IF(B478="Cluster",IF(INDEX(Attributes!$G$3:$G$52,Q478)&lt;&gt;"",INDEX(Attributes!$G$3:$G$52,Q478),SUBSTITUTE(SUBSTITUTE(Entity!$B$8,"{entity}",LOWER(Entity!$B$3)),"{attribute}",LOWER(C478))),IF(B478="Supporting",SUBSTITUTE(SUBSTITUTE(SUBSTITUTE(IF(INDEX(Attributes!$H$3:$H$52,Q478)&lt;&gt;"",INDEX(Attributes!$H$3:$H$52,Q478),Entity!$B$9),"{entity}",LOWER(Entity!$B$3)),"{value}",D478),"{attribute}",LOWER(C478)),"")))</f>
        <v/>
      </c>
    </row>
    <row r="479">
      <c r="A479">
        <f>ROW()-2</f>
        <v/>
      </c>
      <c r="B479">
        <f>IF(A479=1,"Pillar",IF(A479&lt;=1+Entity!$B$14,"Cluster",IF(A479&lt;=1+Entity!$B$14+Entity!$B$15,"Supporting","")))</f>
        <v/>
      </c>
      <c r="C479">
        <f>IF(B479="Cluster",INDEX(Attributes!$A$3:$A$52,MATCH(A479-1,Attributes!$P$3:$P$52,0)),IF(B479="Supporting",INDEX(Values!$A$3:$A$502,P479),""))</f>
        <v/>
      </c>
      <c r="D479">
        <f>IF(B479="Supporting",INDEX(Values!$B$3:$B$502,P479),"")</f>
        <v/>
      </c>
      <c r="E479">
        <f>IF(R479="","",UPPER(LEFT(R479,1))&amp;MID(R479,2,500))</f>
        <v/>
      </c>
      <c r="F479">
        <f>IF(E479="","",LOWER(SUBSTITUTE(SUBSTITUTE(SUBSTITUTE(SUBSTITUTE(SUBSTITUTE(SUBSTITUTE(SUBSTITUTE(TRIM(E479),":",""),",",""),"'",""),"&amp;","and"),"£",""),"  "," ")," ","-")))</f>
        <v/>
      </c>
      <c r="G479">
        <f>IF(B479="Cluster",$E$3,IF(B479="Supporting",INDEX($E$3:$E$553,MATCH(C479,$C$3:$C$553,0)),""))</f>
        <v/>
      </c>
      <c r="H479">
        <f>IF(B479="Supporting",IFERROR(INDEX($E$3:$E$553,1+Entity!$B$14+INDEX(Values!$O$3:$O$502,P479)),""),IF(B479="Cluster",IF(Entity!$B$14&lt;2,"",INDEX($E$3:$E$553,IF(A479-1=Entity!$B$14,2,A479+1))),""))</f>
        <v/>
      </c>
      <c r="I479">
        <f>IF(B479="Pillar",Entity!$B$14&amp;" cluster pages",IF(B479="Cluster",(COUNTIF($C$3:$C$553,SUBSTITUTE(SUBSTITUTE(C479,"?","~?"),"*","~*"))-1)&amp;" supporting pages",""))</f>
        <v/>
      </c>
      <c r="J479">
        <f>IF(B479="Pillar","Informational",IF(OR(B479="Cluster",B479="Supporting"),INDEX(Attributes!$D$3:$D$52,Q479)&amp;"",""))</f>
        <v/>
      </c>
      <c r="K479">
        <f>IF(B479="","",IF(B479="Pillar","Pillar guide (entity hub)",IF(B479="Cluster","Hub page for this attribute",IF(INDEX(Values!$C$3:$C$502,P479)="Yes","Entity page (profile of the sub-entity)",IFERROR(INDEX(Lists!$B$3:$B$6,MATCH(J479,Lists!$A$3:$A$6,0)),"Article")))))</f>
        <v/>
      </c>
      <c r="L479">
        <f>IF(B479="Pillar",Entity!$B$6&amp;"",IF(B479="Cluster",INDEX(Attributes!$I$3:$I$52,Q479)&amp;"",IF(B479="Supporting",INDEX(Values!$F$3:$F$502,P479)&amp;"","")))</f>
        <v/>
      </c>
      <c r="M479">
        <f>IF(B479="","",IF(L479&lt;&gt;"","Covered","Gap"))</f>
        <v/>
      </c>
      <c r="N479">
        <f>IF(B479="Pillar",SUMIFS(Values!$E$3:$E$502,Values!$I$3:$I$502,"Yes"),IF(B479="Cluster",SUMIFS(Values!$E$3:$E$502,Values!$A$3:$A$502,SUBSTITUTE(SUBSTITUTE(C479,"?","~?"),"*","~*"),Values!$I$3:$I$502,"Yes"),IF(B479="Supporting",N(INDEX(Values!$E$3:$E$502,P479)),"")))</f>
        <v/>
      </c>
      <c r="O479">
        <f>IF(B479="","",IF(B479="Pillar",100,IF(B479="Cluster",N(INDEX(Attributes!$E$3:$E$52,Q479))*25+IF(M479="Gap",10,0),N(INDEX(Attributes!$E$3:$E$52,Q479))*20+MIN(20,ROUND(LOG10(N(N479)+1)*5,0))+IF(M479="Gap",10,0)+IF(INDEX(Values!$D$3:$D$502,P479)="Yes",5,0))))</f>
        <v/>
      </c>
      <c r="P479">
        <f>IF(B479="Supporting",MATCH(A479-1-Entity!$B$14,Values!$J$3:$J$502,0),"")</f>
        <v/>
      </c>
      <c r="Q479">
        <f>IF(C479="","",MATCH(C479,Attributes!$A$3:$A$52,0))</f>
        <v/>
      </c>
      <c r="R479">
        <f>IF(B479="Pillar",SUBSTITUTE(Entity!$B$7,"{entity}",LOWER(Entity!$B$3)),IF(B479="Cluster",IF(INDEX(Attributes!$G$3:$G$52,Q479)&lt;&gt;"",INDEX(Attributes!$G$3:$G$52,Q479),SUBSTITUTE(SUBSTITUTE(Entity!$B$8,"{entity}",LOWER(Entity!$B$3)),"{attribute}",LOWER(C479))),IF(B479="Supporting",SUBSTITUTE(SUBSTITUTE(SUBSTITUTE(IF(INDEX(Attributes!$H$3:$H$52,Q479)&lt;&gt;"",INDEX(Attributes!$H$3:$H$52,Q479),Entity!$B$9),"{entity}",LOWER(Entity!$B$3)),"{value}",D479),"{attribute}",LOWER(C479)),"")))</f>
        <v/>
      </c>
    </row>
    <row r="480">
      <c r="A480">
        <f>ROW()-2</f>
        <v/>
      </c>
      <c r="B480">
        <f>IF(A480=1,"Pillar",IF(A480&lt;=1+Entity!$B$14,"Cluster",IF(A480&lt;=1+Entity!$B$14+Entity!$B$15,"Supporting","")))</f>
        <v/>
      </c>
      <c r="C480">
        <f>IF(B480="Cluster",INDEX(Attributes!$A$3:$A$52,MATCH(A480-1,Attributes!$P$3:$P$52,0)),IF(B480="Supporting",INDEX(Values!$A$3:$A$502,P480),""))</f>
        <v/>
      </c>
      <c r="D480">
        <f>IF(B480="Supporting",INDEX(Values!$B$3:$B$502,P480),"")</f>
        <v/>
      </c>
      <c r="E480">
        <f>IF(R480="","",UPPER(LEFT(R480,1))&amp;MID(R480,2,500))</f>
        <v/>
      </c>
      <c r="F480">
        <f>IF(E480="","",LOWER(SUBSTITUTE(SUBSTITUTE(SUBSTITUTE(SUBSTITUTE(SUBSTITUTE(SUBSTITUTE(SUBSTITUTE(TRIM(E480),":",""),",",""),"'",""),"&amp;","and"),"£",""),"  "," ")," ","-")))</f>
        <v/>
      </c>
      <c r="G480">
        <f>IF(B480="Cluster",$E$3,IF(B480="Supporting",INDEX($E$3:$E$553,MATCH(C480,$C$3:$C$553,0)),""))</f>
        <v/>
      </c>
      <c r="H480">
        <f>IF(B480="Supporting",IFERROR(INDEX($E$3:$E$553,1+Entity!$B$14+INDEX(Values!$O$3:$O$502,P480)),""),IF(B480="Cluster",IF(Entity!$B$14&lt;2,"",INDEX($E$3:$E$553,IF(A480-1=Entity!$B$14,2,A480+1))),""))</f>
        <v/>
      </c>
      <c r="I480">
        <f>IF(B480="Pillar",Entity!$B$14&amp;" cluster pages",IF(B480="Cluster",(COUNTIF($C$3:$C$553,SUBSTITUTE(SUBSTITUTE(C480,"?","~?"),"*","~*"))-1)&amp;" supporting pages",""))</f>
        <v/>
      </c>
      <c r="J480">
        <f>IF(B480="Pillar","Informational",IF(OR(B480="Cluster",B480="Supporting"),INDEX(Attributes!$D$3:$D$52,Q480)&amp;"",""))</f>
        <v/>
      </c>
      <c r="K480">
        <f>IF(B480="","",IF(B480="Pillar","Pillar guide (entity hub)",IF(B480="Cluster","Hub page for this attribute",IF(INDEX(Values!$C$3:$C$502,P480)="Yes","Entity page (profile of the sub-entity)",IFERROR(INDEX(Lists!$B$3:$B$6,MATCH(J480,Lists!$A$3:$A$6,0)),"Article")))))</f>
        <v/>
      </c>
      <c r="L480">
        <f>IF(B480="Pillar",Entity!$B$6&amp;"",IF(B480="Cluster",INDEX(Attributes!$I$3:$I$52,Q480)&amp;"",IF(B480="Supporting",INDEX(Values!$F$3:$F$502,P480)&amp;"","")))</f>
        <v/>
      </c>
      <c r="M480">
        <f>IF(B480="","",IF(L480&lt;&gt;"","Covered","Gap"))</f>
        <v/>
      </c>
      <c r="N480">
        <f>IF(B480="Pillar",SUMIFS(Values!$E$3:$E$502,Values!$I$3:$I$502,"Yes"),IF(B480="Cluster",SUMIFS(Values!$E$3:$E$502,Values!$A$3:$A$502,SUBSTITUTE(SUBSTITUTE(C480,"?","~?"),"*","~*"),Values!$I$3:$I$502,"Yes"),IF(B480="Supporting",N(INDEX(Values!$E$3:$E$502,P480)),"")))</f>
        <v/>
      </c>
      <c r="O480">
        <f>IF(B480="","",IF(B480="Pillar",100,IF(B480="Cluster",N(INDEX(Attributes!$E$3:$E$52,Q480))*25+IF(M480="Gap",10,0),N(INDEX(Attributes!$E$3:$E$52,Q480))*20+MIN(20,ROUND(LOG10(N(N480)+1)*5,0))+IF(M480="Gap",10,0)+IF(INDEX(Values!$D$3:$D$502,P480)="Yes",5,0))))</f>
        <v/>
      </c>
      <c r="P480">
        <f>IF(B480="Supporting",MATCH(A480-1-Entity!$B$14,Values!$J$3:$J$502,0),"")</f>
        <v/>
      </c>
      <c r="Q480">
        <f>IF(C480="","",MATCH(C480,Attributes!$A$3:$A$52,0))</f>
        <v/>
      </c>
      <c r="R480">
        <f>IF(B480="Pillar",SUBSTITUTE(Entity!$B$7,"{entity}",LOWER(Entity!$B$3)),IF(B480="Cluster",IF(INDEX(Attributes!$G$3:$G$52,Q480)&lt;&gt;"",INDEX(Attributes!$G$3:$G$52,Q480),SUBSTITUTE(SUBSTITUTE(Entity!$B$8,"{entity}",LOWER(Entity!$B$3)),"{attribute}",LOWER(C480))),IF(B480="Supporting",SUBSTITUTE(SUBSTITUTE(SUBSTITUTE(IF(INDEX(Attributes!$H$3:$H$52,Q480)&lt;&gt;"",INDEX(Attributes!$H$3:$H$52,Q480),Entity!$B$9),"{entity}",LOWER(Entity!$B$3)),"{value}",D480),"{attribute}",LOWER(C480)),"")))</f>
        <v/>
      </c>
    </row>
    <row r="481">
      <c r="A481">
        <f>ROW()-2</f>
        <v/>
      </c>
      <c r="B481">
        <f>IF(A481=1,"Pillar",IF(A481&lt;=1+Entity!$B$14,"Cluster",IF(A481&lt;=1+Entity!$B$14+Entity!$B$15,"Supporting","")))</f>
        <v/>
      </c>
      <c r="C481">
        <f>IF(B481="Cluster",INDEX(Attributes!$A$3:$A$52,MATCH(A481-1,Attributes!$P$3:$P$52,0)),IF(B481="Supporting",INDEX(Values!$A$3:$A$502,P481),""))</f>
        <v/>
      </c>
      <c r="D481">
        <f>IF(B481="Supporting",INDEX(Values!$B$3:$B$502,P481),"")</f>
        <v/>
      </c>
      <c r="E481">
        <f>IF(R481="","",UPPER(LEFT(R481,1))&amp;MID(R481,2,500))</f>
        <v/>
      </c>
      <c r="F481">
        <f>IF(E481="","",LOWER(SUBSTITUTE(SUBSTITUTE(SUBSTITUTE(SUBSTITUTE(SUBSTITUTE(SUBSTITUTE(SUBSTITUTE(TRIM(E481),":",""),",",""),"'",""),"&amp;","and"),"£",""),"  "," ")," ","-")))</f>
        <v/>
      </c>
      <c r="G481">
        <f>IF(B481="Cluster",$E$3,IF(B481="Supporting",INDEX($E$3:$E$553,MATCH(C481,$C$3:$C$553,0)),""))</f>
        <v/>
      </c>
      <c r="H481">
        <f>IF(B481="Supporting",IFERROR(INDEX($E$3:$E$553,1+Entity!$B$14+INDEX(Values!$O$3:$O$502,P481)),""),IF(B481="Cluster",IF(Entity!$B$14&lt;2,"",INDEX($E$3:$E$553,IF(A481-1=Entity!$B$14,2,A481+1))),""))</f>
        <v/>
      </c>
      <c r="I481">
        <f>IF(B481="Pillar",Entity!$B$14&amp;" cluster pages",IF(B481="Cluster",(COUNTIF($C$3:$C$553,SUBSTITUTE(SUBSTITUTE(C481,"?","~?"),"*","~*"))-1)&amp;" supporting pages",""))</f>
        <v/>
      </c>
      <c r="J481">
        <f>IF(B481="Pillar","Informational",IF(OR(B481="Cluster",B481="Supporting"),INDEX(Attributes!$D$3:$D$52,Q481)&amp;"",""))</f>
        <v/>
      </c>
      <c r="K481">
        <f>IF(B481="","",IF(B481="Pillar","Pillar guide (entity hub)",IF(B481="Cluster","Hub page for this attribute",IF(INDEX(Values!$C$3:$C$502,P481)="Yes","Entity page (profile of the sub-entity)",IFERROR(INDEX(Lists!$B$3:$B$6,MATCH(J481,Lists!$A$3:$A$6,0)),"Article")))))</f>
        <v/>
      </c>
      <c r="L481">
        <f>IF(B481="Pillar",Entity!$B$6&amp;"",IF(B481="Cluster",INDEX(Attributes!$I$3:$I$52,Q481)&amp;"",IF(B481="Supporting",INDEX(Values!$F$3:$F$502,P481)&amp;"","")))</f>
        <v/>
      </c>
      <c r="M481">
        <f>IF(B481="","",IF(L481&lt;&gt;"","Covered","Gap"))</f>
        <v/>
      </c>
      <c r="N481">
        <f>IF(B481="Pillar",SUMIFS(Values!$E$3:$E$502,Values!$I$3:$I$502,"Yes"),IF(B481="Cluster",SUMIFS(Values!$E$3:$E$502,Values!$A$3:$A$502,SUBSTITUTE(SUBSTITUTE(C481,"?","~?"),"*","~*"),Values!$I$3:$I$502,"Yes"),IF(B481="Supporting",N(INDEX(Values!$E$3:$E$502,P481)),"")))</f>
        <v/>
      </c>
      <c r="O481">
        <f>IF(B481="","",IF(B481="Pillar",100,IF(B481="Cluster",N(INDEX(Attributes!$E$3:$E$52,Q481))*25+IF(M481="Gap",10,0),N(INDEX(Attributes!$E$3:$E$52,Q481))*20+MIN(20,ROUND(LOG10(N(N481)+1)*5,0))+IF(M481="Gap",10,0)+IF(INDEX(Values!$D$3:$D$502,P481)="Yes",5,0))))</f>
        <v/>
      </c>
      <c r="P481">
        <f>IF(B481="Supporting",MATCH(A481-1-Entity!$B$14,Values!$J$3:$J$502,0),"")</f>
        <v/>
      </c>
      <c r="Q481">
        <f>IF(C481="","",MATCH(C481,Attributes!$A$3:$A$52,0))</f>
        <v/>
      </c>
      <c r="R481">
        <f>IF(B481="Pillar",SUBSTITUTE(Entity!$B$7,"{entity}",LOWER(Entity!$B$3)),IF(B481="Cluster",IF(INDEX(Attributes!$G$3:$G$52,Q481)&lt;&gt;"",INDEX(Attributes!$G$3:$G$52,Q481),SUBSTITUTE(SUBSTITUTE(Entity!$B$8,"{entity}",LOWER(Entity!$B$3)),"{attribute}",LOWER(C481))),IF(B481="Supporting",SUBSTITUTE(SUBSTITUTE(SUBSTITUTE(IF(INDEX(Attributes!$H$3:$H$52,Q481)&lt;&gt;"",INDEX(Attributes!$H$3:$H$52,Q481),Entity!$B$9),"{entity}",LOWER(Entity!$B$3)),"{value}",D481),"{attribute}",LOWER(C481)),"")))</f>
        <v/>
      </c>
    </row>
    <row r="482">
      <c r="A482">
        <f>ROW()-2</f>
        <v/>
      </c>
      <c r="B482">
        <f>IF(A482=1,"Pillar",IF(A482&lt;=1+Entity!$B$14,"Cluster",IF(A482&lt;=1+Entity!$B$14+Entity!$B$15,"Supporting","")))</f>
        <v/>
      </c>
      <c r="C482">
        <f>IF(B482="Cluster",INDEX(Attributes!$A$3:$A$52,MATCH(A482-1,Attributes!$P$3:$P$52,0)),IF(B482="Supporting",INDEX(Values!$A$3:$A$502,P482),""))</f>
        <v/>
      </c>
      <c r="D482">
        <f>IF(B482="Supporting",INDEX(Values!$B$3:$B$502,P482),"")</f>
        <v/>
      </c>
      <c r="E482">
        <f>IF(R482="","",UPPER(LEFT(R482,1))&amp;MID(R482,2,500))</f>
        <v/>
      </c>
      <c r="F482">
        <f>IF(E482="","",LOWER(SUBSTITUTE(SUBSTITUTE(SUBSTITUTE(SUBSTITUTE(SUBSTITUTE(SUBSTITUTE(SUBSTITUTE(TRIM(E482),":",""),",",""),"'",""),"&amp;","and"),"£",""),"  "," ")," ","-")))</f>
        <v/>
      </c>
      <c r="G482">
        <f>IF(B482="Cluster",$E$3,IF(B482="Supporting",INDEX($E$3:$E$553,MATCH(C482,$C$3:$C$553,0)),""))</f>
        <v/>
      </c>
      <c r="H482">
        <f>IF(B482="Supporting",IFERROR(INDEX($E$3:$E$553,1+Entity!$B$14+INDEX(Values!$O$3:$O$502,P482)),""),IF(B482="Cluster",IF(Entity!$B$14&lt;2,"",INDEX($E$3:$E$553,IF(A482-1=Entity!$B$14,2,A482+1))),""))</f>
        <v/>
      </c>
      <c r="I482">
        <f>IF(B482="Pillar",Entity!$B$14&amp;" cluster pages",IF(B482="Cluster",(COUNTIF($C$3:$C$553,SUBSTITUTE(SUBSTITUTE(C482,"?","~?"),"*","~*"))-1)&amp;" supporting pages",""))</f>
        <v/>
      </c>
      <c r="J482">
        <f>IF(B482="Pillar","Informational",IF(OR(B482="Cluster",B482="Supporting"),INDEX(Attributes!$D$3:$D$52,Q482)&amp;"",""))</f>
        <v/>
      </c>
      <c r="K482">
        <f>IF(B482="","",IF(B482="Pillar","Pillar guide (entity hub)",IF(B482="Cluster","Hub page for this attribute",IF(INDEX(Values!$C$3:$C$502,P482)="Yes","Entity page (profile of the sub-entity)",IFERROR(INDEX(Lists!$B$3:$B$6,MATCH(J482,Lists!$A$3:$A$6,0)),"Article")))))</f>
        <v/>
      </c>
      <c r="L482">
        <f>IF(B482="Pillar",Entity!$B$6&amp;"",IF(B482="Cluster",INDEX(Attributes!$I$3:$I$52,Q482)&amp;"",IF(B482="Supporting",INDEX(Values!$F$3:$F$502,P482)&amp;"","")))</f>
        <v/>
      </c>
      <c r="M482">
        <f>IF(B482="","",IF(L482&lt;&gt;"","Covered","Gap"))</f>
        <v/>
      </c>
      <c r="N482">
        <f>IF(B482="Pillar",SUMIFS(Values!$E$3:$E$502,Values!$I$3:$I$502,"Yes"),IF(B482="Cluster",SUMIFS(Values!$E$3:$E$502,Values!$A$3:$A$502,SUBSTITUTE(SUBSTITUTE(C482,"?","~?"),"*","~*"),Values!$I$3:$I$502,"Yes"),IF(B482="Supporting",N(INDEX(Values!$E$3:$E$502,P482)),"")))</f>
        <v/>
      </c>
      <c r="O482">
        <f>IF(B482="","",IF(B482="Pillar",100,IF(B482="Cluster",N(INDEX(Attributes!$E$3:$E$52,Q482))*25+IF(M482="Gap",10,0),N(INDEX(Attributes!$E$3:$E$52,Q482))*20+MIN(20,ROUND(LOG10(N(N482)+1)*5,0))+IF(M482="Gap",10,0)+IF(INDEX(Values!$D$3:$D$502,P482)="Yes",5,0))))</f>
        <v/>
      </c>
      <c r="P482">
        <f>IF(B482="Supporting",MATCH(A482-1-Entity!$B$14,Values!$J$3:$J$502,0),"")</f>
        <v/>
      </c>
      <c r="Q482">
        <f>IF(C482="","",MATCH(C482,Attributes!$A$3:$A$52,0))</f>
        <v/>
      </c>
      <c r="R482">
        <f>IF(B482="Pillar",SUBSTITUTE(Entity!$B$7,"{entity}",LOWER(Entity!$B$3)),IF(B482="Cluster",IF(INDEX(Attributes!$G$3:$G$52,Q482)&lt;&gt;"",INDEX(Attributes!$G$3:$G$52,Q482),SUBSTITUTE(SUBSTITUTE(Entity!$B$8,"{entity}",LOWER(Entity!$B$3)),"{attribute}",LOWER(C482))),IF(B482="Supporting",SUBSTITUTE(SUBSTITUTE(SUBSTITUTE(IF(INDEX(Attributes!$H$3:$H$52,Q482)&lt;&gt;"",INDEX(Attributes!$H$3:$H$52,Q482),Entity!$B$9),"{entity}",LOWER(Entity!$B$3)),"{value}",D482),"{attribute}",LOWER(C482)),"")))</f>
        <v/>
      </c>
    </row>
    <row r="483">
      <c r="A483">
        <f>ROW()-2</f>
        <v/>
      </c>
      <c r="B483">
        <f>IF(A483=1,"Pillar",IF(A483&lt;=1+Entity!$B$14,"Cluster",IF(A483&lt;=1+Entity!$B$14+Entity!$B$15,"Supporting","")))</f>
        <v/>
      </c>
      <c r="C483">
        <f>IF(B483="Cluster",INDEX(Attributes!$A$3:$A$52,MATCH(A483-1,Attributes!$P$3:$P$52,0)),IF(B483="Supporting",INDEX(Values!$A$3:$A$502,P483),""))</f>
        <v/>
      </c>
      <c r="D483">
        <f>IF(B483="Supporting",INDEX(Values!$B$3:$B$502,P483),"")</f>
        <v/>
      </c>
      <c r="E483">
        <f>IF(R483="","",UPPER(LEFT(R483,1))&amp;MID(R483,2,500))</f>
        <v/>
      </c>
      <c r="F483">
        <f>IF(E483="","",LOWER(SUBSTITUTE(SUBSTITUTE(SUBSTITUTE(SUBSTITUTE(SUBSTITUTE(SUBSTITUTE(SUBSTITUTE(TRIM(E483),":",""),",",""),"'",""),"&amp;","and"),"£",""),"  "," ")," ","-")))</f>
        <v/>
      </c>
      <c r="G483">
        <f>IF(B483="Cluster",$E$3,IF(B483="Supporting",INDEX($E$3:$E$553,MATCH(C483,$C$3:$C$553,0)),""))</f>
        <v/>
      </c>
      <c r="H483">
        <f>IF(B483="Supporting",IFERROR(INDEX($E$3:$E$553,1+Entity!$B$14+INDEX(Values!$O$3:$O$502,P483)),""),IF(B483="Cluster",IF(Entity!$B$14&lt;2,"",INDEX($E$3:$E$553,IF(A483-1=Entity!$B$14,2,A483+1))),""))</f>
        <v/>
      </c>
      <c r="I483">
        <f>IF(B483="Pillar",Entity!$B$14&amp;" cluster pages",IF(B483="Cluster",(COUNTIF($C$3:$C$553,SUBSTITUTE(SUBSTITUTE(C483,"?","~?"),"*","~*"))-1)&amp;" supporting pages",""))</f>
        <v/>
      </c>
      <c r="J483">
        <f>IF(B483="Pillar","Informational",IF(OR(B483="Cluster",B483="Supporting"),INDEX(Attributes!$D$3:$D$52,Q483)&amp;"",""))</f>
        <v/>
      </c>
      <c r="K483">
        <f>IF(B483="","",IF(B483="Pillar","Pillar guide (entity hub)",IF(B483="Cluster","Hub page for this attribute",IF(INDEX(Values!$C$3:$C$502,P483)="Yes","Entity page (profile of the sub-entity)",IFERROR(INDEX(Lists!$B$3:$B$6,MATCH(J483,Lists!$A$3:$A$6,0)),"Article")))))</f>
        <v/>
      </c>
      <c r="L483">
        <f>IF(B483="Pillar",Entity!$B$6&amp;"",IF(B483="Cluster",INDEX(Attributes!$I$3:$I$52,Q483)&amp;"",IF(B483="Supporting",INDEX(Values!$F$3:$F$502,P483)&amp;"","")))</f>
        <v/>
      </c>
      <c r="M483">
        <f>IF(B483="","",IF(L483&lt;&gt;"","Covered","Gap"))</f>
        <v/>
      </c>
      <c r="N483">
        <f>IF(B483="Pillar",SUMIFS(Values!$E$3:$E$502,Values!$I$3:$I$502,"Yes"),IF(B483="Cluster",SUMIFS(Values!$E$3:$E$502,Values!$A$3:$A$502,SUBSTITUTE(SUBSTITUTE(C483,"?","~?"),"*","~*"),Values!$I$3:$I$502,"Yes"),IF(B483="Supporting",N(INDEX(Values!$E$3:$E$502,P483)),"")))</f>
        <v/>
      </c>
      <c r="O483">
        <f>IF(B483="","",IF(B483="Pillar",100,IF(B483="Cluster",N(INDEX(Attributes!$E$3:$E$52,Q483))*25+IF(M483="Gap",10,0),N(INDEX(Attributes!$E$3:$E$52,Q483))*20+MIN(20,ROUND(LOG10(N(N483)+1)*5,0))+IF(M483="Gap",10,0)+IF(INDEX(Values!$D$3:$D$502,P483)="Yes",5,0))))</f>
        <v/>
      </c>
      <c r="P483">
        <f>IF(B483="Supporting",MATCH(A483-1-Entity!$B$14,Values!$J$3:$J$502,0),"")</f>
        <v/>
      </c>
      <c r="Q483">
        <f>IF(C483="","",MATCH(C483,Attributes!$A$3:$A$52,0))</f>
        <v/>
      </c>
      <c r="R483">
        <f>IF(B483="Pillar",SUBSTITUTE(Entity!$B$7,"{entity}",LOWER(Entity!$B$3)),IF(B483="Cluster",IF(INDEX(Attributes!$G$3:$G$52,Q483)&lt;&gt;"",INDEX(Attributes!$G$3:$G$52,Q483),SUBSTITUTE(SUBSTITUTE(Entity!$B$8,"{entity}",LOWER(Entity!$B$3)),"{attribute}",LOWER(C483))),IF(B483="Supporting",SUBSTITUTE(SUBSTITUTE(SUBSTITUTE(IF(INDEX(Attributes!$H$3:$H$52,Q483)&lt;&gt;"",INDEX(Attributes!$H$3:$H$52,Q483),Entity!$B$9),"{entity}",LOWER(Entity!$B$3)),"{value}",D483),"{attribute}",LOWER(C483)),"")))</f>
        <v/>
      </c>
    </row>
    <row r="484">
      <c r="A484">
        <f>ROW()-2</f>
        <v/>
      </c>
      <c r="B484">
        <f>IF(A484=1,"Pillar",IF(A484&lt;=1+Entity!$B$14,"Cluster",IF(A484&lt;=1+Entity!$B$14+Entity!$B$15,"Supporting","")))</f>
        <v/>
      </c>
      <c r="C484">
        <f>IF(B484="Cluster",INDEX(Attributes!$A$3:$A$52,MATCH(A484-1,Attributes!$P$3:$P$52,0)),IF(B484="Supporting",INDEX(Values!$A$3:$A$502,P484),""))</f>
        <v/>
      </c>
      <c r="D484">
        <f>IF(B484="Supporting",INDEX(Values!$B$3:$B$502,P484),"")</f>
        <v/>
      </c>
      <c r="E484">
        <f>IF(R484="","",UPPER(LEFT(R484,1))&amp;MID(R484,2,500))</f>
        <v/>
      </c>
      <c r="F484">
        <f>IF(E484="","",LOWER(SUBSTITUTE(SUBSTITUTE(SUBSTITUTE(SUBSTITUTE(SUBSTITUTE(SUBSTITUTE(SUBSTITUTE(TRIM(E484),":",""),",",""),"'",""),"&amp;","and"),"£",""),"  "," ")," ","-")))</f>
        <v/>
      </c>
      <c r="G484">
        <f>IF(B484="Cluster",$E$3,IF(B484="Supporting",INDEX($E$3:$E$553,MATCH(C484,$C$3:$C$553,0)),""))</f>
        <v/>
      </c>
      <c r="H484">
        <f>IF(B484="Supporting",IFERROR(INDEX($E$3:$E$553,1+Entity!$B$14+INDEX(Values!$O$3:$O$502,P484)),""),IF(B484="Cluster",IF(Entity!$B$14&lt;2,"",INDEX($E$3:$E$553,IF(A484-1=Entity!$B$14,2,A484+1))),""))</f>
        <v/>
      </c>
      <c r="I484">
        <f>IF(B484="Pillar",Entity!$B$14&amp;" cluster pages",IF(B484="Cluster",(COUNTIF($C$3:$C$553,SUBSTITUTE(SUBSTITUTE(C484,"?","~?"),"*","~*"))-1)&amp;" supporting pages",""))</f>
        <v/>
      </c>
      <c r="J484">
        <f>IF(B484="Pillar","Informational",IF(OR(B484="Cluster",B484="Supporting"),INDEX(Attributes!$D$3:$D$52,Q484)&amp;"",""))</f>
        <v/>
      </c>
      <c r="K484">
        <f>IF(B484="","",IF(B484="Pillar","Pillar guide (entity hub)",IF(B484="Cluster","Hub page for this attribute",IF(INDEX(Values!$C$3:$C$502,P484)="Yes","Entity page (profile of the sub-entity)",IFERROR(INDEX(Lists!$B$3:$B$6,MATCH(J484,Lists!$A$3:$A$6,0)),"Article")))))</f>
        <v/>
      </c>
      <c r="L484">
        <f>IF(B484="Pillar",Entity!$B$6&amp;"",IF(B484="Cluster",INDEX(Attributes!$I$3:$I$52,Q484)&amp;"",IF(B484="Supporting",INDEX(Values!$F$3:$F$502,P484)&amp;"","")))</f>
        <v/>
      </c>
      <c r="M484">
        <f>IF(B484="","",IF(L484&lt;&gt;"","Covered","Gap"))</f>
        <v/>
      </c>
      <c r="N484">
        <f>IF(B484="Pillar",SUMIFS(Values!$E$3:$E$502,Values!$I$3:$I$502,"Yes"),IF(B484="Cluster",SUMIFS(Values!$E$3:$E$502,Values!$A$3:$A$502,SUBSTITUTE(SUBSTITUTE(C484,"?","~?"),"*","~*"),Values!$I$3:$I$502,"Yes"),IF(B484="Supporting",N(INDEX(Values!$E$3:$E$502,P484)),"")))</f>
        <v/>
      </c>
      <c r="O484">
        <f>IF(B484="","",IF(B484="Pillar",100,IF(B484="Cluster",N(INDEX(Attributes!$E$3:$E$52,Q484))*25+IF(M484="Gap",10,0),N(INDEX(Attributes!$E$3:$E$52,Q484))*20+MIN(20,ROUND(LOG10(N(N484)+1)*5,0))+IF(M484="Gap",10,0)+IF(INDEX(Values!$D$3:$D$502,P484)="Yes",5,0))))</f>
        <v/>
      </c>
      <c r="P484">
        <f>IF(B484="Supporting",MATCH(A484-1-Entity!$B$14,Values!$J$3:$J$502,0),"")</f>
        <v/>
      </c>
      <c r="Q484">
        <f>IF(C484="","",MATCH(C484,Attributes!$A$3:$A$52,0))</f>
        <v/>
      </c>
      <c r="R484">
        <f>IF(B484="Pillar",SUBSTITUTE(Entity!$B$7,"{entity}",LOWER(Entity!$B$3)),IF(B484="Cluster",IF(INDEX(Attributes!$G$3:$G$52,Q484)&lt;&gt;"",INDEX(Attributes!$G$3:$G$52,Q484),SUBSTITUTE(SUBSTITUTE(Entity!$B$8,"{entity}",LOWER(Entity!$B$3)),"{attribute}",LOWER(C484))),IF(B484="Supporting",SUBSTITUTE(SUBSTITUTE(SUBSTITUTE(IF(INDEX(Attributes!$H$3:$H$52,Q484)&lt;&gt;"",INDEX(Attributes!$H$3:$H$52,Q484),Entity!$B$9),"{entity}",LOWER(Entity!$B$3)),"{value}",D484),"{attribute}",LOWER(C484)),"")))</f>
        <v/>
      </c>
    </row>
    <row r="485">
      <c r="A485">
        <f>ROW()-2</f>
        <v/>
      </c>
      <c r="B485">
        <f>IF(A485=1,"Pillar",IF(A485&lt;=1+Entity!$B$14,"Cluster",IF(A485&lt;=1+Entity!$B$14+Entity!$B$15,"Supporting","")))</f>
        <v/>
      </c>
      <c r="C485">
        <f>IF(B485="Cluster",INDEX(Attributes!$A$3:$A$52,MATCH(A485-1,Attributes!$P$3:$P$52,0)),IF(B485="Supporting",INDEX(Values!$A$3:$A$502,P485),""))</f>
        <v/>
      </c>
      <c r="D485">
        <f>IF(B485="Supporting",INDEX(Values!$B$3:$B$502,P485),"")</f>
        <v/>
      </c>
      <c r="E485">
        <f>IF(R485="","",UPPER(LEFT(R485,1))&amp;MID(R485,2,500))</f>
        <v/>
      </c>
      <c r="F485">
        <f>IF(E485="","",LOWER(SUBSTITUTE(SUBSTITUTE(SUBSTITUTE(SUBSTITUTE(SUBSTITUTE(SUBSTITUTE(SUBSTITUTE(TRIM(E485),":",""),",",""),"'",""),"&amp;","and"),"£",""),"  "," ")," ","-")))</f>
        <v/>
      </c>
      <c r="G485">
        <f>IF(B485="Cluster",$E$3,IF(B485="Supporting",INDEX($E$3:$E$553,MATCH(C485,$C$3:$C$553,0)),""))</f>
        <v/>
      </c>
      <c r="H485">
        <f>IF(B485="Supporting",IFERROR(INDEX($E$3:$E$553,1+Entity!$B$14+INDEX(Values!$O$3:$O$502,P485)),""),IF(B485="Cluster",IF(Entity!$B$14&lt;2,"",INDEX($E$3:$E$553,IF(A485-1=Entity!$B$14,2,A485+1))),""))</f>
        <v/>
      </c>
      <c r="I485">
        <f>IF(B485="Pillar",Entity!$B$14&amp;" cluster pages",IF(B485="Cluster",(COUNTIF($C$3:$C$553,SUBSTITUTE(SUBSTITUTE(C485,"?","~?"),"*","~*"))-1)&amp;" supporting pages",""))</f>
        <v/>
      </c>
      <c r="J485">
        <f>IF(B485="Pillar","Informational",IF(OR(B485="Cluster",B485="Supporting"),INDEX(Attributes!$D$3:$D$52,Q485)&amp;"",""))</f>
        <v/>
      </c>
      <c r="K485">
        <f>IF(B485="","",IF(B485="Pillar","Pillar guide (entity hub)",IF(B485="Cluster","Hub page for this attribute",IF(INDEX(Values!$C$3:$C$502,P485)="Yes","Entity page (profile of the sub-entity)",IFERROR(INDEX(Lists!$B$3:$B$6,MATCH(J485,Lists!$A$3:$A$6,0)),"Article")))))</f>
        <v/>
      </c>
      <c r="L485">
        <f>IF(B485="Pillar",Entity!$B$6&amp;"",IF(B485="Cluster",INDEX(Attributes!$I$3:$I$52,Q485)&amp;"",IF(B485="Supporting",INDEX(Values!$F$3:$F$502,P485)&amp;"","")))</f>
        <v/>
      </c>
      <c r="M485">
        <f>IF(B485="","",IF(L485&lt;&gt;"","Covered","Gap"))</f>
        <v/>
      </c>
      <c r="N485">
        <f>IF(B485="Pillar",SUMIFS(Values!$E$3:$E$502,Values!$I$3:$I$502,"Yes"),IF(B485="Cluster",SUMIFS(Values!$E$3:$E$502,Values!$A$3:$A$502,SUBSTITUTE(SUBSTITUTE(C485,"?","~?"),"*","~*"),Values!$I$3:$I$502,"Yes"),IF(B485="Supporting",N(INDEX(Values!$E$3:$E$502,P485)),"")))</f>
        <v/>
      </c>
      <c r="O485">
        <f>IF(B485="","",IF(B485="Pillar",100,IF(B485="Cluster",N(INDEX(Attributes!$E$3:$E$52,Q485))*25+IF(M485="Gap",10,0),N(INDEX(Attributes!$E$3:$E$52,Q485))*20+MIN(20,ROUND(LOG10(N(N485)+1)*5,0))+IF(M485="Gap",10,0)+IF(INDEX(Values!$D$3:$D$502,P485)="Yes",5,0))))</f>
        <v/>
      </c>
      <c r="P485">
        <f>IF(B485="Supporting",MATCH(A485-1-Entity!$B$14,Values!$J$3:$J$502,0),"")</f>
        <v/>
      </c>
      <c r="Q485">
        <f>IF(C485="","",MATCH(C485,Attributes!$A$3:$A$52,0))</f>
        <v/>
      </c>
      <c r="R485">
        <f>IF(B485="Pillar",SUBSTITUTE(Entity!$B$7,"{entity}",LOWER(Entity!$B$3)),IF(B485="Cluster",IF(INDEX(Attributes!$G$3:$G$52,Q485)&lt;&gt;"",INDEX(Attributes!$G$3:$G$52,Q485),SUBSTITUTE(SUBSTITUTE(Entity!$B$8,"{entity}",LOWER(Entity!$B$3)),"{attribute}",LOWER(C485))),IF(B485="Supporting",SUBSTITUTE(SUBSTITUTE(SUBSTITUTE(IF(INDEX(Attributes!$H$3:$H$52,Q485)&lt;&gt;"",INDEX(Attributes!$H$3:$H$52,Q485),Entity!$B$9),"{entity}",LOWER(Entity!$B$3)),"{value}",D485),"{attribute}",LOWER(C485)),"")))</f>
        <v/>
      </c>
    </row>
    <row r="486">
      <c r="A486">
        <f>ROW()-2</f>
        <v/>
      </c>
      <c r="B486">
        <f>IF(A486=1,"Pillar",IF(A486&lt;=1+Entity!$B$14,"Cluster",IF(A486&lt;=1+Entity!$B$14+Entity!$B$15,"Supporting","")))</f>
        <v/>
      </c>
      <c r="C486">
        <f>IF(B486="Cluster",INDEX(Attributes!$A$3:$A$52,MATCH(A486-1,Attributes!$P$3:$P$52,0)),IF(B486="Supporting",INDEX(Values!$A$3:$A$502,P486),""))</f>
        <v/>
      </c>
      <c r="D486">
        <f>IF(B486="Supporting",INDEX(Values!$B$3:$B$502,P486),"")</f>
        <v/>
      </c>
      <c r="E486">
        <f>IF(R486="","",UPPER(LEFT(R486,1))&amp;MID(R486,2,500))</f>
        <v/>
      </c>
      <c r="F486">
        <f>IF(E486="","",LOWER(SUBSTITUTE(SUBSTITUTE(SUBSTITUTE(SUBSTITUTE(SUBSTITUTE(SUBSTITUTE(SUBSTITUTE(TRIM(E486),":",""),",",""),"'",""),"&amp;","and"),"£",""),"  "," ")," ","-")))</f>
        <v/>
      </c>
      <c r="G486">
        <f>IF(B486="Cluster",$E$3,IF(B486="Supporting",INDEX($E$3:$E$553,MATCH(C486,$C$3:$C$553,0)),""))</f>
        <v/>
      </c>
      <c r="H486">
        <f>IF(B486="Supporting",IFERROR(INDEX($E$3:$E$553,1+Entity!$B$14+INDEX(Values!$O$3:$O$502,P486)),""),IF(B486="Cluster",IF(Entity!$B$14&lt;2,"",INDEX($E$3:$E$553,IF(A486-1=Entity!$B$14,2,A486+1))),""))</f>
        <v/>
      </c>
      <c r="I486">
        <f>IF(B486="Pillar",Entity!$B$14&amp;" cluster pages",IF(B486="Cluster",(COUNTIF($C$3:$C$553,SUBSTITUTE(SUBSTITUTE(C486,"?","~?"),"*","~*"))-1)&amp;" supporting pages",""))</f>
        <v/>
      </c>
      <c r="J486">
        <f>IF(B486="Pillar","Informational",IF(OR(B486="Cluster",B486="Supporting"),INDEX(Attributes!$D$3:$D$52,Q486)&amp;"",""))</f>
        <v/>
      </c>
      <c r="K486">
        <f>IF(B486="","",IF(B486="Pillar","Pillar guide (entity hub)",IF(B486="Cluster","Hub page for this attribute",IF(INDEX(Values!$C$3:$C$502,P486)="Yes","Entity page (profile of the sub-entity)",IFERROR(INDEX(Lists!$B$3:$B$6,MATCH(J486,Lists!$A$3:$A$6,0)),"Article")))))</f>
        <v/>
      </c>
      <c r="L486">
        <f>IF(B486="Pillar",Entity!$B$6&amp;"",IF(B486="Cluster",INDEX(Attributes!$I$3:$I$52,Q486)&amp;"",IF(B486="Supporting",INDEX(Values!$F$3:$F$502,P486)&amp;"","")))</f>
        <v/>
      </c>
      <c r="M486">
        <f>IF(B486="","",IF(L486&lt;&gt;"","Covered","Gap"))</f>
        <v/>
      </c>
      <c r="N486">
        <f>IF(B486="Pillar",SUMIFS(Values!$E$3:$E$502,Values!$I$3:$I$502,"Yes"),IF(B486="Cluster",SUMIFS(Values!$E$3:$E$502,Values!$A$3:$A$502,SUBSTITUTE(SUBSTITUTE(C486,"?","~?"),"*","~*"),Values!$I$3:$I$502,"Yes"),IF(B486="Supporting",N(INDEX(Values!$E$3:$E$502,P486)),"")))</f>
        <v/>
      </c>
      <c r="O486">
        <f>IF(B486="","",IF(B486="Pillar",100,IF(B486="Cluster",N(INDEX(Attributes!$E$3:$E$52,Q486))*25+IF(M486="Gap",10,0),N(INDEX(Attributes!$E$3:$E$52,Q486))*20+MIN(20,ROUND(LOG10(N(N486)+1)*5,0))+IF(M486="Gap",10,0)+IF(INDEX(Values!$D$3:$D$502,P486)="Yes",5,0))))</f>
        <v/>
      </c>
      <c r="P486">
        <f>IF(B486="Supporting",MATCH(A486-1-Entity!$B$14,Values!$J$3:$J$502,0),"")</f>
        <v/>
      </c>
      <c r="Q486">
        <f>IF(C486="","",MATCH(C486,Attributes!$A$3:$A$52,0))</f>
        <v/>
      </c>
      <c r="R486">
        <f>IF(B486="Pillar",SUBSTITUTE(Entity!$B$7,"{entity}",LOWER(Entity!$B$3)),IF(B486="Cluster",IF(INDEX(Attributes!$G$3:$G$52,Q486)&lt;&gt;"",INDEX(Attributes!$G$3:$G$52,Q486),SUBSTITUTE(SUBSTITUTE(Entity!$B$8,"{entity}",LOWER(Entity!$B$3)),"{attribute}",LOWER(C486))),IF(B486="Supporting",SUBSTITUTE(SUBSTITUTE(SUBSTITUTE(IF(INDEX(Attributes!$H$3:$H$52,Q486)&lt;&gt;"",INDEX(Attributes!$H$3:$H$52,Q486),Entity!$B$9),"{entity}",LOWER(Entity!$B$3)),"{value}",D486),"{attribute}",LOWER(C486)),"")))</f>
        <v/>
      </c>
    </row>
    <row r="487">
      <c r="A487">
        <f>ROW()-2</f>
        <v/>
      </c>
      <c r="B487">
        <f>IF(A487=1,"Pillar",IF(A487&lt;=1+Entity!$B$14,"Cluster",IF(A487&lt;=1+Entity!$B$14+Entity!$B$15,"Supporting","")))</f>
        <v/>
      </c>
      <c r="C487">
        <f>IF(B487="Cluster",INDEX(Attributes!$A$3:$A$52,MATCH(A487-1,Attributes!$P$3:$P$52,0)),IF(B487="Supporting",INDEX(Values!$A$3:$A$502,P487),""))</f>
        <v/>
      </c>
      <c r="D487">
        <f>IF(B487="Supporting",INDEX(Values!$B$3:$B$502,P487),"")</f>
        <v/>
      </c>
      <c r="E487">
        <f>IF(R487="","",UPPER(LEFT(R487,1))&amp;MID(R487,2,500))</f>
        <v/>
      </c>
      <c r="F487">
        <f>IF(E487="","",LOWER(SUBSTITUTE(SUBSTITUTE(SUBSTITUTE(SUBSTITUTE(SUBSTITUTE(SUBSTITUTE(SUBSTITUTE(TRIM(E487),":",""),",",""),"'",""),"&amp;","and"),"£",""),"  "," ")," ","-")))</f>
        <v/>
      </c>
      <c r="G487">
        <f>IF(B487="Cluster",$E$3,IF(B487="Supporting",INDEX($E$3:$E$553,MATCH(C487,$C$3:$C$553,0)),""))</f>
        <v/>
      </c>
      <c r="H487">
        <f>IF(B487="Supporting",IFERROR(INDEX($E$3:$E$553,1+Entity!$B$14+INDEX(Values!$O$3:$O$502,P487)),""),IF(B487="Cluster",IF(Entity!$B$14&lt;2,"",INDEX($E$3:$E$553,IF(A487-1=Entity!$B$14,2,A487+1))),""))</f>
        <v/>
      </c>
      <c r="I487">
        <f>IF(B487="Pillar",Entity!$B$14&amp;" cluster pages",IF(B487="Cluster",(COUNTIF($C$3:$C$553,SUBSTITUTE(SUBSTITUTE(C487,"?","~?"),"*","~*"))-1)&amp;" supporting pages",""))</f>
        <v/>
      </c>
      <c r="J487">
        <f>IF(B487="Pillar","Informational",IF(OR(B487="Cluster",B487="Supporting"),INDEX(Attributes!$D$3:$D$52,Q487)&amp;"",""))</f>
        <v/>
      </c>
      <c r="K487">
        <f>IF(B487="","",IF(B487="Pillar","Pillar guide (entity hub)",IF(B487="Cluster","Hub page for this attribute",IF(INDEX(Values!$C$3:$C$502,P487)="Yes","Entity page (profile of the sub-entity)",IFERROR(INDEX(Lists!$B$3:$B$6,MATCH(J487,Lists!$A$3:$A$6,0)),"Article")))))</f>
        <v/>
      </c>
      <c r="L487">
        <f>IF(B487="Pillar",Entity!$B$6&amp;"",IF(B487="Cluster",INDEX(Attributes!$I$3:$I$52,Q487)&amp;"",IF(B487="Supporting",INDEX(Values!$F$3:$F$502,P487)&amp;"","")))</f>
        <v/>
      </c>
      <c r="M487">
        <f>IF(B487="","",IF(L487&lt;&gt;"","Covered","Gap"))</f>
        <v/>
      </c>
      <c r="N487">
        <f>IF(B487="Pillar",SUMIFS(Values!$E$3:$E$502,Values!$I$3:$I$502,"Yes"),IF(B487="Cluster",SUMIFS(Values!$E$3:$E$502,Values!$A$3:$A$502,SUBSTITUTE(SUBSTITUTE(C487,"?","~?"),"*","~*"),Values!$I$3:$I$502,"Yes"),IF(B487="Supporting",N(INDEX(Values!$E$3:$E$502,P487)),"")))</f>
        <v/>
      </c>
      <c r="O487">
        <f>IF(B487="","",IF(B487="Pillar",100,IF(B487="Cluster",N(INDEX(Attributes!$E$3:$E$52,Q487))*25+IF(M487="Gap",10,0),N(INDEX(Attributes!$E$3:$E$52,Q487))*20+MIN(20,ROUND(LOG10(N(N487)+1)*5,0))+IF(M487="Gap",10,0)+IF(INDEX(Values!$D$3:$D$502,P487)="Yes",5,0))))</f>
        <v/>
      </c>
      <c r="P487">
        <f>IF(B487="Supporting",MATCH(A487-1-Entity!$B$14,Values!$J$3:$J$502,0),"")</f>
        <v/>
      </c>
      <c r="Q487">
        <f>IF(C487="","",MATCH(C487,Attributes!$A$3:$A$52,0))</f>
        <v/>
      </c>
      <c r="R487">
        <f>IF(B487="Pillar",SUBSTITUTE(Entity!$B$7,"{entity}",LOWER(Entity!$B$3)),IF(B487="Cluster",IF(INDEX(Attributes!$G$3:$G$52,Q487)&lt;&gt;"",INDEX(Attributes!$G$3:$G$52,Q487),SUBSTITUTE(SUBSTITUTE(Entity!$B$8,"{entity}",LOWER(Entity!$B$3)),"{attribute}",LOWER(C487))),IF(B487="Supporting",SUBSTITUTE(SUBSTITUTE(SUBSTITUTE(IF(INDEX(Attributes!$H$3:$H$52,Q487)&lt;&gt;"",INDEX(Attributes!$H$3:$H$52,Q487),Entity!$B$9),"{entity}",LOWER(Entity!$B$3)),"{value}",D487),"{attribute}",LOWER(C487)),"")))</f>
        <v/>
      </c>
    </row>
    <row r="488">
      <c r="A488">
        <f>ROW()-2</f>
        <v/>
      </c>
      <c r="B488">
        <f>IF(A488=1,"Pillar",IF(A488&lt;=1+Entity!$B$14,"Cluster",IF(A488&lt;=1+Entity!$B$14+Entity!$B$15,"Supporting","")))</f>
        <v/>
      </c>
      <c r="C488">
        <f>IF(B488="Cluster",INDEX(Attributes!$A$3:$A$52,MATCH(A488-1,Attributes!$P$3:$P$52,0)),IF(B488="Supporting",INDEX(Values!$A$3:$A$502,P488),""))</f>
        <v/>
      </c>
      <c r="D488">
        <f>IF(B488="Supporting",INDEX(Values!$B$3:$B$502,P488),"")</f>
        <v/>
      </c>
      <c r="E488">
        <f>IF(R488="","",UPPER(LEFT(R488,1))&amp;MID(R488,2,500))</f>
        <v/>
      </c>
      <c r="F488">
        <f>IF(E488="","",LOWER(SUBSTITUTE(SUBSTITUTE(SUBSTITUTE(SUBSTITUTE(SUBSTITUTE(SUBSTITUTE(SUBSTITUTE(TRIM(E488),":",""),",",""),"'",""),"&amp;","and"),"£",""),"  "," ")," ","-")))</f>
        <v/>
      </c>
      <c r="G488">
        <f>IF(B488="Cluster",$E$3,IF(B488="Supporting",INDEX($E$3:$E$553,MATCH(C488,$C$3:$C$553,0)),""))</f>
        <v/>
      </c>
      <c r="H488">
        <f>IF(B488="Supporting",IFERROR(INDEX($E$3:$E$553,1+Entity!$B$14+INDEX(Values!$O$3:$O$502,P488)),""),IF(B488="Cluster",IF(Entity!$B$14&lt;2,"",INDEX($E$3:$E$553,IF(A488-1=Entity!$B$14,2,A488+1))),""))</f>
        <v/>
      </c>
      <c r="I488">
        <f>IF(B488="Pillar",Entity!$B$14&amp;" cluster pages",IF(B488="Cluster",(COUNTIF($C$3:$C$553,SUBSTITUTE(SUBSTITUTE(C488,"?","~?"),"*","~*"))-1)&amp;" supporting pages",""))</f>
        <v/>
      </c>
      <c r="J488">
        <f>IF(B488="Pillar","Informational",IF(OR(B488="Cluster",B488="Supporting"),INDEX(Attributes!$D$3:$D$52,Q488)&amp;"",""))</f>
        <v/>
      </c>
      <c r="K488">
        <f>IF(B488="","",IF(B488="Pillar","Pillar guide (entity hub)",IF(B488="Cluster","Hub page for this attribute",IF(INDEX(Values!$C$3:$C$502,P488)="Yes","Entity page (profile of the sub-entity)",IFERROR(INDEX(Lists!$B$3:$B$6,MATCH(J488,Lists!$A$3:$A$6,0)),"Article")))))</f>
        <v/>
      </c>
      <c r="L488">
        <f>IF(B488="Pillar",Entity!$B$6&amp;"",IF(B488="Cluster",INDEX(Attributes!$I$3:$I$52,Q488)&amp;"",IF(B488="Supporting",INDEX(Values!$F$3:$F$502,P488)&amp;"","")))</f>
        <v/>
      </c>
      <c r="M488">
        <f>IF(B488="","",IF(L488&lt;&gt;"","Covered","Gap"))</f>
        <v/>
      </c>
      <c r="N488">
        <f>IF(B488="Pillar",SUMIFS(Values!$E$3:$E$502,Values!$I$3:$I$502,"Yes"),IF(B488="Cluster",SUMIFS(Values!$E$3:$E$502,Values!$A$3:$A$502,SUBSTITUTE(SUBSTITUTE(C488,"?","~?"),"*","~*"),Values!$I$3:$I$502,"Yes"),IF(B488="Supporting",N(INDEX(Values!$E$3:$E$502,P488)),"")))</f>
        <v/>
      </c>
      <c r="O488">
        <f>IF(B488="","",IF(B488="Pillar",100,IF(B488="Cluster",N(INDEX(Attributes!$E$3:$E$52,Q488))*25+IF(M488="Gap",10,0),N(INDEX(Attributes!$E$3:$E$52,Q488))*20+MIN(20,ROUND(LOG10(N(N488)+1)*5,0))+IF(M488="Gap",10,0)+IF(INDEX(Values!$D$3:$D$502,P488)="Yes",5,0))))</f>
        <v/>
      </c>
      <c r="P488">
        <f>IF(B488="Supporting",MATCH(A488-1-Entity!$B$14,Values!$J$3:$J$502,0),"")</f>
        <v/>
      </c>
      <c r="Q488">
        <f>IF(C488="","",MATCH(C488,Attributes!$A$3:$A$52,0))</f>
        <v/>
      </c>
      <c r="R488">
        <f>IF(B488="Pillar",SUBSTITUTE(Entity!$B$7,"{entity}",LOWER(Entity!$B$3)),IF(B488="Cluster",IF(INDEX(Attributes!$G$3:$G$52,Q488)&lt;&gt;"",INDEX(Attributes!$G$3:$G$52,Q488),SUBSTITUTE(SUBSTITUTE(Entity!$B$8,"{entity}",LOWER(Entity!$B$3)),"{attribute}",LOWER(C488))),IF(B488="Supporting",SUBSTITUTE(SUBSTITUTE(SUBSTITUTE(IF(INDEX(Attributes!$H$3:$H$52,Q488)&lt;&gt;"",INDEX(Attributes!$H$3:$H$52,Q488),Entity!$B$9),"{entity}",LOWER(Entity!$B$3)),"{value}",D488),"{attribute}",LOWER(C488)),"")))</f>
        <v/>
      </c>
    </row>
    <row r="489">
      <c r="A489">
        <f>ROW()-2</f>
        <v/>
      </c>
      <c r="B489">
        <f>IF(A489=1,"Pillar",IF(A489&lt;=1+Entity!$B$14,"Cluster",IF(A489&lt;=1+Entity!$B$14+Entity!$B$15,"Supporting","")))</f>
        <v/>
      </c>
      <c r="C489">
        <f>IF(B489="Cluster",INDEX(Attributes!$A$3:$A$52,MATCH(A489-1,Attributes!$P$3:$P$52,0)),IF(B489="Supporting",INDEX(Values!$A$3:$A$502,P489),""))</f>
        <v/>
      </c>
      <c r="D489">
        <f>IF(B489="Supporting",INDEX(Values!$B$3:$B$502,P489),"")</f>
        <v/>
      </c>
      <c r="E489">
        <f>IF(R489="","",UPPER(LEFT(R489,1))&amp;MID(R489,2,500))</f>
        <v/>
      </c>
      <c r="F489">
        <f>IF(E489="","",LOWER(SUBSTITUTE(SUBSTITUTE(SUBSTITUTE(SUBSTITUTE(SUBSTITUTE(SUBSTITUTE(SUBSTITUTE(TRIM(E489),":",""),",",""),"'",""),"&amp;","and"),"£",""),"  "," ")," ","-")))</f>
        <v/>
      </c>
      <c r="G489">
        <f>IF(B489="Cluster",$E$3,IF(B489="Supporting",INDEX($E$3:$E$553,MATCH(C489,$C$3:$C$553,0)),""))</f>
        <v/>
      </c>
      <c r="H489">
        <f>IF(B489="Supporting",IFERROR(INDEX($E$3:$E$553,1+Entity!$B$14+INDEX(Values!$O$3:$O$502,P489)),""),IF(B489="Cluster",IF(Entity!$B$14&lt;2,"",INDEX($E$3:$E$553,IF(A489-1=Entity!$B$14,2,A489+1))),""))</f>
        <v/>
      </c>
      <c r="I489">
        <f>IF(B489="Pillar",Entity!$B$14&amp;" cluster pages",IF(B489="Cluster",(COUNTIF($C$3:$C$553,SUBSTITUTE(SUBSTITUTE(C489,"?","~?"),"*","~*"))-1)&amp;" supporting pages",""))</f>
        <v/>
      </c>
      <c r="J489">
        <f>IF(B489="Pillar","Informational",IF(OR(B489="Cluster",B489="Supporting"),INDEX(Attributes!$D$3:$D$52,Q489)&amp;"",""))</f>
        <v/>
      </c>
      <c r="K489">
        <f>IF(B489="","",IF(B489="Pillar","Pillar guide (entity hub)",IF(B489="Cluster","Hub page for this attribute",IF(INDEX(Values!$C$3:$C$502,P489)="Yes","Entity page (profile of the sub-entity)",IFERROR(INDEX(Lists!$B$3:$B$6,MATCH(J489,Lists!$A$3:$A$6,0)),"Article")))))</f>
        <v/>
      </c>
      <c r="L489">
        <f>IF(B489="Pillar",Entity!$B$6&amp;"",IF(B489="Cluster",INDEX(Attributes!$I$3:$I$52,Q489)&amp;"",IF(B489="Supporting",INDEX(Values!$F$3:$F$502,P489)&amp;"","")))</f>
        <v/>
      </c>
      <c r="M489">
        <f>IF(B489="","",IF(L489&lt;&gt;"","Covered","Gap"))</f>
        <v/>
      </c>
      <c r="N489">
        <f>IF(B489="Pillar",SUMIFS(Values!$E$3:$E$502,Values!$I$3:$I$502,"Yes"),IF(B489="Cluster",SUMIFS(Values!$E$3:$E$502,Values!$A$3:$A$502,SUBSTITUTE(SUBSTITUTE(C489,"?","~?"),"*","~*"),Values!$I$3:$I$502,"Yes"),IF(B489="Supporting",N(INDEX(Values!$E$3:$E$502,P489)),"")))</f>
        <v/>
      </c>
      <c r="O489">
        <f>IF(B489="","",IF(B489="Pillar",100,IF(B489="Cluster",N(INDEX(Attributes!$E$3:$E$52,Q489))*25+IF(M489="Gap",10,0),N(INDEX(Attributes!$E$3:$E$52,Q489))*20+MIN(20,ROUND(LOG10(N(N489)+1)*5,0))+IF(M489="Gap",10,0)+IF(INDEX(Values!$D$3:$D$502,P489)="Yes",5,0))))</f>
        <v/>
      </c>
      <c r="P489">
        <f>IF(B489="Supporting",MATCH(A489-1-Entity!$B$14,Values!$J$3:$J$502,0),"")</f>
        <v/>
      </c>
      <c r="Q489">
        <f>IF(C489="","",MATCH(C489,Attributes!$A$3:$A$52,0))</f>
        <v/>
      </c>
      <c r="R489">
        <f>IF(B489="Pillar",SUBSTITUTE(Entity!$B$7,"{entity}",LOWER(Entity!$B$3)),IF(B489="Cluster",IF(INDEX(Attributes!$G$3:$G$52,Q489)&lt;&gt;"",INDEX(Attributes!$G$3:$G$52,Q489),SUBSTITUTE(SUBSTITUTE(Entity!$B$8,"{entity}",LOWER(Entity!$B$3)),"{attribute}",LOWER(C489))),IF(B489="Supporting",SUBSTITUTE(SUBSTITUTE(SUBSTITUTE(IF(INDEX(Attributes!$H$3:$H$52,Q489)&lt;&gt;"",INDEX(Attributes!$H$3:$H$52,Q489),Entity!$B$9),"{entity}",LOWER(Entity!$B$3)),"{value}",D489),"{attribute}",LOWER(C489)),"")))</f>
        <v/>
      </c>
    </row>
    <row r="490">
      <c r="A490">
        <f>ROW()-2</f>
        <v/>
      </c>
      <c r="B490">
        <f>IF(A490=1,"Pillar",IF(A490&lt;=1+Entity!$B$14,"Cluster",IF(A490&lt;=1+Entity!$B$14+Entity!$B$15,"Supporting","")))</f>
        <v/>
      </c>
      <c r="C490">
        <f>IF(B490="Cluster",INDEX(Attributes!$A$3:$A$52,MATCH(A490-1,Attributes!$P$3:$P$52,0)),IF(B490="Supporting",INDEX(Values!$A$3:$A$502,P490),""))</f>
        <v/>
      </c>
      <c r="D490">
        <f>IF(B490="Supporting",INDEX(Values!$B$3:$B$502,P490),"")</f>
        <v/>
      </c>
      <c r="E490">
        <f>IF(R490="","",UPPER(LEFT(R490,1))&amp;MID(R490,2,500))</f>
        <v/>
      </c>
      <c r="F490">
        <f>IF(E490="","",LOWER(SUBSTITUTE(SUBSTITUTE(SUBSTITUTE(SUBSTITUTE(SUBSTITUTE(SUBSTITUTE(SUBSTITUTE(TRIM(E490),":",""),",",""),"'",""),"&amp;","and"),"£",""),"  "," ")," ","-")))</f>
        <v/>
      </c>
      <c r="G490">
        <f>IF(B490="Cluster",$E$3,IF(B490="Supporting",INDEX($E$3:$E$553,MATCH(C490,$C$3:$C$553,0)),""))</f>
        <v/>
      </c>
      <c r="H490">
        <f>IF(B490="Supporting",IFERROR(INDEX($E$3:$E$553,1+Entity!$B$14+INDEX(Values!$O$3:$O$502,P490)),""),IF(B490="Cluster",IF(Entity!$B$14&lt;2,"",INDEX($E$3:$E$553,IF(A490-1=Entity!$B$14,2,A490+1))),""))</f>
        <v/>
      </c>
      <c r="I490">
        <f>IF(B490="Pillar",Entity!$B$14&amp;" cluster pages",IF(B490="Cluster",(COUNTIF($C$3:$C$553,SUBSTITUTE(SUBSTITUTE(C490,"?","~?"),"*","~*"))-1)&amp;" supporting pages",""))</f>
        <v/>
      </c>
      <c r="J490">
        <f>IF(B490="Pillar","Informational",IF(OR(B490="Cluster",B490="Supporting"),INDEX(Attributes!$D$3:$D$52,Q490)&amp;"",""))</f>
        <v/>
      </c>
      <c r="K490">
        <f>IF(B490="","",IF(B490="Pillar","Pillar guide (entity hub)",IF(B490="Cluster","Hub page for this attribute",IF(INDEX(Values!$C$3:$C$502,P490)="Yes","Entity page (profile of the sub-entity)",IFERROR(INDEX(Lists!$B$3:$B$6,MATCH(J490,Lists!$A$3:$A$6,0)),"Article")))))</f>
        <v/>
      </c>
      <c r="L490">
        <f>IF(B490="Pillar",Entity!$B$6&amp;"",IF(B490="Cluster",INDEX(Attributes!$I$3:$I$52,Q490)&amp;"",IF(B490="Supporting",INDEX(Values!$F$3:$F$502,P490)&amp;"","")))</f>
        <v/>
      </c>
      <c r="M490">
        <f>IF(B490="","",IF(L490&lt;&gt;"","Covered","Gap"))</f>
        <v/>
      </c>
      <c r="N490">
        <f>IF(B490="Pillar",SUMIFS(Values!$E$3:$E$502,Values!$I$3:$I$502,"Yes"),IF(B490="Cluster",SUMIFS(Values!$E$3:$E$502,Values!$A$3:$A$502,SUBSTITUTE(SUBSTITUTE(C490,"?","~?"),"*","~*"),Values!$I$3:$I$502,"Yes"),IF(B490="Supporting",N(INDEX(Values!$E$3:$E$502,P490)),"")))</f>
        <v/>
      </c>
      <c r="O490">
        <f>IF(B490="","",IF(B490="Pillar",100,IF(B490="Cluster",N(INDEX(Attributes!$E$3:$E$52,Q490))*25+IF(M490="Gap",10,0),N(INDEX(Attributes!$E$3:$E$52,Q490))*20+MIN(20,ROUND(LOG10(N(N490)+1)*5,0))+IF(M490="Gap",10,0)+IF(INDEX(Values!$D$3:$D$502,P490)="Yes",5,0))))</f>
        <v/>
      </c>
      <c r="P490">
        <f>IF(B490="Supporting",MATCH(A490-1-Entity!$B$14,Values!$J$3:$J$502,0),"")</f>
        <v/>
      </c>
      <c r="Q490">
        <f>IF(C490="","",MATCH(C490,Attributes!$A$3:$A$52,0))</f>
        <v/>
      </c>
      <c r="R490">
        <f>IF(B490="Pillar",SUBSTITUTE(Entity!$B$7,"{entity}",LOWER(Entity!$B$3)),IF(B490="Cluster",IF(INDEX(Attributes!$G$3:$G$52,Q490)&lt;&gt;"",INDEX(Attributes!$G$3:$G$52,Q490),SUBSTITUTE(SUBSTITUTE(Entity!$B$8,"{entity}",LOWER(Entity!$B$3)),"{attribute}",LOWER(C490))),IF(B490="Supporting",SUBSTITUTE(SUBSTITUTE(SUBSTITUTE(IF(INDEX(Attributes!$H$3:$H$52,Q490)&lt;&gt;"",INDEX(Attributes!$H$3:$H$52,Q490),Entity!$B$9),"{entity}",LOWER(Entity!$B$3)),"{value}",D490),"{attribute}",LOWER(C490)),"")))</f>
        <v/>
      </c>
    </row>
    <row r="491">
      <c r="A491">
        <f>ROW()-2</f>
        <v/>
      </c>
      <c r="B491">
        <f>IF(A491=1,"Pillar",IF(A491&lt;=1+Entity!$B$14,"Cluster",IF(A491&lt;=1+Entity!$B$14+Entity!$B$15,"Supporting","")))</f>
        <v/>
      </c>
      <c r="C491">
        <f>IF(B491="Cluster",INDEX(Attributes!$A$3:$A$52,MATCH(A491-1,Attributes!$P$3:$P$52,0)),IF(B491="Supporting",INDEX(Values!$A$3:$A$502,P491),""))</f>
        <v/>
      </c>
      <c r="D491">
        <f>IF(B491="Supporting",INDEX(Values!$B$3:$B$502,P491),"")</f>
        <v/>
      </c>
      <c r="E491">
        <f>IF(R491="","",UPPER(LEFT(R491,1))&amp;MID(R491,2,500))</f>
        <v/>
      </c>
      <c r="F491">
        <f>IF(E491="","",LOWER(SUBSTITUTE(SUBSTITUTE(SUBSTITUTE(SUBSTITUTE(SUBSTITUTE(SUBSTITUTE(SUBSTITUTE(TRIM(E491),":",""),",",""),"'",""),"&amp;","and"),"£",""),"  "," ")," ","-")))</f>
        <v/>
      </c>
      <c r="G491">
        <f>IF(B491="Cluster",$E$3,IF(B491="Supporting",INDEX($E$3:$E$553,MATCH(C491,$C$3:$C$553,0)),""))</f>
        <v/>
      </c>
      <c r="H491">
        <f>IF(B491="Supporting",IFERROR(INDEX($E$3:$E$553,1+Entity!$B$14+INDEX(Values!$O$3:$O$502,P491)),""),IF(B491="Cluster",IF(Entity!$B$14&lt;2,"",INDEX($E$3:$E$553,IF(A491-1=Entity!$B$14,2,A491+1))),""))</f>
        <v/>
      </c>
      <c r="I491">
        <f>IF(B491="Pillar",Entity!$B$14&amp;" cluster pages",IF(B491="Cluster",(COUNTIF($C$3:$C$553,SUBSTITUTE(SUBSTITUTE(C491,"?","~?"),"*","~*"))-1)&amp;" supporting pages",""))</f>
        <v/>
      </c>
      <c r="J491">
        <f>IF(B491="Pillar","Informational",IF(OR(B491="Cluster",B491="Supporting"),INDEX(Attributes!$D$3:$D$52,Q491)&amp;"",""))</f>
        <v/>
      </c>
      <c r="K491">
        <f>IF(B491="","",IF(B491="Pillar","Pillar guide (entity hub)",IF(B491="Cluster","Hub page for this attribute",IF(INDEX(Values!$C$3:$C$502,P491)="Yes","Entity page (profile of the sub-entity)",IFERROR(INDEX(Lists!$B$3:$B$6,MATCH(J491,Lists!$A$3:$A$6,0)),"Article")))))</f>
        <v/>
      </c>
      <c r="L491">
        <f>IF(B491="Pillar",Entity!$B$6&amp;"",IF(B491="Cluster",INDEX(Attributes!$I$3:$I$52,Q491)&amp;"",IF(B491="Supporting",INDEX(Values!$F$3:$F$502,P491)&amp;"","")))</f>
        <v/>
      </c>
      <c r="M491">
        <f>IF(B491="","",IF(L491&lt;&gt;"","Covered","Gap"))</f>
        <v/>
      </c>
      <c r="N491">
        <f>IF(B491="Pillar",SUMIFS(Values!$E$3:$E$502,Values!$I$3:$I$502,"Yes"),IF(B491="Cluster",SUMIFS(Values!$E$3:$E$502,Values!$A$3:$A$502,SUBSTITUTE(SUBSTITUTE(C491,"?","~?"),"*","~*"),Values!$I$3:$I$502,"Yes"),IF(B491="Supporting",N(INDEX(Values!$E$3:$E$502,P491)),"")))</f>
        <v/>
      </c>
      <c r="O491">
        <f>IF(B491="","",IF(B491="Pillar",100,IF(B491="Cluster",N(INDEX(Attributes!$E$3:$E$52,Q491))*25+IF(M491="Gap",10,0),N(INDEX(Attributes!$E$3:$E$52,Q491))*20+MIN(20,ROUND(LOG10(N(N491)+1)*5,0))+IF(M491="Gap",10,0)+IF(INDEX(Values!$D$3:$D$502,P491)="Yes",5,0))))</f>
        <v/>
      </c>
      <c r="P491">
        <f>IF(B491="Supporting",MATCH(A491-1-Entity!$B$14,Values!$J$3:$J$502,0),"")</f>
        <v/>
      </c>
      <c r="Q491">
        <f>IF(C491="","",MATCH(C491,Attributes!$A$3:$A$52,0))</f>
        <v/>
      </c>
      <c r="R491">
        <f>IF(B491="Pillar",SUBSTITUTE(Entity!$B$7,"{entity}",LOWER(Entity!$B$3)),IF(B491="Cluster",IF(INDEX(Attributes!$G$3:$G$52,Q491)&lt;&gt;"",INDEX(Attributes!$G$3:$G$52,Q491),SUBSTITUTE(SUBSTITUTE(Entity!$B$8,"{entity}",LOWER(Entity!$B$3)),"{attribute}",LOWER(C491))),IF(B491="Supporting",SUBSTITUTE(SUBSTITUTE(SUBSTITUTE(IF(INDEX(Attributes!$H$3:$H$52,Q491)&lt;&gt;"",INDEX(Attributes!$H$3:$H$52,Q491),Entity!$B$9),"{entity}",LOWER(Entity!$B$3)),"{value}",D491),"{attribute}",LOWER(C491)),"")))</f>
        <v/>
      </c>
    </row>
    <row r="492">
      <c r="A492">
        <f>ROW()-2</f>
        <v/>
      </c>
      <c r="B492">
        <f>IF(A492=1,"Pillar",IF(A492&lt;=1+Entity!$B$14,"Cluster",IF(A492&lt;=1+Entity!$B$14+Entity!$B$15,"Supporting","")))</f>
        <v/>
      </c>
      <c r="C492">
        <f>IF(B492="Cluster",INDEX(Attributes!$A$3:$A$52,MATCH(A492-1,Attributes!$P$3:$P$52,0)),IF(B492="Supporting",INDEX(Values!$A$3:$A$502,P492),""))</f>
        <v/>
      </c>
      <c r="D492">
        <f>IF(B492="Supporting",INDEX(Values!$B$3:$B$502,P492),"")</f>
        <v/>
      </c>
      <c r="E492">
        <f>IF(R492="","",UPPER(LEFT(R492,1))&amp;MID(R492,2,500))</f>
        <v/>
      </c>
      <c r="F492">
        <f>IF(E492="","",LOWER(SUBSTITUTE(SUBSTITUTE(SUBSTITUTE(SUBSTITUTE(SUBSTITUTE(SUBSTITUTE(SUBSTITUTE(TRIM(E492),":",""),",",""),"'",""),"&amp;","and"),"£",""),"  "," ")," ","-")))</f>
        <v/>
      </c>
      <c r="G492">
        <f>IF(B492="Cluster",$E$3,IF(B492="Supporting",INDEX($E$3:$E$553,MATCH(C492,$C$3:$C$553,0)),""))</f>
        <v/>
      </c>
      <c r="H492">
        <f>IF(B492="Supporting",IFERROR(INDEX($E$3:$E$553,1+Entity!$B$14+INDEX(Values!$O$3:$O$502,P492)),""),IF(B492="Cluster",IF(Entity!$B$14&lt;2,"",INDEX($E$3:$E$553,IF(A492-1=Entity!$B$14,2,A492+1))),""))</f>
        <v/>
      </c>
      <c r="I492">
        <f>IF(B492="Pillar",Entity!$B$14&amp;" cluster pages",IF(B492="Cluster",(COUNTIF($C$3:$C$553,SUBSTITUTE(SUBSTITUTE(C492,"?","~?"),"*","~*"))-1)&amp;" supporting pages",""))</f>
        <v/>
      </c>
      <c r="J492">
        <f>IF(B492="Pillar","Informational",IF(OR(B492="Cluster",B492="Supporting"),INDEX(Attributes!$D$3:$D$52,Q492)&amp;"",""))</f>
        <v/>
      </c>
      <c r="K492">
        <f>IF(B492="","",IF(B492="Pillar","Pillar guide (entity hub)",IF(B492="Cluster","Hub page for this attribute",IF(INDEX(Values!$C$3:$C$502,P492)="Yes","Entity page (profile of the sub-entity)",IFERROR(INDEX(Lists!$B$3:$B$6,MATCH(J492,Lists!$A$3:$A$6,0)),"Article")))))</f>
        <v/>
      </c>
      <c r="L492">
        <f>IF(B492="Pillar",Entity!$B$6&amp;"",IF(B492="Cluster",INDEX(Attributes!$I$3:$I$52,Q492)&amp;"",IF(B492="Supporting",INDEX(Values!$F$3:$F$502,P492)&amp;"","")))</f>
        <v/>
      </c>
      <c r="M492">
        <f>IF(B492="","",IF(L492&lt;&gt;"","Covered","Gap"))</f>
        <v/>
      </c>
      <c r="N492">
        <f>IF(B492="Pillar",SUMIFS(Values!$E$3:$E$502,Values!$I$3:$I$502,"Yes"),IF(B492="Cluster",SUMIFS(Values!$E$3:$E$502,Values!$A$3:$A$502,SUBSTITUTE(SUBSTITUTE(C492,"?","~?"),"*","~*"),Values!$I$3:$I$502,"Yes"),IF(B492="Supporting",N(INDEX(Values!$E$3:$E$502,P492)),"")))</f>
        <v/>
      </c>
      <c r="O492">
        <f>IF(B492="","",IF(B492="Pillar",100,IF(B492="Cluster",N(INDEX(Attributes!$E$3:$E$52,Q492))*25+IF(M492="Gap",10,0),N(INDEX(Attributes!$E$3:$E$52,Q492))*20+MIN(20,ROUND(LOG10(N(N492)+1)*5,0))+IF(M492="Gap",10,0)+IF(INDEX(Values!$D$3:$D$502,P492)="Yes",5,0))))</f>
        <v/>
      </c>
      <c r="P492">
        <f>IF(B492="Supporting",MATCH(A492-1-Entity!$B$14,Values!$J$3:$J$502,0),"")</f>
        <v/>
      </c>
      <c r="Q492">
        <f>IF(C492="","",MATCH(C492,Attributes!$A$3:$A$52,0))</f>
        <v/>
      </c>
      <c r="R492">
        <f>IF(B492="Pillar",SUBSTITUTE(Entity!$B$7,"{entity}",LOWER(Entity!$B$3)),IF(B492="Cluster",IF(INDEX(Attributes!$G$3:$G$52,Q492)&lt;&gt;"",INDEX(Attributes!$G$3:$G$52,Q492),SUBSTITUTE(SUBSTITUTE(Entity!$B$8,"{entity}",LOWER(Entity!$B$3)),"{attribute}",LOWER(C492))),IF(B492="Supporting",SUBSTITUTE(SUBSTITUTE(SUBSTITUTE(IF(INDEX(Attributes!$H$3:$H$52,Q492)&lt;&gt;"",INDEX(Attributes!$H$3:$H$52,Q492),Entity!$B$9),"{entity}",LOWER(Entity!$B$3)),"{value}",D492),"{attribute}",LOWER(C492)),"")))</f>
        <v/>
      </c>
    </row>
    <row r="493">
      <c r="A493">
        <f>ROW()-2</f>
        <v/>
      </c>
      <c r="B493">
        <f>IF(A493=1,"Pillar",IF(A493&lt;=1+Entity!$B$14,"Cluster",IF(A493&lt;=1+Entity!$B$14+Entity!$B$15,"Supporting","")))</f>
        <v/>
      </c>
      <c r="C493">
        <f>IF(B493="Cluster",INDEX(Attributes!$A$3:$A$52,MATCH(A493-1,Attributes!$P$3:$P$52,0)),IF(B493="Supporting",INDEX(Values!$A$3:$A$502,P493),""))</f>
        <v/>
      </c>
      <c r="D493">
        <f>IF(B493="Supporting",INDEX(Values!$B$3:$B$502,P493),"")</f>
        <v/>
      </c>
      <c r="E493">
        <f>IF(R493="","",UPPER(LEFT(R493,1))&amp;MID(R493,2,500))</f>
        <v/>
      </c>
      <c r="F493">
        <f>IF(E493="","",LOWER(SUBSTITUTE(SUBSTITUTE(SUBSTITUTE(SUBSTITUTE(SUBSTITUTE(SUBSTITUTE(SUBSTITUTE(TRIM(E493),":",""),",",""),"'",""),"&amp;","and"),"£",""),"  "," ")," ","-")))</f>
        <v/>
      </c>
      <c r="G493">
        <f>IF(B493="Cluster",$E$3,IF(B493="Supporting",INDEX($E$3:$E$553,MATCH(C493,$C$3:$C$553,0)),""))</f>
        <v/>
      </c>
      <c r="H493">
        <f>IF(B493="Supporting",IFERROR(INDEX($E$3:$E$553,1+Entity!$B$14+INDEX(Values!$O$3:$O$502,P493)),""),IF(B493="Cluster",IF(Entity!$B$14&lt;2,"",INDEX($E$3:$E$553,IF(A493-1=Entity!$B$14,2,A493+1))),""))</f>
        <v/>
      </c>
      <c r="I493">
        <f>IF(B493="Pillar",Entity!$B$14&amp;" cluster pages",IF(B493="Cluster",(COUNTIF($C$3:$C$553,SUBSTITUTE(SUBSTITUTE(C493,"?","~?"),"*","~*"))-1)&amp;" supporting pages",""))</f>
        <v/>
      </c>
      <c r="J493">
        <f>IF(B493="Pillar","Informational",IF(OR(B493="Cluster",B493="Supporting"),INDEX(Attributes!$D$3:$D$52,Q493)&amp;"",""))</f>
        <v/>
      </c>
      <c r="K493">
        <f>IF(B493="","",IF(B493="Pillar","Pillar guide (entity hub)",IF(B493="Cluster","Hub page for this attribute",IF(INDEX(Values!$C$3:$C$502,P493)="Yes","Entity page (profile of the sub-entity)",IFERROR(INDEX(Lists!$B$3:$B$6,MATCH(J493,Lists!$A$3:$A$6,0)),"Article")))))</f>
        <v/>
      </c>
      <c r="L493">
        <f>IF(B493="Pillar",Entity!$B$6&amp;"",IF(B493="Cluster",INDEX(Attributes!$I$3:$I$52,Q493)&amp;"",IF(B493="Supporting",INDEX(Values!$F$3:$F$502,P493)&amp;"","")))</f>
        <v/>
      </c>
      <c r="M493">
        <f>IF(B493="","",IF(L493&lt;&gt;"","Covered","Gap"))</f>
        <v/>
      </c>
      <c r="N493">
        <f>IF(B493="Pillar",SUMIFS(Values!$E$3:$E$502,Values!$I$3:$I$502,"Yes"),IF(B493="Cluster",SUMIFS(Values!$E$3:$E$502,Values!$A$3:$A$502,SUBSTITUTE(SUBSTITUTE(C493,"?","~?"),"*","~*"),Values!$I$3:$I$502,"Yes"),IF(B493="Supporting",N(INDEX(Values!$E$3:$E$502,P493)),"")))</f>
        <v/>
      </c>
      <c r="O493">
        <f>IF(B493="","",IF(B493="Pillar",100,IF(B493="Cluster",N(INDEX(Attributes!$E$3:$E$52,Q493))*25+IF(M493="Gap",10,0),N(INDEX(Attributes!$E$3:$E$52,Q493))*20+MIN(20,ROUND(LOG10(N(N493)+1)*5,0))+IF(M493="Gap",10,0)+IF(INDEX(Values!$D$3:$D$502,P493)="Yes",5,0))))</f>
        <v/>
      </c>
      <c r="P493">
        <f>IF(B493="Supporting",MATCH(A493-1-Entity!$B$14,Values!$J$3:$J$502,0),"")</f>
        <v/>
      </c>
      <c r="Q493">
        <f>IF(C493="","",MATCH(C493,Attributes!$A$3:$A$52,0))</f>
        <v/>
      </c>
      <c r="R493">
        <f>IF(B493="Pillar",SUBSTITUTE(Entity!$B$7,"{entity}",LOWER(Entity!$B$3)),IF(B493="Cluster",IF(INDEX(Attributes!$G$3:$G$52,Q493)&lt;&gt;"",INDEX(Attributes!$G$3:$G$52,Q493),SUBSTITUTE(SUBSTITUTE(Entity!$B$8,"{entity}",LOWER(Entity!$B$3)),"{attribute}",LOWER(C493))),IF(B493="Supporting",SUBSTITUTE(SUBSTITUTE(SUBSTITUTE(IF(INDEX(Attributes!$H$3:$H$52,Q493)&lt;&gt;"",INDEX(Attributes!$H$3:$H$52,Q493),Entity!$B$9),"{entity}",LOWER(Entity!$B$3)),"{value}",D493),"{attribute}",LOWER(C493)),"")))</f>
        <v/>
      </c>
    </row>
    <row r="494">
      <c r="A494">
        <f>ROW()-2</f>
        <v/>
      </c>
      <c r="B494">
        <f>IF(A494=1,"Pillar",IF(A494&lt;=1+Entity!$B$14,"Cluster",IF(A494&lt;=1+Entity!$B$14+Entity!$B$15,"Supporting","")))</f>
        <v/>
      </c>
      <c r="C494">
        <f>IF(B494="Cluster",INDEX(Attributes!$A$3:$A$52,MATCH(A494-1,Attributes!$P$3:$P$52,0)),IF(B494="Supporting",INDEX(Values!$A$3:$A$502,P494),""))</f>
        <v/>
      </c>
      <c r="D494">
        <f>IF(B494="Supporting",INDEX(Values!$B$3:$B$502,P494),"")</f>
        <v/>
      </c>
      <c r="E494">
        <f>IF(R494="","",UPPER(LEFT(R494,1))&amp;MID(R494,2,500))</f>
        <v/>
      </c>
      <c r="F494">
        <f>IF(E494="","",LOWER(SUBSTITUTE(SUBSTITUTE(SUBSTITUTE(SUBSTITUTE(SUBSTITUTE(SUBSTITUTE(SUBSTITUTE(TRIM(E494),":",""),",",""),"'",""),"&amp;","and"),"£",""),"  "," ")," ","-")))</f>
        <v/>
      </c>
      <c r="G494">
        <f>IF(B494="Cluster",$E$3,IF(B494="Supporting",INDEX($E$3:$E$553,MATCH(C494,$C$3:$C$553,0)),""))</f>
        <v/>
      </c>
      <c r="H494">
        <f>IF(B494="Supporting",IFERROR(INDEX($E$3:$E$553,1+Entity!$B$14+INDEX(Values!$O$3:$O$502,P494)),""),IF(B494="Cluster",IF(Entity!$B$14&lt;2,"",INDEX($E$3:$E$553,IF(A494-1=Entity!$B$14,2,A494+1))),""))</f>
        <v/>
      </c>
      <c r="I494">
        <f>IF(B494="Pillar",Entity!$B$14&amp;" cluster pages",IF(B494="Cluster",(COUNTIF($C$3:$C$553,SUBSTITUTE(SUBSTITUTE(C494,"?","~?"),"*","~*"))-1)&amp;" supporting pages",""))</f>
        <v/>
      </c>
      <c r="J494">
        <f>IF(B494="Pillar","Informational",IF(OR(B494="Cluster",B494="Supporting"),INDEX(Attributes!$D$3:$D$52,Q494)&amp;"",""))</f>
        <v/>
      </c>
      <c r="K494">
        <f>IF(B494="","",IF(B494="Pillar","Pillar guide (entity hub)",IF(B494="Cluster","Hub page for this attribute",IF(INDEX(Values!$C$3:$C$502,P494)="Yes","Entity page (profile of the sub-entity)",IFERROR(INDEX(Lists!$B$3:$B$6,MATCH(J494,Lists!$A$3:$A$6,0)),"Article")))))</f>
        <v/>
      </c>
      <c r="L494">
        <f>IF(B494="Pillar",Entity!$B$6&amp;"",IF(B494="Cluster",INDEX(Attributes!$I$3:$I$52,Q494)&amp;"",IF(B494="Supporting",INDEX(Values!$F$3:$F$502,P494)&amp;"","")))</f>
        <v/>
      </c>
      <c r="M494">
        <f>IF(B494="","",IF(L494&lt;&gt;"","Covered","Gap"))</f>
        <v/>
      </c>
      <c r="N494">
        <f>IF(B494="Pillar",SUMIFS(Values!$E$3:$E$502,Values!$I$3:$I$502,"Yes"),IF(B494="Cluster",SUMIFS(Values!$E$3:$E$502,Values!$A$3:$A$502,SUBSTITUTE(SUBSTITUTE(C494,"?","~?"),"*","~*"),Values!$I$3:$I$502,"Yes"),IF(B494="Supporting",N(INDEX(Values!$E$3:$E$502,P494)),"")))</f>
        <v/>
      </c>
      <c r="O494">
        <f>IF(B494="","",IF(B494="Pillar",100,IF(B494="Cluster",N(INDEX(Attributes!$E$3:$E$52,Q494))*25+IF(M494="Gap",10,0),N(INDEX(Attributes!$E$3:$E$52,Q494))*20+MIN(20,ROUND(LOG10(N(N494)+1)*5,0))+IF(M494="Gap",10,0)+IF(INDEX(Values!$D$3:$D$502,P494)="Yes",5,0))))</f>
        <v/>
      </c>
      <c r="P494">
        <f>IF(B494="Supporting",MATCH(A494-1-Entity!$B$14,Values!$J$3:$J$502,0),"")</f>
        <v/>
      </c>
      <c r="Q494">
        <f>IF(C494="","",MATCH(C494,Attributes!$A$3:$A$52,0))</f>
        <v/>
      </c>
      <c r="R494">
        <f>IF(B494="Pillar",SUBSTITUTE(Entity!$B$7,"{entity}",LOWER(Entity!$B$3)),IF(B494="Cluster",IF(INDEX(Attributes!$G$3:$G$52,Q494)&lt;&gt;"",INDEX(Attributes!$G$3:$G$52,Q494),SUBSTITUTE(SUBSTITUTE(Entity!$B$8,"{entity}",LOWER(Entity!$B$3)),"{attribute}",LOWER(C494))),IF(B494="Supporting",SUBSTITUTE(SUBSTITUTE(SUBSTITUTE(IF(INDEX(Attributes!$H$3:$H$52,Q494)&lt;&gt;"",INDEX(Attributes!$H$3:$H$52,Q494),Entity!$B$9),"{entity}",LOWER(Entity!$B$3)),"{value}",D494),"{attribute}",LOWER(C494)),"")))</f>
        <v/>
      </c>
    </row>
    <row r="495">
      <c r="A495">
        <f>ROW()-2</f>
        <v/>
      </c>
      <c r="B495">
        <f>IF(A495=1,"Pillar",IF(A495&lt;=1+Entity!$B$14,"Cluster",IF(A495&lt;=1+Entity!$B$14+Entity!$B$15,"Supporting","")))</f>
        <v/>
      </c>
      <c r="C495">
        <f>IF(B495="Cluster",INDEX(Attributes!$A$3:$A$52,MATCH(A495-1,Attributes!$P$3:$P$52,0)),IF(B495="Supporting",INDEX(Values!$A$3:$A$502,P495),""))</f>
        <v/>
      </c>
      <c r="D495">
        <f>IF(B495="Supporting",INDEX(Values!$B$3:$B$502,P495),"")</f>
        <v/>
      </c>
      <c r="E495">
        <f>IF(R495="","",UPPER(LEFT(R495,1))&amp;MID(R495,2,500))</f>
        <v/>
      </c>
      <c r="F495">
        <f>IF(E495="","",LOWER(SUBSTITUTE(SUBSTITUTE(SUBSTITUTE(SUBSTITUTE(SUBSTITUTE(SUBSTITUTE(SUBSTITUTE(TRIM(E495),":",""),",",""),"'",""),"&amp;","and"),"£",""),"  "," ")," ","-")))</f>
        <v/>
      </c>
      <c r="G495">
        <f>IF(B495="Cluster",$E$3,IF(B495="Supporting",INDEX($E$3:$E$553,MATCH(C495,$C$3:$C$553,0)),""))</f>
        <v/>
      </c>
      <c r="H495">
        <f>IF(B495="Supporting",IFERROR(INDEX($E$3:$E$553,1+Entity!$B$14+INDEX(Values!$O$3:$O$502,P495)),""),IF(B495="Cluster",IF(Entity!$B$14&lt;2,"",INDEX($E$3:$E$553,IF(A495-1=Entity!$B$14,2,A495+1))),""))</f>
        <v/>
      </c>
      <c r="I495">
        <f>IF(B495="Pillar",Entity!$B$14&amp;" cluster pages",IF(B495="Cluster",(COUNTIF($C$3:$C$553,SUBSTITUTE(SUBSTITUTE(C495,"?","~?"),"*","~*"))-1)&amp;" supporting pages",""))</f>
        <v/>
      </c>
      <c r="J495">
        <f>IF(B495="Pillar","Informational",IF(OR(B495="Cluster",B495="Supporting"),INDEX(Attributes!$D$3:$D$52,Q495)&amp;"",""))</f>
        <v/>
      </c>
      <c r="K495">
        <f>IF(B495="","",IF(B495="Pillar","Pillar guide (entity hub)",IF(B495="Cluster","Hub page for this attribute",IF(INDEX(Values!$C$3:$C$502,P495)="Yes","Entity page (profile of the sub-entity)",IFERROR(INDEX(Lists!$B$3:$B$6,MATCH(J495,Lists!$A$3:$A$6,0)),"Article")))))</f>
        <v/>
      </c>
      <c r="L495">
        <f>IF(B495="Pillar",Entity!$B$6&amp;"",IF(B495="Cluster",INDEX(Attributes!$I$3:$I$52,Q495)&amp;"",IF(B495="Supporting",INDEX(Values!$F$3:$F$502,P495)&amp;"","")))</f>
        <v/>
      </c>
      <c r="M495">
        <f>IF(B495="","",IF(L495&lt;&gt;"","Covered","Gap"))</f>
        <v/>
      </c>
      <c r="N495">
        <f>IF(B495="Pillar",SUMIFS(Values!$E$3:$E$502,Values!$I$3:$I$502,"Yes"),IF(B495="Cluster",SUMIFS(Values!$E$3:$E$502,Values!$A$3:$A$502,SUBSTITUTE(SUBSTITUTE(C495,"?","~?"),"*","~*"),Values!$I$3:$I$502,"Yes"),IF(B495="Supporting",N(INDEX(Values!$E$3:$E$502,P495)),"")))</f>
        <v/>
      </c>
      <c r="O495">
        <f>IF(B495="","",IF(B495="Pillar",100,IF(B495="Cluster",N(INDEX(Attributes!$E$3:$E$52,Q495))*25+IF(M495="Gap",10,0),N(INDEX(Attributes!$E$3:$E$52,Q495))*20+MIN(20,ROUND(LOG10(N(N495)+1)*5,0))+IF(M495="Gap",10,0)+IF(INDEX(Values!$D$3:$D$502,P495)="Yes",5,0))))</f>
        <v/>
      </c>
      <c r="P495">
        <f>IF(B495="Supporting",MATCH(A495-1-Entity!$B$14,Values!$J$3:$J$502,0),"")</f>
        <v/>
      </c>
      <c r="Q495">
        <f>IF(C495="","",MATCH(C495,Attributes!$A$3:$A$52,0))</f>
        <v/>
      </c>
      <c r="R495">
        <f>IF(B495="Pillar",SUBSTITUTE(Entity!$B$7,"{entity}",LOWER(Entity!$B$3)),IF(B495="Cluster",IF(INDEX(Attributes!$G$3:$G$52,Q495)&lt;&gt;"",INDEX(Attributes!$G$3:$G$52,Q495),SUBSTITUTE(SUBSTITUTE(Entity!$B$8,"{entity}",LOWER(Entity!$B$3)),"{attribute}",LOWER(C495))),IF(B495="Supporting",SUBSTITUTE(SUBSTITUTE(SUBSTITUTE(IF(INDEX(Attributes!$H$3:$H$52,Q495)&lt;&gt;"",INDEX(Attributes!$H$3:$H$52,Q495),Entity!$B$9),"{entity}",LOWER(Entity!$B$3)),"{value}",D495),"{attribute}",LOWER(C495)),"")))</f>
        <v/>
      </c>
    </row>
    <row r="496">
      <c r="A496">
        <f>ROW()-2</f>
        <v/>
      </c>
      <c r="B496">
        <f>IF(A496=1,"Pillar",IF(A496&lt;=1+Entity!$B$14,"Cluster",IF(A496&lt;=1+Entity!$B$14+Entity!$B$15,"Supporting","")))</f>
        <v/>
      </c>
      <c r="C496">
        <f>IF(B496="Cluster",INDEX(Attributes!$A$3:$A$52,MATCH(A496-1,Attributes!$P$3:$P$52,0)),IF(B496="Supporting",INDEX(Values!$A$3:$A$502,P496),""))</f>
        <v/>
      </c>
      <c r="D496">
        <f>IF(B496="Supporting",INDEX(Values!$B$3:$B$502,P496),"")</f>
        <v/>
      </c>
      <c r="E496">
        <f>IF(R496="","",UPPER(LEFT(R496,1))&amp;MID(R496,2,500))</f>
        <v/>
      </c>
      <c r="F496">
        <f>IF(E496="","",LOWER(SUBSTITUTE(SUBSTITUTE(SUBSTITUTE(SUBSTITUTE(SUBSTITUTE(SUBSTITUTE(SUBSTITUTE(TRIM(E496),":",""),",",""),"'",""),"&amp;","and"),"£",""),"  "," ")," ","-")))</f>
        <v/>
      </c>
      <c r="G496">
        <f>IF(B496="Cluster",$E$3,IF(B496="Supporting",INDEX($E$3:$E$553,MATCH(C496,$C$3:$C$553,0)),""))</f>
        <v/>
      </c>
      <c r="H496">
        <f>IF(B496="Supporting",IFERROR(INDEX($E$3:$E$553,1+Entity!$B$14+INDEX(Values!$O$3:$O$502,P496)),""),IF(B496="Cluster",IF(Entity!$B$14&lt;2,"",INDEX($E$3:$E$553,IF(A496-1=Entity!$B$14,2,A496+1))),""))</f>
        <v/>
      </c>
      <c r="I496">
        <f>IF(B496="Pillar",Entity!$B$14&amp;" cluster pages",IF(B496="Cluster",(COUNTIF($C$3:$C$553,SUBSTITUTE(SUBSTITUTE(C496,"?","~?"),"*","~*"))-1)&amp;" supporting pages",""))</f>
        <v/>
      </c>
      <c r="J496">
        <f>IF(B496="Pillar","Informational",IF(OR(B496="Cluster",B496="Supporting"),INDEX(Attributes!$D$3:$D$52,Q496)&amp;"",""))</f>
        <v/>
      </c>
      <c r="K496">
        <f>IF(B496="","",IF(B496="Pillar","Pillar guide (entity hub)",IF(B496="Cluster","Hub page for this attribute",IF(INDEX(Values!$C$3:$C$502,P496)="Yes","Entity page (profile of the sub-entity)",IFERROR(INDEX(Lists!$B$3:$B$6,MATCH(J496,Lists!$A$3:$A$6,0)),"Article")))))</f>
        <v/>
      </c>
      <c r="L496">
        <f>IF(B496="Pillar",Entity!$B$6&amp;"",IF(B496="Cluster",INDEX(Attributes!$I$3:$I$52,Q496)&amp;"",IF(B496="Supporting",INDEX(Values!$F$3:$F$502,P496)&amp;"","")))</f>
        <v/>
      </c>
      <c r="M496">
        <f>IF(B496="","",IF(L496&lt;&gt;"","Covered","Gap"))</f>
        <v/>
      </c>
      <c r="N496">
        <f>IF(B496="Pillar",SUMIFS(Values!$E$3:$E$502,Values!$I$3:$I$502,"Yes"),IF(B496="Cluster",SUMIFS(Values!$E$3:$E$502,Values!$A$3:$A$502,SUBSTITUTE(SUBSTITUTE(C496,"?","~?"),"*","~*"),Values!$I$3:$I$502,"Yes"),IF(B496="Supporting",N(INDEX(Values!$E$3:$E$502,P496)),"")))</f>
        <v/>
      </c>
      <c r="O496">
        <f>IF(B496="","",IF(B496="Pillar",100,IF(B496="Cluster",N(INDEX(Attributes!$E$3:$E$52,Q496))*25+IF(M496="Gap",10,0),N(INDEX(Attributes!$E$3:$E$52,Q496))*20+MIN(20,ROUND(LOG10(N(N496)+1)*5,0))+IF(M496="Gap",10,0)+IF(INDEX(Values!$D$3:$D$502,P496)="Yes",5,0))))</f>
        <v/>
      </c>
      <c r="P496">
        <f>IF(B496="Supporting",MATCH(A496-1-Entity!$B$14,Values!$J$3:$J$502,0),"")</f>
        <v/>
      </c>
      <c r="Q496">
        <f>IF(C496="","",MATCH(C496,Attributes!$A$3:$A$52,0))</f>
        <v/>
      </c>
      <c r="R496">
        <f>IF(B496="Pillar",SUBSTITUTE(Entity!$B$7,"{entity}",LOWER(Entity!$B$3)),IF(B496="Cluster",IF(INDEX(Attributes!$G$3:$G$52,Q496)&lt;&gt;"",INDEX(Attributes!$G$3:$G$52,Q496),SUBSTITUTE(SUBSTITUTE(Entity!$B$8,"{entity}",LOWER(Entity!$B$3)),"{attribute}",LOWER(C496))),IF(B496="Supporting",SUBSTITUTE(SUBSTITUTE(SUBSTITUTE(IF(INDEX(Attributes!$H$3:$H$52,Q496)&lt;&gt;"",INDEX(Attributes!$H$3:$H$52,Q496),Entity!$B$9),"{entity}",LOWER(Entity!$B$3)),"{value}",D496),"{attribute}",LOWER(C496)),"")))</f>
        <v/>
      </c>
    </row>
    <row r="497">
      <c r="A497">
        <f>ROW()-2</f>
        <v/>
      </c>
      <c r="B497">
        <f>IF(A497=1,"Pillar",IF(A497&lt;=1+Entity!$B$14,"Cluster",IF(A497&lt;=1+Entity!$B$14+Entity!$B$15,"Supporting","")))</f>
        <v/>
      </c>
      <c r="C497">
        <f>IF(B497="Cluster",INDEX(Attributes!$A$3:$A$52,MATCH(A497-1,Attributes!$P$3:$P$52,0)),IF(B497="Supporting",INDEX(Values!$A$3:$A$502,P497),""))</f>
        <v/>
      </c>
      <c r="D497">
        <f>IF(B497="Supporting",INDEX(Values!$B$3:$B$502,P497),"")</f>
        <v/>
      </c>
      <c r="E497">
        <f>IF(R497="","",UPPER(LEFT(R497,1))&amp;MID(R497,2,500))</f>
        <v/>
      </c>
      <c r="F497">
        <f>IF(E497="","",LOWER(SUBSTITUTE(SUBSTITUTE(SUBSTITUTE(SUBSTITUTE(SUBSTITUTE(SUBSTITUTE(SUBSTITUTE(TRIM(E497),":",""),",",""),"'",""),"&amp;","and"),"£",""),"  "," ")," ","-")))</f>
        <v/>
      </c>
      <c r="G497">
        <f>IF(B497="Cluster",$E$3,IF(B497="Supporting",INDEX($E$3:$E$553,MATCH(C497,$C$3:$C$553,0)),""))</f>
        <v/>
      </c>
      <c r="H497">
        <f>IF(B497="Supporting",IFERROR(INDEX($E$3:$E$553,1+Entity!$B$14+INDEX(Values!$O$3:$O$502,P497)),""),IF(B497="Cluster",IF(Entity!$B$14&lt;2,"",INDEX($E$3:$E$553,IF(A497-1=Entity!$B$14,2,A497+1))),""))</f>
        <v/>
      </c>
      <c r="I497">
        <f>IF(B497="Pillar",Entity!$B$14&amp;" cluster pages",IF(B497="Cluster",(COUNTIF($C$3:$C$553,SUBSTITUTE(SUBSTITUTE(C497,"?","~?"),"*","~*"))-1)&amp;" supporting pages",""))</f>
        <v/>
      </c>
      <c r="J497">
        <f>IF(B497="Pillar","Informational",IF(OR(B497="Cluster",B497="Supporting"),INDEX(Attributes!$D$3:$D$52,Q497)&amp;"",""))</f>
        <v/>
      </c>
      <c r="K497">
        <f>IF(B497="","",IF(B497="Pillar","Pillar guide (entity hub)",IF(B497="Cluster","Hub page for this attribute",IF(INDEX(Values!$C$3:$C$502,P497)="Yes","Entity page (profile of the sub-entity)",IFERROR(INDEX(Lists!$B$3:$B$6,MATCH(J497,Lists!$A$3:$A$6,0)),"Article")))))</f>
        <v/>
      </c>
      <c r="L497">
        <f>IF(B497="Pillar",Entity!$B$6&amp;"",IF(B497="Cluster",INDEX(Attributes!$I$3:$I$52,Q497)&amp;"",IF(B497="Supporting",INDEX(Values!$F$3:$F$502,P497)&amp;"","")))</f>
        <v/>
      </c>
      <c r="M497">
        <f>IF(B497="","",IF(L497&lt;&gt;"","Covered","Gap"))</f>
        <v/>
      </c>
      <c r="N497">
        <f>IF(B497="Pillar",SUMIFS(Values!$E$3:$E$502,Values!$I$3:$I$502,"Yes"),IF(B497="Cluster",SUMIFS(Values!$E$3:$E$502,Values!$A$3:$A$502,SUBSTITUTE(SUBSTITUTE(C497,"?","~?"),"*","~*"),Values!$I$3:$I$502,"Yes"),IF(B497="Supporting",N(INDEX(Values!$E$3:$E$502,P497)),"")))</f>
        <v/>
      </c>
      <c r="O497">
        <f>IF(B497="","",IF(B497="Pillar",100,IF(B497="Cluster",N(INDEX(Attributes!$E$3:$E$52,Q497))*25+IF(M497="Gap",10,0),N(INDEX(Attributes!$E$3:$E$52,Q497))*20+MIN(20,ROUND(LOG10(N(N497)+1)*5,0))+IF(M497="Gap",10,0)+IF(INDEX(Values!$D$3:$D$502,P497)="Yes",5,0))))</f>
        <v/>
      </c>
      <c r="P497">
        <f>IF(B497="Supporting",MATCH(A497-1-Entity!$B$14,Values!$J$3:$J$502,0),"")</f>
        <v/>
      </c>
      <c r="Q497">
        <f>IF(C497="","",MATCH(C497,Attributes!$A$3:$A$52,0))</f>
        <v/>
      </c>
      <c r="R497">
        <f>IF(B497="Pillar",SUBSTITUTE(Entity!$B$7,"{entity}",LOWER(Entity!$B$3)),IF(B497="Cluster",IF(INDEX(Attributes!$G$3:$G$52,Q497)&lt;&gt;"",INDEX(Attributes!$G$3:$G$52,Q497),SUBSTITUTE(SUBSTITUTE(Entity!$B$8,"{entity}",LOWER(Entity!$B$3)),"{attribute}",LOWER(C497))),IF(B497="Supporting",SUBSTITUTE(SUBSTITUTE(SUBSTITUTE(IF(INDEX(Attributes!$H$3:$H$52,Q497)&lt;&gt;"",INDEX(Attributes!$H$3:$H$52,Q497),Entity!$B$9),"{entity}",LOWER(Entity!$B$3)),"{value}",D497),"{attribute}",LOWER(C497)),"")))</f>
        <v/>
      </c>
    </row>
    <row r="498">
      <c r="A498">
        <f>ROW()-2</f>
        <v/>
      </c>
      <c r="B498">
        <f>IF(A498=1,"Pillar",IF(A498&lt;=1+Entity!$B$14,"Cluster",IF(A498&lt;=1+Entity!$B$14+Entity!$B$15,"Supporting","")))</f>
        <v/>
      </c>
      <c r="C498">
        <f>IF(B498="Cluster",INDEX(Attributes!$A$3:$A$52,MATCH(A498-1,Attributes!$P$3:$P$52,0)),IF(B498="Supporting",INDEX(Values!$A$3:$A$502,P498),""))</f>
        <v/>
      </c>
      <c r="D498">
        <f>IF(B498="Supporting",INDEX(Values!$B$3:$B$502,P498),"")</f>
        <v/>
      </c>
      <c r="E498">
        <f>IF(R498="","",UPPER(LEFT(R498,1))&amp;MID(R498,2,500))</f>
        <v/>
      </c>
      <c r="F498">
        <f>IF(E498="","",LOWER(SUBSTITUTE(SUBSTITUTE(SUBSTITUTE(SUBSTITUTE(SUBSTITUTE(SUBSTITUTE(SUBSTITUTE(TRIM(E498),":",""),",",""),"'",""),"&amp;","and"),"£",""),"  "," ")," ","-")))</f>
        <v/>
      </c>
      <c r="G498">
        <f>IF(B498="Cluster",$E$3,IF(B498="Supporting",INDEX($E$3:$E$553,MATCH(C498,$C$3:$C$553,0)),""))</f>
        <v/>
      </c>
      <c r="H498">
        <f>IF(B498="Supporting",IFERROR(INDEX($E$3:$E$553,1+Entity!$B$14+INDEX(Values!$O$3:$O$502,P498)),""),IF(B498="Cluster",IF(Entity!$B$14&lt;2,"",INDEX($E$3:$E$553,IF(A498-1=Entity!$B$14,2,A498+1))),""))</f>
        <v/>
      </c>
      <c r="I498">
        <f>IF(B498="Pillar",Entity!$B$14&amp;" cluster pages",IF(B498="Cluster",(COUNTIF($C$3:$C$553,SUBSTITUTE(SUBSTITUTE(C498,"?","~?"),"*","~*"))-1)&amp;" supporting pages",""))</f>
        <v/>
      </c>
      <c r="J498">
        <f>IF(B498="Pillar","Informational",IF(OR(B498="Cluster",B498="Supporting"),INDEX(Attributes!$D$3:$D$52,Q498)&amp;"",""))</f>
        <v/>
      </c>
      <c r="K498">
        <f>IF(B498="","",IF(B498="Pillar","Pillar guide (entity hub)",IF(B498="Cluster","Hub page for this attribute",IF(INDEX(Values!$C$3:$C$502,P498)="Yes","Entity page (profile of the sub-entity)",IFERROR(INDEX(Lists!$B$3:$B$6,MATCH(J498,Lists!$A$3:$A$6,0)),"Article")))))</f>
        <v/>
      </c>
      <c r="L498">
        <f>IF(B498="Pillar",Entity!$B$6&amp;"",IF(B498="Cluster",INDEX(Attributes!$I$3:$I$52,Q498)&amp;"",IF(B498="Supporting",INDEX(Values!$F$3:$F$502,P498)&amp;"","")))</f>
        <v/>
      </c>
      <c r="M498">
        <f>IF(B498="","",IF(L498&lt;&gt;"","Covered","Gap"))</f>
        <v/>
      </c>
      <c r="N498">
        <f>IF(B498="Pillar",SUMIFS(Values!$E$3:$E$502,Values!$I$3:$I$502,"Yes"),IF(B498="Cluster",SUMIFS(Values!$E$3:$E$502,Values!$A$3:$A$502,SUBSTITUTE(SUBSTITUTE(C498,"?","~?"),"*","~*"),Values!$I$3:$I$502,"Yes"),IF(B498="Supporting",N(INDEX(Values!$E$3:$E$502,P498)),"")))</f>
        <v/>
      </c>
      <c r="O498">
        <f>IF(B498="","",IF(B498="Pillar",100,IF(B498="Cluster",N(INDEX(Attributes!$E$3:$E$52,Q498))*25+IF(M498="Gap",10,0),N(INDEX(Attributes!$E$3:$E$52,Q498))*20+MIN(20,ROUND(LOG10(N(N498)+1)*5,0))+IF(M498="Gap",10,0)+IF(INDEX(Values!$D$3:$D$502,P498)="Yes",5,0))))</f>
        <v/>
      </c>
      <c r="P498">
        <f>IF(B498="Supporting",MATCH(A498-1-Entity!$B$14,Values!$J$3:$J$502,0),"")</f>
        <v/>
      </c>
      <c r="Q498">
        <f>IF(C498="","",MATCH(C498,Attributes!$A$3:$A$52,0))</f>
        <v/>
      </c>
      <c r="R498">
        <f>IF(B498="Pillar",SUBSTITUTE(Entity!$B$7,"{entity}",LOWER(Entity!$B$3)),IF(B498="Cluster",IF(INDEX(Attributes!$G$3:$G$52,Q498)&lt;&gt;"",INDEX(Attributes!$G$3:$G$52,Q498),SUBSTITUTE(SUBSTITUTE(Entity!$B$8,"{entity}",LOWER(Entity!$B$3)),"{attribute}",LOWER(C498))),IF(B498="Supporting",SUBSTITUTE(SUBSTITUTE(SUBSTITUTE(IF(INDEX(Attributes!$H$3:$H$52,Q498)&lt;&gt;"",INDEX(Attributes!$H$3:$H$52,Q498),Entity!$B$9),"{entity}",LOWER(Entity!$B$3)),"{value}",D498),"{attribute}",LOWER(C498)),"")))</f>
        <v/>
      </c>
    </row>
    <row r="499">
      <c r="A499">
        <f>ROW()-2</f>
        <v/>
      </c>
      <c r="B499">
        <f>IF(A499=1,"Pillar",IF(A499&lt;=1+Entity!$B$14,"Cluster",IF(A499&lt;=1+Entity!$B$14+Entity!$B$15,"Supporting","")))</f>
        <v/>
      </c>
      <c r="C499">
        <f>IF(B499="Cluster",INDEX(Attributes!$A$3:$A$52,MATCH(A499-1,Attributes!$P$3:$P$52,0)),IF(B499="Supporting",INDEX(Values!$A$3:$A$502,P499),""))</f>
        <v/>
      </c>
      <c r="D499">
        <f>IF(B499="Supporting",INDEX(Values!$B$3:$B$502,P499),"")</f>
        <v/>
      </c>
      <c r="E499">
        <f>IF(R499="","",UPPER(LEFT(R499,1))&amp;MID(R499,2,500))</f>
        <v/>
      </c>
      <c r="F499">
        <f>IF(E499="","",LOWER(SUBSTITUTE(SUBSTITUTE(SUBSTITUTE(SUBSTITUTE(SUBSTITUTE(SUBSTITUTE(SUBSTITUTE(TRIM(E499),":",""),",",""),"'",""),"&amp;","and"),"£",""),"  "," ")," ","-")))</f>
        <v/>
      </c>
      <c r="G499">
        <f>IF(B499="Cluster",$E$3,IF(B499="Supporting",INDEX($E$3:$E$553,MATCH(C499,$C$3:$C$553,0)),""))</f>
        <v/>
      </c>
      <c r="H499">
        <f>IF(B499="Supporting",IFERROR(INDEX($E$3:$E$553,1+Entity!$B$14+INDEX(Values!$O$3:$O$502,P499)),""),IF(B499="Cluster",IF(Entity!$B$14&lt;2,"",INDEX($E$3:$E$553,IF(A499-1=Entity!$B$14,2,A499+1))),""))</f>
        <v/>
      </c>
      <c r="I499">
        <f>IF(B499="Pillar",Entity!$B$14&amp;" cluster pages",IF(B499="Cluster",(COUNTIF($C$3:$C$553,SUBSTITUTE(SUBSTITUTE(C499,"?","~?"),"*","~*"))-1)&amp;" supporting pages",""))</f>
        <v/>
      </c>
      <c r="J499">
        <f>IF(B499="Pillar","Informational",IF(OR(B499="Cluster",B499="Supporting"),INDEX(Attributes!$D$3:$D$52,Q499)&amp;"",""))</f>
        <v/>
      </c>
      <c r="K499">
        <f>IF(B499="","",IF(B499="Pillar","Pillar guide (entity hub)",IF(B499="Cluster","Hub page for this attribute",IF(INDEX(Values!$C$3:$C$502,P499)="Yes","Entity page (profile of the sub-entity)",IFERROR(INDEX(Lists!$B$3:$B$6,MATCH(J499,Lists!$A$3:$A$6,0)),"Article")))))</f>
        <v/>
      </c>
      <c r="L499">
        <f>IF(B499="Pillar",Entity!$B$6&amp;"",IF(B499="Cluster",INDEX(Attributes!$I$3:$I$52,Q499)&amp;"",IF(B499="Supporting",INDEX(Values!$F$3:$F$502,P499)&amp;"","")))</f>
        <v/>
      </c>
      <c r="M499">
        <f>IF(B499="","",IF(L499&lt;&gt;"","Covered","Gap"))</f>
        <v/>
      </c>
      <c r="N499">
        <f>IF(B499="Pillar",SUMIFS(Values!$E$3:$E$502,Values!$I$3:$I$502,"Yes"),IF(B499="Cluster",SUMIFS(Values!$E$3:$E$502,Values!$A$3:$A$502,SUBSTITUTE(SUBSTITUTE(C499,"?","~?"),"*","~*"),Values!$I$3:$I$502,"Yes"),IF(B499="Supporting",N(INDEX(Values!$E$3:$E$502,P499)),"")))</f>
        <v/>
      </c>
      <c r="O499">
        <f>IF(B499="","",IF(B499="Pillar",100,IF(B499="Cluster",N(INDEX(Attributes!$E$3:$E$52,Q499))*25+IF(M499="Gap",10,0),N(INDEX(Attributes!$E$3:$E$52,Q499))*20+MIN(20,ROUND(LOG10(N(N499)+1)*5,0))+IF(M499="Gap",10,0)+IF(INDEX(Values!$D$3:$D$502,P499)="Yes",5,0))))</f>
        <v/>
      </c>
      <c r="P499">
        <f>IF(B499="Supporting",MATCH(A499-1-Entity!$B$14,Values!$J$3:$J$502,0),"")</f>
        <v/>
      </c>
      <c r="Q499">
        <f>IF(C499="","",MATCH(C499,Attributes!$A$3:$A$52,0))</f>
        <v/>
      </c>
      <c r="R499">
        <f>IF(B499="Pillar",SUBSTITUTE(Entity!$B$7,"{entity}",LOWER(Entity!$B$3)),IF(B499="Cluster",IF(INDEX(Attributes!$G$3:$G$52,Q499)&lt;&gt;"",INDEX(Attributes!$G$3:$G$52,Q499),SUBSTITUTE(SUBSTITUTE(Entity!$B$8,"{entity}",LOWER(Entity!$B$3)),"{attribute}",LOWER(C499))),IF(B499="Supporting",SUBSTITUTE(SUBSTITUTE(SUBSTITUTE(IF(INDEX(Attributes!$H$3:$H$52,Q499)&lt;&gt;"",INDEX(Attributes!$H$3:$H$52,Q499),Entity!$B$9),"{entity}",LOWER(Entity!$B$3)),"{value}",D499),"{attribute}",LOWER(C499)),"")))</f>
        <v/>
      </c>
    </row>
    <row r="500">
      <c r="A500">
        <f>ROW()-2</f>
        <v/>
      </c>
      <c r="B500">
        <f>IF(A500=1,"Pillar",IF(A500&lt;=1+Entity!$B$14,"Cluster",IF(A500&lt;=1+Entity!$B$14+Entity!$B$15,"Supporting","")))</f>
        <v/>
      </c>
      <c r="C500">
        <f>IF(B500="Cluster",INDEX(Attributes!$A$3:$A$52,MATCH(A500-1,Attributes!$P$3:$P$52,0)),IF(B500="Supporting",INDEX(Values!$A$3:$A$502,P500),""))</f>
        <v/>
      </c>
      <c r="D500">
        <f>IF(B500="Supporting",INDEX(Values!$B$3:$B$502,P500),"")</f>
        <v/>
      </c>
      <c r="E500">
        <f>IF(R500="","",UPPER(LEFT(R500,1))&amp;MID(R500,2,500))</f>
        <v/>
      </c>
      <c r="F500">
        <f>IF(E500="","",LOWER(SUBSTITUTE(SUBSTITUTE(SUBSTITUTE(SUBSTITUTE(SUBSTITUTE(SUBSTITUTE(SUBSTITUTE(TRIM(E500),":",""),",",""),"'",""),"&amp;","and"),"£",""),"  "," ")," ","-")))</f>
        <v/>
      </c>
      <c r="G500">
        <f>IF(B500="Cluster",$E$3,IF(B500="Supporting",INDEX($E$3:$E$553,MATCH(C500,$C$3:$C$553,0)),""))</f>
        <v/>
      </c>
      <c r="H500">
        <f>IF(B500="Supporting",IFERROR(INDEX($E$3:$E$553,1+Entity!$B$14+INDEX(Values!$O$3:$O$502,P500)),""),IF(B500="Cluster",IF(Entity!$B$14&lt;2,"",INDEX($E$3:$E$553,IF(A500-1=Entity!$B$14,2,A500+1))),""))</f>
        <v/>
      </c>
      <c r="I500">
        <f>IF(B500="Pillar",Entity!$B$14&amp;" cluster pages",IF(B500="Cluster",(COUNTIF($C$3:$C$553,SUBSTITUTE(SUBSTITUTE(C500,"?","~?"),"*","~*"))-1)&amp;" supporting pages",""))</f>
        <v/>
      </c>
      <c r="J500">
        <f>IF(B500="Pillar","Informational",IF(OR(B500="Cluster",B500="Supporting"),INDEX(Attributes!$D$3:$D$52,Q500)&amp;"",""))</f>
        <v/>
      </c>
      <c r="K500">
        <f>IF(B500="","",IF(B500="Pillar","Pillar guide (entity hub)",IF(B500="Cluster","Hub page for this attribute",IF(INDEX(Values!$C$3:$C$502,P500)="Yes","Entity page (profile of the sub-entity)",IFERROR(INDEX(Lists!$B$3:$B$6,MATCH(J500,Lists!$A$3:$A$6,0)),"Article")))))</f>
        <v/>
      </c>
      <c r="L500">
        <f>IF(B500="Pillar",Entity!$B$6&amp;"",IF(B500="Cluster",INDEX(Attributes!$I$3:$I$52,Q500)&amp;"",IF(B500="Supporting",INDEX(Values!$F$3:$F$502,P500)&amp;"","")))</f>
        <v/>
      </c>
      <c r="M500">
        <f>IF(B500="","",IF(L500&lt;&gt;"","Covered","Gap"))</f>
        <v/>
      </c>
      <c r="N500">
        <f>IF(B500="Pillar",SUMIFS(Values!$E$3:$E$502,Values!$I$3:$I$502,"Yes"),IF(B500="Cluster",SUMIFS(Values!$E$3:$E$502,Values!$A$3:$A$502,SUBSTITUTE(SUBSTITUTE(C500,"?","~?"),"*","~*"),Values!$I$3:$I$502,"Yes"),IF(B500="Supporting",N(INDEX(Values!$E$3:$E$502,P500)),"")))</f>
        <v/>
      </c>
      <c r="O500">
        <f>IF(B500="","",IF(B500="Pillar",100,IF(B500="Cluster",N(INDEX(Attributes!$E$3:$E$52,Q500))*25+IF(M500="Gap",10,0),N(INDEX(Attributes!$E$3:$E$52,Q500))*20+MIN(20,ROUND(LOG10(N(N500)+1)*5,0))+IF(M500="Gap",10,0)+IF(INDEX(Values!$D$3:$D$502,P500)="Yes",5,0))))</f>
        <v/>
      </c>
      <c r="P500">
        <f>IF(B500="Supporting",MATCH(A500-1-Entity!$B$14,Values!$J$3:$J$502,0),"")</f>
        <v/>
      </c>
      <c r="Q500">
        <f>IF(C500="","",MATCH(C500,Attributes!$A$3:$A$52,0))</f>
        <v/>
      </c>
      <c r="R500">
        <f>IF(B500="Pillar",SUBSTITUTE(Entity!$B$7,"{entity}",LOWER(Entity!$B$3)),IF(B500="Cluster",IF(INDEX(Attributes!$G$3:$G$52,Q500)&lt;&gt;"",INDEX(Attributes!$G$3:$G$52,Q500),SUBSTITUTE(SUBSTITUTE(Entity!$B$8,"{entity}",LOWER(Entity!$B$3)),"{attribute}",LOWER(C500))),IF(B500="Supporting",SUBSTITUTE(SUBSTITUTE(SUBSTITUTE(IF(INDEX(Attributes!$H$3:$H$52,Q500)&lt;&gt;"",INDEX(Attributes!$H$3:$H$52,Q500),Entity!$B$9),"{entity}",LOWER(Entity!$B$3)),"{value}",D500),"{attribute}",LOWER(C500)),"")))</f>
        <v/>
      </c>
    </row>
    <row r="501">
      <c r="A501">
        <f>ROW()-2</f>
        <v/>
      </c>
      <c r="B501">
        <f>IF(A501=1,"Pillar",IF(A501&lt;=1+Entity!$B$14,"Cluster",IF(A501&lt;=1+Entity!$B$14+Entity!$B$15,"Supporting","")))</f>
        <v/>
      </c>
      <c r="C501">
        <f>IF(B501="Cluster",INDEX(Attributes!$A$3:$A$52,MATCH(A501-1,Attributes!$P$3:$P$52,0)),IF(B501="Supporting",INDEX(Values!$A$3:$A$502,P501),""))</f>
        <v/>
      </c>
      <c r="D501">
        <f>IF(B501="Supporting",INDEX(Values!$B$3:$B$502,P501),"")</f>
        <v/>
      </c>
      <c r="E501">
        <f>IF(R501="","",UPPER(LEFT(R501,1))&amp;MID(R501,2,500))</f>
        <v/>
      </c>
      <c r="F501">
        <f>IF(E501="","",LOWER(SUBSTITUTE(SUBSTITUTE(SUBSTITUTE(SUBSTITUTE(SUBSTITUTE(SUBSTITUTE(SUBSTITUTE(TRIM(E501),":",""),",",""),"'",""),"&amp;","and"),"£",""),"  "," ")," ","-")))</f>
        <v/>
      </c>
      <c r="G501">
        <f>IF(B501="Cluster",$E$3,IF(B501="Supporting",INDEX($E$3:$E$553,MATCH(C501,$C$3:$C$553,0)),""))</f>
        <v/>
      </c>
      <c r="H501">
        <f>IF(B501="Supporting",IFERROR(INDEX($E$3:$E$553,1+Entity!$B$14+INDEX(Values!$O$3:$O$502,P501)),""),IF(B501="Cluster",IF(Entity!$B$14&lt;2,"",INDEX($E$3:$E$553,IF(A501-1=Entity!$B$14,2,A501+1))),""))</f>
        <v/>
      </c>
      <c r="I501">
        <f>IF(B501="Pillar",Entity!$B$14&amp;" cluster pages",IF(B501="Cluster",(COUNTIF($C$3:$C$553,SUBSTITUTE(SUBSTITUTE(C501,"?","~?"),"*","~*"))-1)&amp;" supporting pages",""))</f>
        <v/>
      </c>
      <c r="J501">
        <f>IF(B501="Pillar","Informational",IF(OR(B501="Cluster",B501="Supporting"),INDEX(Attributes!$D$3:$D$52,Q501)&amp;"",""))</f>
        <v/>
      </c>
      <c r="K501">
        <f>IF(B501="","",IF(B501="Pillar","Pillar guide (entity hub)",IF(B501="Cluster","Hub page for this attribute",IF(INDEX(Values!$C$3:$C$502,P501)="Yes","Entity page (profile of the sub-entity)",IFERROR(INDEX(Lists!$B$3:$B$6,MATCH(J501,Lists!$A$3:$A$6,0)),"Article")))))</f>
        <v/>
      </c>
      <c r="L501">
        <f>IF(B501="Pillar",Entity!$B$6&amp;"",IF(B501="Cluster",INDEX(Attributes!$I$3:$I$52,Q501)&amp;"",IF(B501="Supporting",INDEX(Values!$F$3:$F$502,P501)&amp;"","")))</f>
        <v/>
      </c>
      <c r="M501">
        <f>IF(B501="","",IF(L501&lt;&gt;"","Covered","Gap"))</f>
        <v/>
      </c>
      <c r="N501">
        <f>IF(B501="Pillar",SUMIFS(Values!$E$3:$E$502,Values!$I$3:$I$502,"Yes"),IF(B501="Cluster",SUMIFS(Values!$E$3:$E$502,Values!$A$3:$A$502,SUBSTITUTE(SUBSTITUTE(C501,"?","~?"),"*","~*"),Values!$I$3:$I$502,"Yes"),IF(B501="Supporting",N(INDEX(Values!$E$3:$E$502,P501)),"")))</f>
        <v/>
      </c>
      <c r="O501">
        <f>IF(B501="","",IF(B501="Pillar",100,IF(B501="Cluster",N(INDEX(Attributes!$E$3:$E$52,Q501))*25+IF(M501="Gap",10,0),N(INDEX(Attributes!$E$3:$E$52,Q501))*20+MIN(20,ROUND(LOG10(N(N501)+1)*5,0))+IF(M501="Gap",10,0)+IF(INDEX(Values!$D$3:$D$502,P501)="Yes",5,0))))</f>
        <v/>
      </c>
      <c r="P501">
        <f>IF(B501="Supporting",MATCH(A501-1-Entity!$B$14,Values!$J$3:$J$502,0),"")</f>
        <v/>
      </c>
      <c r="Q501">
        <f>IF(C501="","",MATCH(C501,Attributes!$A$3:$A$52,0))</f>
        <v/>
      </c>
      <c r="R501">
        <f>IF(B501="Pillar",SUBSTITUTE(Entity!$B$7,"{entity}",LOWER(Entity!$B$3)),IF(B501="Cluster",IF(INDEX(Attributes!$G$3:$G$52,Q501)&lt;&gt;"",INDEX(Attributes!$G$3:$G$52,Q501),SUBSTITUTE(SUBSTITUTE(Entity!$B$8,"{entity}",LOWER(Entity!$B$3)),"{attribute}",LOWER(C501))),IF(B501="Supporting",SUBSTITUTE(SUBSTITUTE(SUBSTITUTE(IF(INDEX(Attributes!$H$3:$H$52,Q501)&lt;&gt;"",INDEX(Attributes!$H$3:$H$52,Q501),Entity!$B$9),"{entity}",LOWER(Entity!$B$3)),"{value}",D501),"{attribute}",LOWER(C501)),"")))</f>
        <v/>
      </c>
    </row>
    <row r="502">
      <c r="A502">
        <f>ROW()-2</f>
        <v/>
      </c>
      <c r="B502">
        <f>IF(A502=1,"Pillar",IF(A502&lt;=1+Entity!$B$14,"Cluster",IF(A502&lt;=1+Entity!$B$14+Entity!$B$15,"Supporting","")))</f>
        <v/>
      </c>
      <c r="C502">
        <f>IF(B502="Cluster",INDEX(Attributes!$A$3:$A$52,MATCH(A502-1,Attributes!$P$3:$P$52,0)),IF(B502="Supporting",INDEX(Values!$A$3:$A$502,P502),""))</f>
        <v/>
      </c>
      <c r="D502">
        <f>IF(B502="Supporting",INDEX(Values!$B$3:$B$502,P502),"")</f>
        <v/>
      </c>
      <c r="E502">
        <f>IF(R502="","",UPPER(LEFT(R502,1))&amp;MID(R502,2,500))</f>
        <v/>
      </c>
      <c r="F502">
        <f>IF(E502="","",LOWER(SUBSTITUTE(SUBSTITUTE(SUBSTITUTE(SUBSTITUTE(SUBSTITUTE(SUBSTITUTE(SUBSTITUTE(TRIM(E502),":",""),",",""),"'",""),"&amp;","and"),"£",""),"  "," ")," ","-")))</f>
        <v/>
      </c>
      <c r="G502">
        <f>IF(B502="Cluster",$E$3,IF(B502="Supporting",INDEX($E$3:$E$553,MATCH(C502,$C$3:$C$553,0)),""))</f>
        <v/>
      </c>
      <c r="H502">
        <f>IF(B502="Supporting",IFERROR(INDEX($E$3:$E$553,1+Entity!$B$14+INDEX(Values!$O$3:$O$502,P502)),""),IF(B502="Cluster",IF(Entity!$B$14&lt;2,"",INDEX($E$3:$E$553,IF(A502-1=Entity!$B$14,2,A502+1))),""))</f>
        <v/>
      </c>
      <c r="I502">
        <f>IF(B502="Pillar",Entity!$B$14&amp;" cluster pages",IF(B502="Cluster",(COUNTIF($C$3:$C$553,SUBSTITUTE(SUBSTITUTE(C502,"?","~?"),"*","~*"))-1)&amp;" supporting pages",""))</f>
        <v/>
      </c>
      <c r="J502">
        <f>IF(B502="Pillar","Informational",IF(OR(B502="Cluster",B502="Supporting"),INDEX(Attributes!$D$3:$D$52,Q502)&amp;"",""))</f>
        <v/>
      </c>
      <c r="K502">
        <f>IF(B502="","",IF(B502="Pillar","Pillar guide (entity hub)",IF(B502="Cluster","Hub page for this attribute",IF(INDEX(Values!$C$3:$C$502,P502)="Yes","Entity page (profile of the sub-entity)",IFERROR(INDEX(Lists!$B$3:$B$6,MATCH(J502,Lists!$A$3:$A$6,0)),"Article")))))</f>
        <v/>
      </c>
      <c r="L502">
        <f>IF(B502="Pillar",Entity!$B$6&amp;"",IF(B502="Cluster",INDEX(Attributes!$I$3:$I$52,Q502)&amp;"",IF(B502="Supporting",INDEX(Values!$F$3:$F$502,P502)&amp;"","")))</f>
        <v/>
      </c>
      <c r="M502">
        <f>IF(B502="","",IF(L502&lt;&gt;"","Covered","Gap"))</f>
        <v/>
      </c>
      <c r="N502">
        <f>IF(B502="Pillar",SUMIFS(Values!$E$3:$E$502,Values!$I$3:$I$502,"Yes"),IF(B502="Cluster",SUMIFS(Values!$E$3:$E$502,Values!$A$3:$A$502,SUBSTITUTE(SUBSTITUTE(C502,"?","~?"),"*","~*"),Values!$I$3:$I$502,"Yes"),IF(B502="Supporting",N(INDEX(Values!$E$3:$E$502,P502)),"")))</f>
        <v/>
      </c>
      <c r="O502">
        <f>IF(B502="","",IF(B502="Pillar",100,IF(B502="Cluster",N(INDEX(Attributes!$E$3:$E$52,Q502))*25+IF(M502="Gap",10,0),N(INDEX(Attributes!$E$3:$E$52,Q502))*20+MIN(20,ROUND(LOG10(N(N502)+1)*5,0))+IF(M502="Gap",10,0)+IF(INDEX(Values!$D$3:$D$502,P502)="Yes",5,0))))</f>
        <v/>
      </c>
      <c r="P502">
        <f>IF(B502="Supporting",MATCH(A502-1-Entity!$B$14,Values!$J$3:$J$502,0),"")</f>
        <v/>
      </c>
      <c r="Q502">
        <f>IF(C502="","",MATCH(C502,Attributes!$A$3:$A$52,0))</f>
        <v/>
      </c>
      <c r="R502">
        <f>IF(B502="Pillar",SUBSTITUTE(Entity!$B$7,"{entity}",LOWER(Entity!$B$3)),IF(B502="Cluster",IF(INDEX(Attributes!$G$3:$G$52,Q502)&lt;&gt;"",INDEX(Attributes!$G$3:$G$52,Q502),SUBSTITUTE(SUBSTITUTE(Entity!$B$8,"{entity}",LOWER(Entity!$B$3)),"{attribute}",LOWER(C502))),IF(B502="Supporting",SUBSTITUTE(SUBSTITUTE(SUBSTITUTE(IF(INDEX(Attributes!$H$3:$H$52,Q502)&lt;&gt;"",INDEX(Attributes!$H$3:$H$52,Q502),Entity!$B$9),"{entity}",LOWER(Entity!$B$3)),"{value}",D502),"{attribute}",LOWER(C502)),"")))</f>
        <v/>
      </c>
    </row>
    <row r="503">
      <c r="A503">
        <f>ROW()-2</f>
        <v/>
      </c>
      <c r="B503">
        <f>IF(A503=1,"Pillar",IF(A503&lt;=1+Entity!$B$14,"Cluster",IF(A503&lt;=1+Entity!$B$14+Entity!$B$15,"Supporting","")))</f>
        <v/>
      </c>
      <c r="C503">
        <f>IF(B503="Cluster",INDEX(Attributes!$A$3:$A$52,MATCH(A503-1,Attributes!$P$3:$P$52,0)),IF(B503="Supporting",INDEX(Values!$A$3:$A$502,P503),""))</f>
        <v/>
      </c>
      <c r="D503">
        <f>IF(B503="Supporting",INDEX(Values!$B$3:$B$502,P503),"")</f>
        <v/>
      </c>
      <c r="E503">
        <f>IF(R503="","",UPPER(LEFT(R503,1))&amp;MID(R503,2,500))</f>
        <v/>
      </c>
      <c r="F503">
        <f>IF(E503="","",LOWER(SUBSTITUTE(SUBSTITUTE(SUBSTITUTE(SUBSTITUTE(SUBSTITUTE(SUBSTITUTE(SUBSTITUTE(TRIM(E503),":",""),",",""),"'",""),"&amp;","and"),"£",""),"  "," ")," ","-")))</f>
        <v/>
      </c>
      <c r="G503">
        <f>IF(B503="Cluster",$E$3,IF(B503="Supporting",INDEX($E$3:$E$553,MATCH(C503,$C$3:$C$553,0)),""))</f>
        <v/>
      </c>
      <c r="H503">
        <f>IF(B503="Supporting",IFERROR(INDEX($E$3:$E$553,1+Entity!$B$14+INDEX(Values!$O$3:$O$502,P503)),""),IF(B503="Cluster",IF(Entity!$B$14&lt;2,"",INDEX($E$3:$E$553,IF(A503-1=Entity!$B$14,2,A503+1))),""))</f>
        <v/>
      </c>
      <c r="I503">
        <f>IF(B503="Pillar",Entity!$B$14&amp;" cluster pages",IF(B503="Cluster",(COUNTIF($C$3:$C$553,SUBSTITUTE(SUBSTITUTE(C503,"?","~?"),"*","~*"))-1)&amp;" supporting pages",""))</f>
        <v/>
      </c>
      <c r="J503">
        <f>IF(B503="Pillar","Informational",IF(OR(B503="Cluster",B503="Supporting"),INDEX(Attributes!$D$3:$D$52,Q503)&amp;"",""))</f>
        <v/>
      </c>
      <c r="K503">
        <f>IF(B503="","",IF(B503="Pillar","Pillar guide (entity hub)",IF(B503="Cluster","Hub page for this attribute",IF(INDEX(Values!$C$3:$C$502,P503)="Yes","Entity page (profile of the sub-entity)",IFERROR(INDEX(Lists!$B$3:$B$6,MATCH(J503,Lists!$A$3:$A$6,0)),"Article")))))</f>
        <v/>
      </c>
      <c r="L503">
        <f>IF(B503="Pillar",Entity!$B$6&amp;"",IF(B503="Cluster",INDEX(Attributes!$I$3:$I$52,Q503)&amp;"",IF(B503="Supporting",INDEX(Values!$F$3:$F$502,P503)&amp;"","")))</f>
        <v/>
      </c>
      <c r="M503">
        <f>IF(B503="","",IF(L503&lt;&gt;"","Covered","Gap"))</f>
        <v/>
      </c>
      <c r="N503">
        <f>IF(B503="Pillar",SUMIFS(Values!$E$3:$E$502,Values!$I$3:$I$502,"Yes"),IF(B503="Cluster",SUMIFS(Values!$E$3:$E$502,Values!$A$3:$A$502,SUBSTITUTE(SUBSTITUTE(C503,"?","~?"),"*","~*"),Values!$I$3:$I$502,"Yes"),IF(B503="Supporting",N(INDEX(Values!$E$3:$E$502,P503)),"")))</f>
        <v/>
      </c>
      <c r="O503">
        <f>IF(B503="","",IF(B503="Pillar",100,IF(B503="Cluster",N(INDEX(Attributes!$E$3:$E$52,Q503))*25+IF(M503="Gap",10,0),N(INDEX(Attributes!$E$3:$E$52,Q503))*20+MIN(20,ROUND(LOG10(N(N503)+1)*5,0))+IF(M503="Gap",10,0)+IF(INDEX(Values!$D$3:$D$502,P503)="Yes",5,0))))</f>
        <v/>
      </c>
      <c r="P503">
        <f>IF(B503="Supporting",MATCH(A503-1-Entity!$B$14,Values!$J$3:$J$502,0),"")</f>
        <v/>
      </c>
      <c r="Q503">
        <f>IF(C503="","",MATCH(C503,Attributes!$A$3:$A$52,0))</f>
        <v/>
      </c>
      <c r="R503">
        <f>IF(B503="Pillar",SUBSTITUTE(Entity!$B$7,"{entity}",LOWER(Entity!$B$3)),IF(B503="Cluster",IF(INDEX(Attributes!$G$3:$G$52,Q503)&lt;&gt;"",INDEX(Attributes!$G$3:$G$52,Q503),SUBSTITUTE(SUBSTITUTE(Entity!$B$8,"{entity}",LOWER(Entity!$B$3)),"{attribute}",LOWER(C503))),IF(B503="Supporting",SUBSTITUTE(SUBSTITUTE(SUBSTITUTE(IF(INDEX(Attributes!$H$3:$H$52,Q503)&lt;&gt;"",INDEX(Attributes!$H$3:$H$52,Q503),Entity!$B$9),"{entity}",LOWER(Entity!$B$3)),"{value}",D503),"{attribute}",LOWER(C503)),"")))</f>
        <v/>
      </c>
    </row>
    <row r="504">
      <c r="A504">
        <f>ROW()-2</f>
        <v/>
      </c>
      <c r="B504">
        <f>IF(A504=1,"Pillar",IF(A504&lt;=1+Entity!$B$14,"Cluster",IF(A504&lt;=1+Entity!$B$14+Entity!$B$15,"Supporting","")))</f>
        <v/>
      </c>
      <c r="C504">
        <f>IF(B504="Cluster",INDEX(Attributes!$A$3:$A$52,MATCH(A504-1,Attributes!$P$3:$P$52,0)),IF(B504="Supporting",INDEX(Values!$A$3:$A$502,P504),""))</f>
        <v/>
      </c>
      <c r="D504">
        <f>IF(B504="Supporting",INDEX(Values!$B$3:$B$502,P504),"")</f>
        <v/>
      </c>
      <c r="E504">
        <f>IF(R504="","",UPPER(LEFT(R504,1))&amp;MID(R504,2,500))</f>
        <v/>
      </c>
      <c r="F504">
        <f>IF(E504="","",LOWER(SUBSTITUTE(SUBSTITUTE(SUBSTITUTE(SUBSTITUTE(SUBSTITUTE(SUBSTITUTE(SUBSTITUTE(TRIM(E504),":",""),",",""),"'",""),"&amp;","and"),"£",""),"  "," ")," ","-")))</f>
        <v/>
      </c>
      <c r="G504">
        <f>IF(B504="Cluster",$E$3,IF(B504="Supporting",INDEX($E$3:$E$553,MATCH(C504,$C$3:$C$553,0)),""))</f>
        <v/>
      </c>
      <c r="H504">
        <f>IF(B504="Supporting",IFERROR(INDEX($E$3:$E$553,1+Entity!$B$14+INDEX(Values!$O$3:$O$502,P504)),""),IF(B504="Cluster",IF(Entity!$B$14&lt;2,"",INDEX($E$3:$E$553,IF(A504-1=Entity!$B$14,2,A504+1))),""))</f>
        <v/>
      </c>
      <c r="I504">
        <f>IF(B504="Pillar",Entity!$B$14&amp;" cluster pages",IF(B504="Cluster",(COUNTIF($C$3:$C$553,SUBSTITUTE(SUBSTITUTE(C504,"?","~?"),"*","~*"))-1)&amp;" supporting pages",""))</f>
        <v/>
      </c>
      <c r="J504">
        <f>IF(B504="Pillar","Informational",IF(OR(B504="Cluster",B504="Supporting"),INDEX(Attributes!$D$3:$D$52,Q504)&amp;"",""))</f>
        <v/>
      </c>
      <c r="K504">
        <f>IF(B504="","",IF(B504="Pillar","Pillar guide (entity hub)",IF(B504="Cluster","Hub page for this attribute",IF(INDEX(Values!$C$3:$C$502,P504)="Yes","Entity page (profile of the sub-entity)",IFERROR(INDEX(Lists!$B$3:$B$6,MATCH(J504,Lists!$A$3:$A$6,0)),"Article")))))</f>
        <v/>
      </c>
      <c r="L504">
        <f>IF(B504="Pillar",Entity!$B$6&amp;"",IF(B504="Cluster",INDEX(Attributes!$I$3:$I$52,Q504)&amp;"",IF(B504="Supporting",INDEX(Values!$F$3:$F$502,P504)&amp;"","")))</f>
        <v/>
      </c>
      <c r="M504">
        <f>IF(B504="","",IF(L504&lt;&gt;"","Covered","Gap"))</f>
        <v/>
      </c>
      <c r="N504">
        <f>IF(B504="Pillar",SUMIFS(Values!$E$3:$E$502,Values!$I$3:$I$502,"Yes"),IF(B504="Cluster",SUMIFS(Values!$E$3:$E$502,Values!$A$3:$A$502,SUBSTITUTE(SUBSTITUTE(C504,"?","~?"),"*","~*"),Values!$I$3:$I$502,"Yes"),IF(B504="Supporting",N(INDEX(Values!$E$3:$E$502,P504)),"")))</f>
        <v/>
      </c>
      <c r="O504">
        <f>IF(B504="","",IF(B504="Pillar",100,IF(B504="Cluster",N(INDEX(Attributes!$E$3:$E$52,Q504))*25+IF(M504="Gap",10,0),N(INDEX(Attributes!$E$3:$E$52,Q504))*20+MIN(20,ROUND(LOG10(N(N504)+1)*5,0))+IF(M504="Gap",10,0)+IF(INDEX(Values!$D$3:$D$502,P504)="Yes",5,0))))</f>
        <v/>
      </c>
      <c r="P504">
        <f>IF(B504="Supporting",MATCH(A504-1-Entity!$B$14,Values!$J$3:$J$502,0),"")</f>
        <v/>
      </c>
      <c r="Q504">
        <f>IF(C504="","",MATCH(C504,Attributes!$A$3:$A$52,0))</f>
        <v/>
      </c>
      <c r="R504">
        <f>IF(B504="Pillar",SUBSTITUTE(Entity!$B$7,"{entity}",LOWER(Entity!$B$3)),IF(B504="Cluster",IF(INDEX(Attributes!$G$3:$G$52,Q504)&lt;&gt;"",INDEX(Attributes!$G$3:$G$52,Q504),SUBSTITUTE(SUBSTITUTE(Entity!$B$8,"{entity}",LOWER(Entity!$B$3)),"{attribute}",LOWER(C504))),IF(B504="Supporting",SUBSTITUTE(SUBSTITUTE(SUBSTITUTE(IF(INDEX(Attributes!$H$3:$H$52,Q504)&lt;&gt;"",INDEX(Attributes!$H$3:$H$52,Q504),Entity!$B$9),"{entity}",LOWER(Entity!$B$3)),"{value}",D504),"{attribute}",LOWER(C504)),"")))</f>
        <v/>
      </c>
    </row>
    <row r="505">
      <c r="A505">
        <f>ROW()-2</f>
        <v/>
      </c>
      <c r="B505">
        <f>IF(A505=1,"Pillar",IF(A505&lt;=1+Entity!$B$14,"Cluster",IF(A505&lt;=1+Entity!$B$14+Entity!$B$15,"Supporting","")))</f>
        <v/>
      </c>
      <c r="C505">
        <f>IF(B505="Cluster",INDEX(Attributes!$A$3:$A$52,MATCH(A505-1,Attributes!$P$3:$P$52,0)),IF(B505="Supporting",INDEX(Values!$A$3:$A$502,P505),""))</f>
        <v/>
      </c>
      <c r="D505">
        <f>IF(B505="Supporting",INDEX(Values!$B$3:$B$502,P505),"")</f>
        <v/>
      </c>
      <c r="E505">
        <f>IF(R505="","",UPPER(LEFT(R505,1))&amp;MID(R505,2,500))</f>
        <v/>
      </c>
      <c r="F505">
        <f>IF(E505="","",LOWER(SUBSTITUTE(SUBSTITUTE(SUBSTITUTE(SUBSTITUTE(SUBSTITUTE(SUBSTITUTE(SUBSTITUTE(TRIM(E505),":",""),",",""),"'",""),"&amp;","and"),"£",""),"  "," ")," ","-")))</f>
        <v/>
      </c>
      <c r="G505">
        <f>IF(B505="Cluster",$E$3,IF(B505="Supporting",INDEX($E$3:$E$553,MATCH(C505,$C$3:$C$553,0)),""))</f>
        <v/>
      </c>
      <c r="H505">
        <f>IF(B505="Supporting",IFERROR(INDEX($E$3:$E$553,1+Entity!$B$14+INDEX(Values!$O$3:$O$502,P505)),""),IF(B505="Cluster",IF(Entity!$B$14&lt;2,"",INDEX($E$3:$E$553,IF(A505-1=Entity!$B$14,2,A505+1))),""))</f>
        <v/>
      </c>
      <c r="I505">
        <f>IF(B505="Pillar",Entity!$B$14&amp;" cluster pages",IF(B505="Cluster",(COUNTIF($C$3:$C$553,SUBSTITUTE(SUBSTITUTE(C505,"?","~?"),"*","~*"))-1)&amp;" supporting pages",""))</f>
        <v/>
      </c>
      <c r="J505">
        <f>IF(B505="Pillar","Informational",IF(OR(B505="Cluster",B505="Supporting"),INDEX(Attributes!$D$3:$D$52,Q505)&amp;"",""))</f>
        <v/>
      </c>
      <c r="K505">
        <f>IF(B505="","",IF(B505="Pillar","Pillar guide (entity hub)",IF(B505="Cluster","Hub page for this attribute",IF(INDEX(Values!$C$3:$C$502,P505)="Yes","Entity page (profile of the sub-entity)",IFERROR(INDEX(Lists!$B$3:$B$6,MATCH(J505,Lists!$A$3:$A$6,0)),"Article")))))</f>
        <v/>
      </c>
      <c r="L505">
        <f>IF(B505="Pillar",Entity!$B$6&amp;"",IF(B505="Cluster",INDEX(Attributes!$I$3:$I$52,Q505)&amp;"",IF(B505="Supporting",INDEX(Values!$F$3:$F$502,P505)&amp;"","")))</f>
        <v/>
      </c>
      <c r="M505">
        <f>IF(B505="","",IF(L505&lt;&gt;"","Covered","Gap"))</f>
        <v/>
      </c>
      <c r="N505">
        <f>IF(B505="Pillar",SUMIFS(Values!$E$3:$E$502,Values!$I$3:$I$502,"Yes"),IF(B505="Cluster",SUMIFS(Values!$E$3:$E$502,Values!$A$3:$A$502,SUBSTITUTE(SUBSTITUTE(C505,"?","~?"),"*","~*"),Values!$I$3:$I$502,"Yes"),IF(B505="Supporting",N(INDEX(Values!$E$3:$E$502,P505)),"")))</f>
        <v/>
      </c>
      <c r="O505">
        <f>IF(B505="","",IF(B505="Pillar",100,IF(B505="Cluster",N(INDEX(Attributes!$E$3:$E$52,Q505))*25+IF(M505="Gap",10,0),N(INDEX(Attributes!$E$3:$E$52,Q505))*20+MIN(20,ROUND(LOG10(N(N505)+1)*5,0))+IF(M505="Gap",10,0)+IF(INDEX(Values!$D$3:$D$502,P505)="Yes",5,0))))</f>
        <v/>
      </c>
      <c r="P505">
        <f>IF(B505="Supporting",MATCH(A505-1-Entity!$B$14,Values!$J$3:$J$502,0),"")</f>
        <v/>
      </c>
      <c r="Q505">
        <f>IF(C505="","",MATCH(C505,Attributes!$A$3:$A$52,0))</f>
        <v/>
      </c>
      <c r="R505">
        <f>IF(B505="Pillar",SUBSTITUTE(Entity!$B$7,"{entity}",LOWER(Entity!$B$3)),IF(B505="Cluster",IF(INDEX(Attributes!$G$3:$G$52,Q505)&lt;&gt;"",INDEX(Attributes!$G$3:$G$52,Q505),SUBSTITUTE(SUBSTITUTE(Entity!$B$8,"{entity}",LOWER(Entity!$B$3)),"{attribute}",LOWER(C505))),IF(B505="Supporting",SUBSTITUTE(SUBSTITUTE(SUBSTITUTE(IF(INDEX(Attributes!$H$3:$H$52,Q505)&lt;&gt;"",INDEX(Attributes!$H$3:$H$52,Q505),Entity!$B$9),"{entity}",LOWER(Entity!$B$3)),"{value}",D505),"{attribute}",LOWER(C505)),"")))</f>
        <v/>
      </c>
    </row>
    <row r="506">
      <c r="A506">
        <f>ROW()-2</f>
        <v/>
      </c>
      <c r="B506">
        <f>IF(A506=1,"Pillar",IF(A506&lt;=1+Entity!$B$14,"Cluster",IF(A506&lt;=1+Entity!$B$14+Entity!$B$15,"Supporting","")))</f>
        <v/>
      </c>
      <c r="C506">
        <f>IF(B506="Cluster",INDEX(Attributes!$A$3:$A$52,MATCH(A506-1,Attributes!$P$3:$P$52,0)),IF(B506="Supporting",INDEX(Values!$A$3:$A$502,P506),""))</f>
        <v/>
      </c>
      <c r="D506">
        <f>IF(B506="Supporting",INDEX(Values!$B$3:$B$502,P506),"")</f>
        <v/>
      </c>
      <c r="E506">
        <f>IF(R506="","",UPPER(LEFT(R506,1))&amp;MID(R506,2,500))</f>
        <v/>
      </c>
      <c r="F506">
        <f>IF(E506="","",LOWER(SUBSTITUTE(SUBSTITUTE(SUBSTITUTE(SUBSTITUTE(SUBSTITUTE(SUBSTITUTE(SUBSTITUTE(TRIM(E506),":",""),",",""),"'",""),"&amp;","and"),"£",""),"  "," ")," ","-")))</f>
        <v/>
      </c>
      <c r="G506">
        <f>IF(B506="Cluster",$E$3,IF(B506="Supporting",INDEX($E$3:$E$553,MATCH(C506,$C$3:$C$553,0)),""))</f>
        <v/>
      </c>
      <c r="H506">
        <f>IF(B506="Supporting",IFERROR(INDEX($E$3:$E$553,1+Entity!$B$14+INDEX(Values!$O$3:$O$502,P506)),""),IF(B506="Cluster",IF(Entity!$B$14&lt;2,"",INDEX($E$3:$E$553,IF(A506-1=Entity!$B$14,2,A506+1))),""))</f>
        <v/>
      </c>
      <c r="I506">
        <f>IF(B506="Pillar",Entity!$B$14&amp;" cluster pages",IF(B506="Cluster",(COUNTIF($C$3:$C$553,SUBSTITUTE(SUBSTITUTE(C506,"?","~?"),"*","~*"))-1)&amp;" supporting pages",""))</f>
        <v/>
      </c>
      <c r="J506">
        <f>IF(B506="Pillar","Informational",IF(OR(B506="Cluster",B506="Supporting"),INDEX(Attributes!$D$3:$D$52,Q506)&amp;"",""))</f>
        <v/>
      </c>
      <c r="K506">
        <f>IF(B506="","",IF(B506="Pillar","Pillar guide (entity hub)",IF(B506="Cluster","Hub page for this attribute",IF(INDEX(Values!$C$3:$C$502,P506)="Yes","Entity page (profile of the sub-entity)",IFERROR(INDEX(Lists!$B$3:$B$6,MATCH(J506,Lists!$A$3:$A$6,0)),"Article")))))</f>
        <v/>
      </c>
      <c r="L506">
        <f>IF(B506="Pillar",Entity!$B$6&amp;"",IF(B506="Cluster",INDEX(Attributes!$I$3:$I$52,Q506)&amp;"",IF(B506="Supporting",INDEX(Values!$F$3:$F$502,P506)&amp;"","")))</f>
        <v/>
      </c>
      <c r="M506">
        <f>IF(B506="","",IF(L506&lt;&gt;"","Covered","Gap"))</f>
        <v/>
      </c>
      <c r="N506">
        <f>IF(B506="Pillar",SUMIFS(Values!$E$3:$E$502,Values!$I$3:$I$502,"Yes"),IF(B506="Cluster",SUMIFS(Values!$E$3:$E$502,Values!$A$3:$A$502,SUBSTITUTE(SUBSTITUTE(C506,"?","~?"),"*","~*"),Values!$I$3:$I$502,"Yes"),IF(B506="Supporting",N(INDEX(Values!$E$3:$E$502,P506)),"")))</f>
        <v/>
      </c>
      <c r="O506">
        <f>IF(B506="","",IF(B506="Pillar",100,IF(B506="Cluster",N(INDEX(Attributes!$E$3:$E$52,Q506))*25+IF(M506="Gap",10,0),N(INDEX(Attributes!$E$3:$E$52,Q506))*20+MIN(20,ROUND(LOG10(N(N506)+1)*5,0))+IF(M506="Gap",10,0)+IF(INDEX(Values!$D$3:$D$502,P506)="Yes",5,0))))</f>
        <v/>
      </c>
      <c r="P506">
        <f>IF(B506="Supporting",MATCH(A506-1-Entity!$B$14,Values!$J$3:$J$502,0),"")</f>
        <v/>
      </c>
      <c r="Q506">
        <f>IF(C506="","",MATCH(C506,Attributes!$A$3:$A$52,0))</f>
        <v/>
      </c>
      <c r="R506">
        <f>IF(B506="Pillar",SUBSTITUTE(Entity!$B$7,"{entity}",LOWER(Entity!$B$3)),IF(B506="Cluster",IF(INDEX(Attributes!$G$3:$G$52,Q506)&lt;&gt;"",INDEX(Attributes!$G$3:$G$52,Q506),SUBSTITUTE(SUBSTITUTE(Entity!$B$8,"{entity}",LOWER(Entity!$B$3)),"{attribute}",LOWER(C506))),IF(B506="Supporting",SUBSTITUTE(SUBSTITUTE(SUBSTITUTE(IF(INDEX(Attributes!$H$3:$H$52,Q506)&lt;&gt;"",INDEX(Attributes!$H$3:$H$52,Q506),Entity!$B$9),"{entity}",LOWER(Entity!$B$3)),"{value}",D506),"{attribute}",LOWER(C506)),"")))</f>
        <v/>
      </c>
    </row>
    <row r="507">
      <c r="A507">
        <f>ROW()-2</f>
        <v/>
      </c>
      <c r="B507">
        <f>IF(A507=1,"Pillar",IF(A507&lt;=1+Entity!$B$14,"Cluster",IF(A507&lt;=1+Entity!$B$14+Entity!$B$15,"Supporting","")))</f>
        <v/>
      </c>
      <c r="C507">
        <f>IF(B507="Cluster",INDEX(Attributes!$A$3:$A$52,MATCH(A507-1,Attributes!$P$3:$P$52,0)),IF(B507="Supporting",INDEX(Values!$A$3:$A$502,P507),""))</f>
        <v/>
      </c>
      <c r="D507">
        <f>IF(B507="Supporting",INDEX(Values!$B$3:$B$502,P507),"")</f>
        <v/>
      </c>
      <c r="E507">
        <f>IF(R507="","",UPPER(LEFT(R507,1))&amp;MID(R507,2,500))</f>
        <v/>
      </c>
      <c r="F507">
        <f>IF(E507="","",LOWER(SUBSTITUTE(SUBSTITUTE(SUBSTITUTE(SUBSTITUTE(SUBSTITUTE(SUBSTITUTE(SUBSTITUTE(TRIM(E507),":",""),",",""),"'",""),"&amp;","and"),"£",""),"  "," ")," ","-")))</f>
        <v/>
      </c>
      <c r="G507">
        <f>IF(B507="Cluster",$E$3,IF(B507="Supporting",INDEX($E$3:$E$553,MATCH(C507,$C$3:$C$553,0)),""))</f>
        <v/>
      </c>
      <c r="H507">
        <f>IF(B507="Supporting",IFERROR(INDEX($E$3:$E$553,1+Entity!$B$14+INDEX(Values!$O$3:$O$502,P507)),""),IF(B507="Cluster",IF(Entity!$B$14&lt;2,"",INDEX($E$3:$E$553,IF(A507-1=Entity!$B$14,2,A507+1))),""))</f>
        <v/>
      </c>
      <c r="I507">
        <f>IF(B507="Pillar",Entity!$B$14&amp;" cluster pages",IF(B507="Cluster",(COUNTIF($C$3:$C$553,SUBSTITUTE(SUBSTITUTE(C507,"?","~?"),"*","~*"))-1)&amp;" supporting pages",""))</f>
        <v/>
      </c>
      <c r="J507">
        <f>IF(B507="Pillar","Informational",IF(OR(B507="Cluster",B507="Supporting"),INDEX(Attributes!$D$3:$D$52,Q507)&amp;"",""))</f>
        <v/>
      </c>
      <c r="K507">
        <f>IF(B507="","",IF(B507="Pillar","Pillar guide (entity hub)",IF(B507="Cluster","Hub page for this attribute",IF(INDEX(Values!$C$3:$C$502,P507)="Yes","Entity page (profile of the sub-entity)",IFERROR(INDEX(Lists!$B$3:$B$6,MATCH(J507,Lists!$A$3:$A$6,0)),"Article")))))</f>
        <v/>
      </c>
      <c r="L507">
        <f>IF(B507="Pillar",Entity!$B$6&amp;"",IF(B507="Cluster",INDEX(Attributes!$I$3:$I$52,Q507)&amp;"",IF(B507="Supporting",INDEX(Values!$F$3:$F$502,P507)&amp;"","")))</f>
        <v/>
      </c>
      <c r="M507">
        <f>IF(B507="","",IF(L507&lt;&gt;"","Covered","Gap"))</f>
        <v/>
      </c>
      <c r="N507">
        <f>IF(B507="Pillar",SUMIFS(Values!$E$3:$E$502,Values!$I$3:$I$502,"Yes"),IF(B507="Cluster",SUMIFS(Values!$E$3:$E$502,Values!$A$3:$A$502,SUBSTITUTE(SUBSTITUTE(C507,"?","~?"),"*","~*"),Values!$I$3:$I$502,"Yes"),IF(B507="Supporting",N(INDEX(Values!$E$3:$E$502,P507)),"")))</f>
        <v/>
      </c>
      <c r="O507">
        <f>IF(B507="","",IF(B507="Pillar",100,IF(B507="Cluster",N(INDEX(Attributes!$E$3:$E$52,Q507))*25+IF(M507="Gap",10,0),N(INDEX(Attributes!$E$3:$E$52,Q507))*20+MIN(20,ROUND(LOG10(N(N507)+1)*5,0))+IF(M507="Gap",10,0)+IF(INDEX(Values!$D$3:$D$502,P507)="Yes",5,0))))</f>
        <v/>
      </c>
      <c r="P507">
        <f>IF(B507="Supporting",MATCH(A507-1-Entity!$B$14,Values!$J$3:$J$502,0),"")</f>
        <v/>
      </c>
      <c r="Q507">
        <f>IF(C507="","",MATCH(C507,Attributes!$A$3:$A$52,0))</f>
        <v/>
      </c>
      <c r="R507">
        <f>IF(B507="Pillar",SUBSTITUTE(Entity!$B$7,"{entity}",LOWER(Entity!$B$3)),IF(B507="Cluster",IF(INDEX(Attributes!$G$3:$G$52,Q507)&lt;&gt;"",INDEX(Attributes!$G$3:$G$52,Q507),SUBSTITUTE(SUBSTITUTE(Entity!$B$8,"{entity}",LOWER(Entity!$B$3)),"{attribute}",LOWER(C507))),IF(B507="Supporting",SUBSTITUTE(SUBSTITUTE(SUBSTITUTE(IF(INDEX(Attributes!$H$3:$H$52,Q507)&lt;&gt;"",INDEX(Attributes!$H$3:$H$52,Q507),Entity!$B$9),"{entity}",LOWER(Entity!$B$3)),"{value}",D507),"{attribute}",LOWER(C507)),"")))</f>
        <v/>
      </c>
    </row>
    <row r="508">
      <c r="A508">
        <f>ROW()-2</f>
        <v/>
      </c>
      <c r="B508">
        <f>IF(A508=1,"Pillar",IF(A508&lt;=1+Entity!$B$14,"Cluster",IF(A508&lt;=1+Entity!$B$14+Entity!$B$15,"Supporting","")))</f>
        <v/>
      </c>
      <c r="C508">
        <f>IF(B508="Cluster",INDEX(Attributes!$A$3:$A$52,MATCH(A508-1,Attributes!$P$3:$P$52,0)),IF(B508="Supporting",INDEX(Values!$A$3:$A$502,P508),""))</f>
        <v/>
      </c>
      <c r="D508">
        <f>IF(B508="Supporting",INDEX(Values!$B$3:$B$502,P508),"")</f>
        <v/>
      </c>
      <c r="E508">
        <f>IF(R508="","",UPPER(LEFT(R508,1))&amp;MID(R508,2,500))</f>
        <v/>
      </c>
      <c r="F508">
        <f>IF(E508="","",LOWER(SUBSTITUTE(SUBSTITUTE(SUBSTITUTE(SUBSTITUTE(SUBSTITUTE(SUBSTITUTE(SUBSTITUTE(TRIM(E508),":",""),",",""),"'",""),"&amp;","and"),"£",""),"  "," ")," ","-")))</f>
        <v/>
      </c>
      <c r="G508">
        <f>IF(B508="Cluster",$E$3,IF(B508="Supporting",INDEX($E$3:$E$553,MATCH(C508,$C$3:$C$553,0)),""))</f>
        <v/>
      </c>
      <c r="H508">
        <f>IF(B508="Supporting",IFERROR(INDEX($E$3:$E$553,1+Entity!$B$14+INDEX(Values!$O$3:$O$502,P508)),""),IF(B508="Cluster",IF(Entity!$B$14&lt;2,"",INDEX($E$3:$E$553,IF(A508-1=Entity!$B$14,2,A508+1))),""))</f>
        <v/>
      </c>
      <c r="I508">
        <f>IF(B508="Pillar",Entity!$B$14&amp;" cluster pages",IF(B508="Cluster",(COUNTIF($C$3:$C$553,SUBSTITUTE(SUBSTITUTE(C508,"?","~?"),"*","~*"))-1)&amp;" supporting pages",""))</f>
        <v/>
      </c>
      <c r="J508">
        <f>IF(B508="Pillar","Informational",IF(OR(B508="Cluster",B508="Supporting"),INDEX(Attributes!$D$3:$D$52,Q508)&amp;"",""))</f>
        <v/>
      </c>
      <c r="K508">
        <f>IF(B508="","",IF(B508="Pillar","Pillar guide (entity hub)",IF(B508="Cluster","Hub page for this attribute",IF(INDEX(Values!$C$3:$C$502,P508)="Yes","Entity page (profile of the sub-entity)",IFERROR(INDEX(Lists!$B$3:$B$6,MATCH(J508,Lists!$A$3:$A$6,0)),"Article")))))</f>
        <v/>
      </c>
      <c r="L508">
        <f>IF(B508="Pillar",Entity!$B$6&amp;"",IF(B508="Cluster",INDEX(Attributes!$I$3:$I$52,Q508)&amp;"",IF(B508="Supporting",INDEX(Values!$F$3:$F$502,P508)&amp;"","")))</f>
        <v/>
      </c>
      <c r="M508">
        <f>IF(B508="","",IF(L508&lt;&gt;"","Covered","Gap"))</f>
        <v/>
      </c>
      <c r="N508">
        <f>IF(B508="Pillar",SUMIFS(Values!$E$3:$E$502,Values!$I$3:$I$502,"Yes"),IF(B508="Cluster",SUMIFS(Values!$E$3:$E$502,Values!$A$3:$A$502,SUBSTITUTE(SUBSTITUTE(C508,"?","~?"),"*","~*"),Values!$I$3:$I$502,"Yes"),IF(B508="Supporting",N(INDEX(Values!$E$3:$E$502,P508)),"")))</f>
        <v/>
      </c>
      <c r="O508">
        <f>IF(B508="","",IF(B508="Pillar",100,IF(B508="Cluster",N(INDEX(Attributes!$E$3:$E$52,Q508))*25+IF(M508="Gap",10,0),N(INDEX(Attributes!$E$3:$E$52,Q508))*20+MIN(20,ROUND(LOG10(N(N508)+1)*5,0))+IF(M508="Gap",10,0)+IF(INDEX(Values!$D$3:$D$502,P508)="Yes",5,0))))</f>
        <v/>
      </c>
      <c r="P508">
        <f>IF(B508="Supporting",MATCH(A508-1-Entity!$B$14,Values!$J$3:$J$502,0),"")</f>
        <v/>
      </c>
      <c r="Q508">
        <f>IF(C508="","",MATCH(C508,Attributes!$A$3:$A$52,0))</f>
        <v/>
      </c>
      <c r="R508">
        <f>IF(B508="Pillar",SUBSTITUTE(Entity!$B$7,"{entity}",LOWER(Entity!$B$3)),IF(B508="Cluster",IF(INDEX(Attributes!$G$3:$G$52,Q508)&lt;&gt;"",INDEX(Attributes!$G$3:$G$52,Q508),SUBSTITUTE(SUBSTITUTE(Entity!$B$8,"{entity}",LOWER(Entity!$B$3)),"{attribute}",LOWER(C508))),IF(B508="Supporting",SUBSTITUTE(SUBSTITUTE(SUBSTITUTE(IF(INDEX(Attributes!$H$3:$H$52,Q508)&lt;&gt;"",INDEX(Attributes!$H$3:$H$52,Q508),Entity!$B$9),"{entity}",LOWER(Entity!$B$3)),"{value}",D508),"{attribute}",LOWER(C508)),"")))</f>
        <v/>
      </c>
    </row>
    <row r="509">
      <c r="A509">
        <f>ROW()-2</f>
        <v/>
      </c>
      <c r="B509">
        <f>IF(A509=1,"Pillar",IF(A509&lt;=1+Entity!$B$14,"Cluster",IF(A509&lt;=1+Entity!$B$14+Entity!$B$15,"Supporting","")))</f>
        <v/>
      </c>
      <c r="C509">
        <f>IF(B509="Cluster",INDEX(Attributes!$A$3:$A$52,MATCH(A509-1,Attributes!$P$3:$P$52,0)),IF(B509="Supporting",INDEX(Values!$A$3:$A$502,P509),""))</f>
        <v/>
      </c>
      <c r="D509">
        <f>IF(B509="Supporting",INDEX(Values!$B$3:$B$502,P509),"")</f>
        <v/>
      </c>
      <c r="E509">
        <f>IF(R509="","",UPPER(LEFT(R509,1))&amp;MID(R509,2,500))</f>
        <v/>
      </c>
      <c r="F509">
        <f>IF(E509="","",LOWER(SUBSTITUTE(SUBSTITUTE(SUBSTITUTE(SUBSTITUTE(SUBSTITUTE(SUBSTITUTE(SUBSTITUTE(TRIM(E509),":",""),",",""),"'",""),"&amp;","and"),"£",""),"  "," ")," ","-")))</f>
        <v/>
      </c>
      <c r="G509">
        <f>IF(B509="Cluster",$E$3,IF(B509="Supporting",INDEX($E$3:$E$553,MATCH(C509,$C$3:$C$553,0)),""))</f>
        <v/>
      </c>
      <c r="H509">
        <f>IF(B509="Supporting",IFERROR(INDEX($E$3:$E$553,1+Entity!$B$14+INDEX(Values!$O$3:$O$502,P509)),""),IF(B509="Cluster",IF(Entity!$B$14&lt;2,"",INDEX($E$3:$E$553,IF(A509-1=Entity!$B$14,2,A509+1))),""))</f>
        <v/>
      </c>
      <c r="I509">
        <f>IF(B509="Pillar",Entity!$B$14&amp;" cluster pages",IF(B509="Cluster",(COUNTIF($C$3:$C$553,SUBSTITUTE(SUBSTITUTE(C509,"?","~?"),"*","~*"))-1)&amp;" supporting pages",""))</f>
        <v/>
      </c>
      <c r="J509">
        <f>IF(B509="Pillar","Informational",IF(OR(B509="Cluster",B509="Supporting"),INDEX(Attributes!$D$3:$D$52,Q509)&amp;"",""))</f>
        <v/>
      </c>
      <c r="K509">
        <f>IF(B509="","",IF(B509="Pillar","Pillar guide (entity hub)",IF(B509="Cluster","Hub page for this attribute",IF(INDEX(Values!$C$3:$C$502,P509)="Yes","Entity page (profile of the sub-entity)",IFERROR(INDEX(Lists!$B$3:$B$6,MATCH(J509,Lists!$A$3:$A$6,0)),"Article")))))</f>
        <v/>
      </c>
      <c r="L509">
        <f>IF(B509="Pillar",Entity!$B$6&amp;"",IF(B509="Cluster",INDEX(Attributes!$I$3:$I$52,Q509)&amp;"",IF(B509="Supporting",INDEX(Values!$F$3:$F$502,P509)&amp;"","")))</f>
        <v/>
      </c>
      <c r="M509">
        <f>IF(B509="","",IF(L509&lt;&gt;"","Covered","Gap"))</f>
        <v/>
      </c>
      <c r="N509">
        <f>IF(B509="Pillar",SUMIFS(Values!$E$3:$E$502,Values!$I$3:$I$502,"Yes"),IF(B509="Cluster",SUMIFS(Values!$E$3:$E$502,Values!$A$3:$A$502,SUBSTITUTE(SUBSTITUTE(C509,"?","~?"),"*","~*"),Values!$I$3:$I$502,"Yes"),IF(B509="Supporting",N(INDEX(Values!$E$3:$E$502,P509)),"")))</f>
        <v/>
      </c>
      <c r="O509">
        <f>IF(B509="","",IF(B509="Pillar",100,IF(B509="Cluster",N(INDEX(Attributes!$E$3:$E$52,Q509))*25+IF(M509="Gap",10,0),N(INDEX(Attributes!$E$3:$E$52,Q509))*20+MIN(20,ROUND(LOG10(N(N509)+1)*5,0))+IF(M509="Gap",10,0)+IF(INDEX(Values!$D$3:$D$502,P509)="Yes",5,0))))</f>
        <v/>
      </c>
      <c r="P509">
        <f>IF(B509="Supporting",MATCH(A509-1-Entity!$B$14,Values!$J$3:$J$502,0),"")</f>
        <v/>
      </c>
      <c r="Q509">
        <f>IF(C509="","",MATCH(C509,Attributes!$A$3:$A$52,0))</f>
        <v/>
      </c>
      <c r="R509">
        <f>IF(B509="Pillar",SUBSTITUTE(Entity!$B$7,"{entity}",LOWER(Entity!$B$3)),IF(B509="Cluster",IF(INDEX(Attributes!$G$3:$G$52,Q509)&lt;&gt;"",INDEX(Attributes!$G$3:$G$52,Q509),SUBSTITUTE(SUBSTITUTE(Entity!$B$8,"{entity}",LOWER(Entity!$B$3)),"{attribute}",LOWER(C509))),IF(B509="Supporting",SUBSTITUTE(SUBSTITUTE(SUBSTITUTE(IF(INDEX(Attributes!$H$3:$H$52,Q509)&lt;&gt;"",INDEX(Attributes!$H$3:$H$52,Q509),Entity!$B$9),"{entity}",LOWER(Entity!$B$3)),"{value}",D509),"{attribute}",LOWER(C509)),"")))</f>
        <v/>
      </c>
    </row>
    <row r="510">
      <c r="A510">
        <f>ROW()-2</f>
        <v/>
      </c>
      <c r="B510">
        <f>IF(A510=1,"Pillar",IF(A510&lt;=1+Entity!$B$14,"Cluster",IF(A510&lt;=1+Entity!$B$14+Entity!$B$15,"Supporting","")))</f>
        <v/>
      </c>
      <c r="C510">
        <f>IF(B510="Cluster",INDEX(Attributes!$A$3:$A$52,MATCH(A510-1,Attributes!$P$3:$P$52,0)),IF(B510="Supporting",INDEX(Values!$A$3:$A$502,P510),""))</f>
        <v/>
      </c>
      <c r="D510">
        <f>IF(B510="Supporting",INDEX(Values!$B$3:$B$502,P510),"")</f>
        <v/>
      </c>
      <c r="E510">
        <f>IF(R510="","",UPPER(LEFT(R510,1))&amp;MID(R510,2,500))</f>
        <v/>
      </c>
      <c r="F510">
        <f>IF(E510="","",LOWER(SUBSTITUTE(SUBSTITUTE(SUBSTITUTE(SUBSTITUTE(SUBSTITUTE(SUBSTITUTE(SUBSTITUTE(TRIM(E510),":",""),",",""),"'",""),"&amp;","and"),"£",""),"  "," ")," ","-")))</f>
        <v/>
      </c>
      <c r="G510">
        <f>IF(B510="Cluster",$E$3,IF(B510="Supporting",INDEX($E$3:$E$553,MATCH(C510,$C$3:$C$553,0)),""))</f>
        <v/>
      </c>
      <c r="H510">
        <f>IF(B510="Supporting",IFERROR(INDEX($E$3:$E$553,1+Entity!$B$14+INDEX(Values!$O$3:$O$502,P510)),""),IF(B510="Cluster",IF(Entity!$B$14&lt;2,"",INDEX($E$3:$E$553,IF(A510-1=Entity!$B$14,2,A510+1))),""))</f>
        <v/>
      </c>
      <c r="I510">
        <f>IF(B510="Pillar",Entity!$B$14&amp;" cluster pages",IF(B510="Cluster",(COUNTIF($C$3:$C$553,SUBSTITUTE(SUBSTITUTE(C510,"?","~?"),"*","~*"))-1)&amp;" supporting pages",""))</f>
        <v/>
      </c>
      <c r="J510">
        <f>IF(B510="Pillar","Informational",IF(OR(B510="Cluster",B510="Supporting"),INDEX(Attributes!$D$3:$D$52,Q510)&amp;"",""))</f>
        <v/>
      </c>
      <c r="K510">
        <f>IF(B510="","",IF(B510="Pillar","Pillar guide (entity hub)",IF(B510="Cluster","Hub page for this attribute",IF(INDEX(Values!$C$3:$C$502,P510)="Yes","Entity page (profile of the sub-entity)",IFERROR(INDEX(Lists!$B$3:$B$6,MATCH(J510,Lists!$A$3:$A$6,0)),"Article")))))</f>
        <v/>
      </c>
      <c r="L510">
        <f>IF(B510="Pillar",Entity!$B$6&amp;"",IF(B510="Cluster",INDEX(Attributes!$I$3:$I$52,Q510)&amp;"",IF(B510="Supporting",INDEX(Values!$F$3:$F$502,P510)&amp;"","")))</f>
        <v/>
      </c>
      <c r="M510">
        <f>IF(B510="","",IF(L510&lt;&gt;"","Covered","Gap"))</f>
        <v/>
      </c>
      <c r="N510">
        <f>IF(B510="Pillar",SUMIFS(Values!$E$3:$E$502,Values!$I$3:$I$502,"Yes"),IF(B510="Cluster",SUMIFS(Values!$E$3:$E$502,Values!$A$3:$A$502,SUBSTITUTE(SUBSTITUTE(C510,"?","~?"),"*","~*"),Values!$I$3:$I$502,"Yes"),IF(B510="Supporting",N(INDEX(Values!$E$3:$E$502,P510)),"")))</f>
        <v/>
      </c>
      <c r="O510">
        <f>IF(B510="","",IF(B510="Pillar",100,IF(B510="Cluster",N(INDEX(Attributes!$E$3:$E$52,Q510))*25+IF(M510="Gap",10,0),N(INDEX(Attributes!$E$3:$E$52,Q510))*20+MIN(20,ROUND(LOG10(N(N510)+1)*5,0))+IF(M510="Gap",10,0)+IF(INDEX(Values!$D$3:$D$502,P510)="Yes",5,0))))</f>
        <v/>
      </c>
      <c r="P510">
        <f>IF(B510="Supporting",MATCH(A510-1-Entity!$B$14,Values!$J$3:$J$502,0),"")</f>
        <v/>
      </c>
      <c r="Q510">
        <f>IF(C510="","",MATCH(C510,Attributes!$A$3:$A$52,0))</f>
        <v/>
      </c>
      <c r="R510">
        <f>IF(B510="Pillar",SUBSTITUTE(Entity!$B$7,"{entity}",LOWER(Entity!$B$3)),IF(B510="Cluster",IF(INDEX(Attributes!$G$3:$G$52,Q510)&lt;&gt;"",INDEX(Attributes!$G$3:$G$52,Q510),SUBSTITUTE(SUBSTITUTE(Entity!$B$8,"{entity}",LOWER(Entity!$B$3)),"{attribute}",LOWER(C510))),IF(B510="Supporting",SUBSTITUTE(SUBSTITUTE(SUBSTITUTE(IF(INDEX(Attributes!$H$3:$H$52,Q510)&lt;&gt;"",INDEX(Attributes!$H$3:$H$52,Q510),Entity!$B$9),"{entity}",LOWER(Entity!$B$3)),"{value}",D510),"{attribute}",LOWER(C510)),"")))</f>
        <v/>
      </c>
    </row>
    <row r="511">
      <c r="A511">
        <f>ROW()-2</f>
        <v/>
      </c>
      <c r="B511">
        <f>IF(A511=1,"Pillar",IF(A511&lt;=1+Entity!$B$14,"Cluster",IF(A511&lt;=1+Entity!$B$14+Entity!$B$15,"Supporting","")))</f>
        <v/>
      </c>
      <c r="C511">
        <f>IF(B511="Cluster",INDEX(Attributes!$A$3:$A$52,MATCH(A511-1,Attributes!$P$3:$P$52,0)),IF(B511="Supporting",INDEX(Values!$A$3:$A$502,P511),""))</f>
        <v/>
      </c>
      <c r="D511">
        <f>IF(B511="Supporting",INDEX(Values!$B$3:$B$502,P511),"")</f>
        <v/>
      </c>
      <c r="E511">
        <f>IF(R511="","",UPPER(LEFT(R511,1))&amp;MID(R511,2,500))</f>
        <v/>
      </c>
      <c r="F511">
        <f>IF(E511="","",LOWER(SUBSTITUTE(SUBSTITUTE(SUBSTITUTE(SUBSTITUTE(SUBSTITUTE(SUBSTITUTE(SUBSTITUTE(TRIM(E511),":",""),",",""),"'",""),"&amp;","and"),"£",""),"  "," ")," ","-")))</f>
        <v/>
      </c>
      <c r="G511">
        <f>IF(B511="Cluster",$E$3,IF(B511="Supporting",INDEX($E$3:$E$553,MATCH(C511,$C$3:$C$553,0)),""))</f>
        <v/>
      </c>
      <c r="H511">
        <f>IF(B511="Supporting",IFERROR(INDEX($E$3:$E$553,1+Entity!$B$14+INDEX(Values!$O$3:$O$502,P511)),""),IF(B511="Cluster",IF(Entity!$B$14&lt;2,"",INDEX($E$3:$E$553,IF(A511-1=Entity!$B$14,2,A511+1))),""))</f>
        <v/>
      </c>
      <c r="I511">
        <f>IF(B511="Pillar",Entity!$B$14&amp;" cluster pages",IF(B511="Cluster",(COUNTIF($C$3:$C$553,SUBSTITUTE(SUBSTITUTE(C511,"?","~?"),"*","~*"))-1)&amp;" supporting pages",""))</f>
        <v/>
      </c>
      <c r="J511">
        <f>IF(B511="Pillar","Informational",IF(OR(B511="Cluster",B511="Supporting"),INDEX(Attributes!$D$3:$D$52,Q511)&amp;"",""))</f>
        <v/>
      </c>
      <c r="K511">
        <f>IF(B511="","",IF(B511="Pillar","Pillar guide (entity hub)",IF(B511="Cluster","Hub page for this attribute",IF(INDEX(Values!$C$3:$C$502,P511)="Yes","Entity page (profile of the sub-entity)",IFERROR(INDEX(Lists!$B$3:$B$6,MATCH(J511,Lists!$A$3:$A$6,0)),"Article")))))</f>
        <v/>
      </c>
      <c r="L511">
        <f>IF(B511="Pillar",Entity!$B$6&amp;"",IF(B511="Cluster",INDEX(Attributes!$I$3:$I$52,Q511)&amp;"",IF(B511="Supporting",INDEX(Values!$F$3:$F$502,P511)&amp;"","")))</f>
        <v/>
      </c>
      <c r="M511">
        <f>IF(B511="","",IF(L511&lt;&gt;"","Covered","Gap"))</f>
        <v/>
      </c>
      <c r="N511">
        <f>IF(B511="Pillar",SUMIFS(Values!$E$3:$E$502,Values!$I$3:$I$502,"Yes"),IF(B511="Cluster",SUMIFS(Values!$E$3:$E$502,Values!$A$3:$A$502,SUBSTITUTE(SUBSTITUTE(C511,"?","~?"),"*","~*"),Values!$I$3:$I$502,"Yes"),IF(B511="Supporting",N(INDEX(Values!$E$3:$E$502,P511)),"")))</f>
        <v/>
      </c>
      <c r="O511">
        <f>IF(B511="","",IF(B511="Pillar",100,IF(B511="Cluster",N(INDEX(Attributes!$E$3:$E$52,Q511))*25+IF(M511="Gap",10,0),N(INDEX(Attributes!$E$3:$E$52,Q511))*20+MIN(20,ROUND(LOG10(N(N511)+1)*5,0))+IF(M511="Gap",10,0)+IF(INDEX(Values!$D$3:$D$502,P511)="Yes",5,0))))</f>
        <v/>
      </c>
      <c r="P511">
        <f>IF(B511="Supporting",MATCH(A511-1-Entity!$B$14,Values!$J$3:$J$502,0),"")</f>
        <v/>
      </c>
      <c r="Q511">
        <f>IF(C511="","",MATCH(C511,Attributes!$A$3:$A$52,0))</f>
        <v/>
      </c>
      <c r="R511">
        <f>IF(B511="Pillar",SUBSTITUTE(Entity!$B$7,"{entity}",LOWER(Entity!$B$3)),IF(B511="Cluster",IF(INDEX(Attributes!$G$3:$G$52,Q511)&lt;&gt;"",INDEX(Attributes!$G$3:$G$52,Q511),SUBSTITUTE(SUBSTITUTE(Entity!$B$8,"{entity}",LOWER(Entity!$B$3)),"{attribute}",LOWER(C511))),IF(B511="Supporting",SUBSTITUTE(SUBSTITUTE(SUBSTITUTE(IF(INDEX(Attributes!$H$3:$H$52,Q511)&lt;&gt;"",INDEX(Attributes!$H$3:$H$52,Q511),Entity!$B$9),"{entity}",LOWER(Entity!$B$3)),"{value}",D511),"{attribute}",LOWER(C511)),"")))</f>
        <v/>
      </c>
    </row>
    <row r="512">
      <c r="A512">
        <f>ROW()-2</f>
        <v/>
      </c>
      <c r="B512">
        <f>IF(A512=1,"Pillar",IF(A512&lt;=1+Entity!$B$14,"Cluster",IF(A512&lt;=1+Entity!$B$14+Entity!$B$15,"Supporting","")))</f>
        <v/>
      </c>
      <c r="C512">
        <f>IF(B512="Cluster",INDEX(Attributes!$A$3:$A$52,MATCH(A512-1,Attributes!$P$3:$P$52,0)),IF(B512="Supporting",INDEX(Values!$A$3:$A$502,P512),""))</f>
        <v/>
      </c>
      <c r="D512">
        <f>IF(B512="Supporting",INDEX(Values!$B$3:$B$502,P512),"")</f>
        <v/>
      </c>
      <c r="E512">
        <f>IF(R512="","",UPPER(LEFT(R512,1))&amp;MID(R512,2,500))</f>
        <v/>
      </c>
      <c r="F512">
        <f>IF(E512="","",LOWER(SUBSTITUTE(SUBSTITUTE(SUBSTITUTE(SUBSTITUTE(SUBSTITUTE(SUBSTITUTE(SUBSTITUTE(TRIM(E512),":",""),",",""),"'",""),"&amp;","and"),"£",""),"  "," ")," ","-")))</f>
        <v/>
      </c>
      <c r="G512">
        <f>IF(B512="Cluster",$E$3,IF(B512="Supporting",INDEX($E$3:$E$553,MATCH(C512,$C$3:$C$553,0)),""))</f>
        <v/>
      </c>
      <c r="H512">
        <f>IF(B512="Supporting",IFERROR(INDEX($E$3:$E$553,1+Entity!$B$14+INDEX(Values!$O$3:$O$502,P512)),""),IF(B512="Cluster",IF(Entity!$B$14&lt;2,"",INDEX($E$3:$E$553,IF(A512-1=Entity!$B$14,2,A512+1))),""))</f>
        <v/>
      </c>
      <c r="I512">
        <f>IF(B512="Pillar",Entity!$B$14&amp;" cluster pages",IF(B512="Cluster",(COUNTIF($C$3:$C$553,SUBSTITUTE(SUBSTITUTE(C512,"?","~?"),"*","~*"))-1)&amp;" supporting pages",""))</f>
        <v/>
      </c>
      <c r="J512">
        <f>IF(B512="Pillar","Informational",IF(OR(B512="Cluster",B512="Supporting"),INDEX(Attributes!$D$3:$D$52,Q512)&amp;"",""))</f>
        <v/>
      </c>
      <c r="K512">
        <f>IF(B512="","",IF(B512="Pillar","Pillar guide (entity hub)",IF(B512="Cluster","Hub page for this attribute",IF(INDEX(Values!$C$3:$C$502,P512)="Yes","Entity page (profile of the sub-entity)",IFERROR(INDEX(Lists!$B$3:$B$6,MATCH(J512,Lists!$A$3:$A$6,0)),"Article")))))</f>
        <v/>
      </c>
      <c r="L512">
        <f>IF(B512="Pillar",Entity!$B$6&amp;"",IF(B512="Cluster",INDEX(Attributes!$I$3:$I$52,Q512)&amp;"",IF(B512="Supporting",INDEX(Values!$F$3:$F$502,P512)&amp;"","")))</f>
        <v/>
      </c>
      <c r="M512">
        <f>IF(B512="","",IF(L512&lt;&gt;"","Covered","Gap"))</f>
        <v/>
      </c>
      <c r="N512">
        <f>IF(B512="Pillar",SUMIFS(Values!$E$3:$E$502,Values!$I$3:$I$502,"Yes"),IF(B512="Cluster",SUMIFS(Values!$E$3:$E$502,Values!$A$3:$A$502,SUBSTITUTE(SUBSTITUTE(C512,"?","~?"),"*","~*"),Values!$I$3:$I$502,"Yes"),IF(B512="Supporting",N(INDEX(Values!$E$3:$E$502,P512)),"")))</f>
        <v/>
      </c>
      <c r="O512">
        <f>IF(B512="","",IF(B512="Pillar",100,IF(B512="Cluster",N(INDEX(Attributes!$E$3:$E$52,Q512))*25+IF(M512="Gap",10,0),N(INDEX(Attributes!$E$3:$E$52,Q512))*20+MIN(20,ROUND(LOG10(N(N512)+1)*5,0))+IF(M512="Gap",10,0)+IF(INDEX(Values!$D$3:$D$502,P512)="Yes",5,0))))</f>
        <v/>
      </c>
      <c r="P512">
        <f>IF(B512="Supporting",MATCH(A512-1-Entity!$B$14,Values!$J$3:$J$502,0),"")</f>
        <v/>
      </c>
      <c r="Q512">
        <f>IF(C512="","",MATCH(C512,Attributes!$A$3:$A$52,0))</f>
        <v/>
      </c>
      <c r="R512">
        <f>IF(B512="Pillar",SUBSTITUTE(Entity!$B$7,"{entity}",LOWER(Entity!$B$3)),IF(B512="Cluster",IF(INDEX(Attributes!$G$3:$G$52,Q512)&lt;&gt;"",INDEX(Attributes!$G$3:$G$52,Q512),SUBSTITUTE(SUBSTITUTE(Entity!$B$8,"{entity}",LOWER(Entity!$B$3)),"{attribute}",LOWER(C512))),IF(B512="Supporting",SUBSTITUTE(SUBSTITUTE(SUBSTITUTE(IF(INDEX(Attributes!$H$3:$H$52,Q512)&lt;&gt;"",INDEX(Attributes!$H$3:$H$52,Q512),Entity!$B$9),"{entity}",LOWER(Entity!$B$3)),"{value}",D512),"{attribute}",LOWER(C512)),"")))</f>
        <v/>
      </c>
    </row>
    <row r="513">
      <c r="A513">
        <f>ROW()-2</f>
        <v/>
      </c>
      <c r="B513">
        <f>IF(A513=1,"Pillar",IF(A513&lt;=1+Entity!$B$14,"Cluster",IF(A513&lt;=1+Entity!$B$14+Entity!$B$15,"Supporting","")))</f>
        <v/>
      </c>
      <c r="C513">
        <f>IF(B513="Cluster",INDEX(Attributes!$A$3:$A$52,MATCH(A513-1,Attributes!$P$3:$P$52,0)),IF(B513="Supporting",INDEX(Values!$A$3:$A$502,P513),""))</f>
        <v/>
      </c>
      <c r="D513">
        <f>IF(B513="Supporting",INDEX(Values!$B$3:$B$502,P513),"")</f>
        <v/>
      </c>
      <c r="E513">
        <f>IF(R513="","",UPPER(LEFT(R513,1))&amp;MID(R513,2,500))</f>
        <v/>
      </c>
      <c r="F513">
        <f>IF(E513="","",LOWER(SUBSTITUTE(SUBSTITUTE(SUBSTITUTE(SUBSTITUTE(SUBSTITUTE(SUBSTITUTE(SUBSTITUTE(TRIM(E513),":",""),",",""),"'",""),"&amp;","and"),"£",""),"  "," ")," ","-")))</f>
        <v/>
      </c>
      <c r="G513">
        <f>IF(B513="Cluster",$E$3,IF(B513="Supporting",INDEX($E$3:$E$553,MATCH(C513,$C$3:$C$553,0)),""))</f>
        <v/>
      </c>
      <c r="H513">
        <f>IF(B513="Supporting",IFERROR(INDEX($E$3:$E$553,1+Entity!$B$14+INDEX(Values!$O$3:$O$502,P513)),""),IF(B513="Cluster",IF(Entity!$B$14&lt;2,"",INDEX($E$3:$E$553,IF(A513-1=Entity!$B$14,2,A513+1))),""))</f>
        <v/>
      </c>
      <c r="I513">
        <f>IF(B513="Pillar",Entity!$B$14&amp;" cluster pages",IF(B513="Cluster",(COUNTIF($C$3:$C$553,SUBSTITUTE(SUBSTITUTE(C513,"?","~?"),"*","~*"))-1)&amp;" supporting pages",""))</f>
        <v/>
      </c>
      <c r="J513">
        <f>IF(B513="Pillar","Informational",IF(OR(B513="Cluster",B513="Supporting"),INDEX(Attributes!$D$3:$D$52,Q513)&amp;"",""))</f>
        <v/>
      </c>
      <c r="K513">
        <f>IF(B513="","",IF(B513="Pillar","Pillar guide (entity hub)",IF(B513="Cluster","Hub page for this attribute",IF(INDEX(Values!$C$3:$C$502,P513)="Yes","Entity page (profile of the sub-entity)",IFERROR(INDEX(Lists!$B$3:$B$6,MATCH(J513,Lists!$A$3:$A$6,0)),"Article")))))</f>
        <v/>
      </c>
      <c r="L513">
        <f>IF(B513="Pillar",Entity!$B$6&amp;"",IF(B513="Cluster",INDEX(Attributes!$I$3:$I$52,Q513)&amp;"",IF(B513="Supporting",INDEX(Values!$F$3:$F$502,P513)&amp;"","")))</f>
        <v/>
      </c>
      <c r="M513">
        <f>IF(B513="","",IF(L513&lt;&gt;"","Covered","Gap"))</f>
        <v/>
      </c>
      <c r="N513">
        <f>IF(B513="Pillar",SUMIFS(Values!$E$3:$E$502,Values!$I$3:$I$502,"Yes"),IF(B513="Cluster",SUMIFS(Values!$E$3:$E$502,Values!$A$3:$A$502,SUBSTITUTE(SUBSTITUTE(C513,"?","~?"),"*","~*"),Values!$I$3:$I$502,"Yes"),IF(B513="Supporting",N(INDEX(Values!$E$3:$E$502,P513)),"")))</f>
        <v/>
      </c>
      <c r="O513">
        <f>IF(B513="","",IF(B513="Pillar",100,IF(B513="Cluster",N(INDEX(Attributes!$E$3:$E$52,Q513))*25+IF(M513="Gap",10,0),N(INDEX(Attributes!$E$3:$E$52,Q513))*20+MIN(20,ROUND(LOG10(N(N513)+1)*5,0))+IF(M513="Gap",10,0)+IF(INDEX(Values!$D$3:$D$502,P513)="Yes",5,0))))</f>
        <v/>
      </c>
      <c r="P513">
        <f>IF(B513="Supporting",MATCH(A513-1-Entity!$B$14,Values!$J$3:$J$502,0),"")</f>
        <v/>
      </c>
      <c r="Q513">
        <f>IF(C513="","",MATCH(C513,Attributes!$A$3:$A$52,0))</f>
        <v/>
      </c>
      <c r="R513">
        <f>IF(B513="Pillar",SUBSTITUTE(Entity!$B$7,"{entity}",LOWER(Entity!$B$3)),IF(B513="Cluster",IF(INDEX(Attributes!$G$3:$G$52,Q513)&lt;&gt;"",INDEX(Attributes!$G$3:$G$52,Q513),SUBSTITUTE(SUBSTITUTE(Entity!$B$8,"{entity}",LOWER(Entity!$B$3)),"{attribute}",LOWER(C513))),IF(B513="Supporting",SUBSTITUTE(SUBSTITUTE(SUBSTITUTE(IF(INDEX(Attributes!$H$3:$H$52,Q513)&lt;&gt;"",INDEX(Attributes!$H$3:$H$52,Q513),Entity!$B$9),"{entity}",LOWER(Entity!$B$3)),"{value}",D513),"{attribute}",LOWER(C513)),"")))</f>
        <v/>
      </c>
    </row>
    <row r="514">
      <c r="A514">
        <f>ROW()-2</f>
        <v/>
      </c>
      <c r="B514">
        <f>IF(A514=1,"Pillar",IF(A514&lt;=1+Entity!$B$14,"Cluster",IF(A514&lt;=1+Entity!$B$14+Entity!$B$15,"Supporting","")))</f>
        <v/>
      </c>
      <c r="C514">
        <f>IF(B514="Cluster",INDEX(Attributes!$A$3:$A$52,MATCH(A514-1,Attributes!$P$3:$P$52,0)),IF(B514="Supporting",INDEX(Values!$A$3:$A$502,P514),""))</f>
        <v/>
      </c>
      <c r="D514">
        <f>IF(B514="Supporting",INDEX(Values!$B$3:$B$502,P514),"")</f>
        <v/>
      </c>
      <c r="E514">
        <f>IF(R514="","",UPPER(LEFT(R514,1))&amp;MID(R514,2,500))</f>
        <v/>
      </c>
      <c r="F514">
        <f>IF(E514="","",LOWER(SUBSTITUTE(SUBSTITUTE(SUBSTITUTE(SUBSTITUTE(SUBSTITUTE(SUBSTITUTE(SUBSTITUTE(TRIM(E514),":",""),",",""),"'",""),"&amp;","and"),"£",""),"  "," ")," ","-")))</f>
        <v/>
      </c>
      <c r="G514">
        <f>IF(B514="Cluster",$E$3,IF(B514="Supporting",INDEX($E$3:$E$553,MATCH(C514,$C$3:$C$553,0)),""))</f>
        <v/>
      </c>
      <c r="H514">
        <f>IF(B514="Supporting",IFERROR(INDEX($E$3:$E$553,1+Entity!$B$14+INDEX(Values!$O$3:$O$502,P514)),""),IF(B514="Cluster",IF(Entity!$B$14&lt;2,"",INDEX($E$3:$E$553,IF(A514-1=Entity!$B$14,2,A514+1))),""))</f>
        <v/>
      </c>
      <c r="I514">
        <f>IF(B514="Pillar",Entity!$B$14&amp;" cluster pages",IF(B514="Cluster",(COUNTIF($C$3:$C$553,SUBSTITUTE(SUBSTITUTE(C514,"?","~?"),"*","~*"))-1)&amp;" supporting pages",""))</f>
        <v/>
      </c>
      <c r="J514">
        <f>IF(B514="Pillar","Informational",IF(OR(B514="Cluster",B514="Supporting"),INDEX(Attributes!$D$3:$D$52,Q514)&amp;"",""))</f>
        <v/>
      </c>
      <c r="K514">
        <f>IF(B514="","",IF(B514="Pillar","Pillar guide (entity hub)",IF(B514="Cluster","Hub page for this attribute",IF(INDEX(Values!$C$3:$C$502,P514)="Yes","Entity page (profile of the sub-entity)",IFERROR(INDEX(Lists!$B$3:$B$6,MATCH(J514,Lists!$A$3:$A$6,0)),"Article")))))</f>
        <v/>
      </c>
      <c r="L514">
        <f>IF(B514="Pillar",Entity!$B$6&amp;"",IF(B514="Cluster",INDEX(Attributes!$I$3:$I$52,Q514)&amp;"",IF(B514="Supporting",INDEX(Values!$F$3:$F$502,P514)&amp;"","")))</f>
        <v/>
      </c>
      <c r="M514">
        <f>IF(B514="","",IF(L514&lt;&gt;"","Covered","Gap"))</f>
        <v/>
      </c>
      <c r="N514">
        <f>IF(B514="Pillar",SUMIFS(Values!$E$3:$E$502,Values!$I$3:$I$502,"Yes"),IF(B514="Cluster",SUMIFS(Values!$E$3:$E$502,Values!$A$3:$A$502,SUBSTITUTE(SUBSTITUTE(C514,"?","~?"),"*","~*"),Values!$I$3:$I$502,"Yes"),IF(B514="Supporting",N(INDEX(Values!$E$3:$E$502,P514)),"")))</f>
        <v/>
      </c>
      <c r="O514">
        <f>IF(B514="","",IF(B514="Pillar",100,IF(B514="Cluster",N(INDEX(Attributes!$E$3:$E$52,Q514))*25+IF(M514="Gap",10,0),N(INDEX(Attributes!$E$3:$E$52,Q514))*20+MIN(20,ROUND(LOG10(N(N514)+1)*5,0))+IF(M514="Gap",10,0)+IF(INDEX(Values!$D$3:$D$502,P514)="Yes",5,0))))</f>
        <v/>
      </c>
      <c r="P514">
        <f>IF(B514="Supporting",MATCH(A514-1-Entity!$B$14,Values!$J$3:$J$502,0),"")</f>
        <v/>
      </c>
      <c r="Q514">
        <f>IF(C514="","",MATCH(C514,Attributes!$A$3:$A$52,0))</f>
        <v/>
      </c>
      <c r="R514">
        <f>IF(B514="Pillar",SUBSTITUTE(Entity!$B$7,"{entity}",LOWER(Entity!$B$3)),IF(B514="Cluster",IF(INDEX(Attributes!$G$3:$G$52,Q514)&lt;&gt;"",INDEX(Attributes!$G$3:$G$52,Q514),SUBSTITUTE(SUBSTITUTE(Entity!$B$8,"{entity}",LOWER(Entity!$B$3)),"{attribute}",LOWER(C514))),IF(B514="Supporting",SUBSTITUTE(SUBSTITUTE(SUBSTITUTE(IF(INDEX(Attributes!$H$3:$H$52,Q514)&lt;&gt;"",INDEX(Attributes!$H$3:$H$52,Q514),Entity!$B$9),"{entity}",LOWER(Entity!$B$3)),"{value}",D514),"{attribute}",LOWER(C514)),"")))</f>
        <v/>
      </c>
    </row>
    <row r="515">
      <c r="A515">
        <f>ROW()-2</f>
        <v/>
      </c>
      <c r="B515">
        <f>IF(A515=1,"Pillar",IF(A515&lt;=1+Entity!$B$14,"Cluster",IF(A515&lt;=1+Entity!$B$14+Entity!$B$15,"Supporting","")))</f>
        <v/>
      </c>
      <c r="C515">
        <f>IF(B515="Cluster",INDEX(Attributes!$A$3:$A$52,MATCH(A515-1,Attributes!$P$3:$P$52,0)),IF(B515="Supporting",INDEX(Values!$A$3:$A$502,P515),""))</f>
        <v/>
      </c>
      <c r="D515">
        <f>IF(B515="Supporting",INDEX(Values!$B$3:$B$502,P515),"")</f>
        <v/>
      </c>
      <c r="E515">
        <f>IF(R515="","",UPPER(LEFT(R515,1))&amp;MID(R515,2,500))</f>
        <v/>
      </c>
      <c r="F515">
        <f>IF(E515="","",LOWER(SUBSTITUTE(SUBSTITUTE(SUBSTITUTE(SUBSTITUTE(SUBSTITUTE(SUBSTITUTE(SUBSTITUTE(TRIM(E515),":",""),",",""),"'",""),"&amp;","and"),"£",""),"  "," ")," ","-")))</f>
        <v/>
      </c>
      <c r="G515">
        <f>IF(B515="Cluster",$E$3,IF(B515="Supporting",INDEX($E$3:$E$553,MATCH(C515,$C$3:$C$553,0)),""))</f>
        <v/>
      </c>
      <c r="H515">
        <f>IF(B515="Supporting",IFERROR(INDEX($E$3:$E$553,1+Entity!$B$14+INDEX(Values!$O$3:$O$502,P515)),""),IF(B515="Cluster",IF(Entity!$B$14&lt;2,"",INDEX($E$3:$E$553,IF(A515-1=Entity!$B$14,2,A515+1))),""))</f>
        <v/>
      </c>
      <c r="I515">
        <f>IF(B515="Pillar",Entity!$B$14&amp;" cluster pages",IF(B515="Cluster",(COUNTIF($C$3:$C$553,SUBSTITUTE(SUBSTITUTE(C515,"?","~?"),"*","~*"))-1)&amp;" supporting pages",""))</f>
        <v/>
      </c>
      <c r="J515">
        <f>IF(B515="Pillar","Informational",IF(OR(B515="Cluster",B515="Supporting"),INDEX(Attributes!$D$3:$D$52,Q515)&amp;"",""))</f>
        <v/>
      </c>
      <c r="K515">
        <f>IF(B515="","",IF(B515="Pillar","Pillar guide (entity hub)",IF(B515="Cluster","Hub page for this attribute",IF(INDEX(Values!$C$3:$C$502,P515)="Yes","Entity page (profile of the sub-entity)",IFERROR(INDEX(Lists!$B$3:$B$6,MATCH(J515,Lists!$A$3:$A$6,0)),"Article")))))</f>
        <v/>
      </c>
      <c r="L515">
        <f>IF(B515="Pillar",Entity!$B$6&amp;"",IF(B515="Cluster",INDEX(Attributes!$I$3:$I$52,Q515)&amp;"",IF(B515="Supporting",INDEX(Values!$F$3:$F$502,P515)&amp;"","")))</f>
        <v/>
      </c>
      <c r="M515">
        <f>IF(B515="","",IF(L515&lt;&gt;"","Covered","Gap"))</f>
        <v/>
      </c>
      <c r="N515">
        <f>IF(B515="Pillar",SUMIFS(Values!$E$3:$E$502,Values!$I$3:$I$502,"Yes"),IF(B515="Cluster",SUMIFS(Values!$E$3:$E$502,Values!$A$3:$A$502,SUBSTITUTE(SUBSTITUTE(C515,"?","~?"),"*","~*"),Values!$I$3:$I$502,"Yes"),IF(B515="Supporting",N(INDEX(Values!$E$3:$E$502,P515)),"")))</f>
        <v/>
      </c>
      <c r="O515">
        <f>IF(B515="","",IF(B515="Pillar",100,IF(B515="Cluster",N(INDEX(Attributes!$E$3:$E$52,Q515))*25+IF(M515="Gap",10,0),N(INDEX(Attributes!$E$3:$E$52,Q515))*20+MIN(20,ROUND(LOG10(N(N515)+1)*5,0))+IF(M515="Gap",10,0)+IF(INDEX(Values!$D$3:$D$502,P515)="Yes",5,0))))</f>
        <v/>
      </c>
      <c r="P515">
        <f>IF(B515="Supporting",MATCH(A515-1-Entity!$B$14,Values!$J$3:$J$502,0),"")</f>
        <v/>
      </c>
      <c r="Q515">
        <f>IF(C515="","",MATCH(C515,Attributes!$A$3:$A$52,0))</f>
        <v/>
      </c>
      <c r="R515">
        <f>IF(B515="Pillar",SUBSTITUTE(Entity!$B$7,"{entity}",LOWER(Entity!$B$3)),IF(B515="Cluster",IF(INDEX(Attributes!$G$3:$G$52,Q515)&lt;&gt;"",INDEX(Attributes!$G$3:$G$52,Q515),SUBSTITUTE(SUBSTITUTE(Entity!$B$8,"{entity}",LOWER(Entity!$B$3)),"{attribute}",LOWER(C515))),IF(B515="Supporting",SUBSTITUTE(SUBSTITUTE(SUBSTITUTE(IF(INDEX(Attributes!$H$3:$H$52,Q515)&lt;&gt;"",INDEX(Attributes!$H$3:$H$52,Q515),Entity!$B$9),"{entity}",LOWER(Entity!$B$3)),"{value}",D515),"{attribute}",LOWER(C515)),"")))</f>
        <v/>
      </c>
    </row>
    <row r="516">
      <c r="A516">
        <f>ROW()-2</f>
        <v/>
      </c>
      <c r="B516">
        <f>IF(A516=1,"Pillar",IF(A516&lt;=1+Entity!$B$14,"Cluster",IF(A516&lt;=1+Entity!$B$14+Entity!$B$15,"Supporting","")))</f>
        <v/>
      </c>
      <c r="C516">
        <f>IF(B516="Cluster",INDEX(Attributes!$A$3:$A$52,MATCH(A516-1,Attributes!$P$3:$P$52,0)),IF(B516="Supporting",INDEX(Values!$A$3:$A$502,P516),""))</f>
        <v/>
      </c>
      <c r="D516">
        <f>IF(B516="Supporting",INDEX(Values!$B$3:$B$502,P516),"")</f>
        <v/>
      </c>
      <c r="E516">
        <f>IF(R516="","",UPPER(LEFT(R516,1))&amp;MID(R516,2,500))</f>
        <v/>
      </c>
      <c r="F516">
        <f>IF(E516="","",LOWER(SUBSTITUTE(SUBSTITUTE(SUBSTITUTE(SUBSTITUTE(SUBSTITUTE(SUBSTITUTE(SUBSTITUTE(TRIM(E516),":",""),",",""),"'",""),"&amp;","and"),"£",""),"  "," ")," ","-")))</f>
        <v/>
      </c>
      <c r="G516">
        <f>IF(B516="Cluster",$E$3,IF(B516="Supporting",INDEX($E$3:$E$553,MATCH(C516,$C$3:$C$553,0)),""))</f>
        <v/>
      </c>
      <c r="H516">
        <f>IF(B516="Supporting",IFERROR(INDEX($E$3:$E$553,1+Entity!$B$14+INDEX(Values!$O$3:$O$502,P516)),""),IF(B516="Cluster",IF(Entity!$B$14&lt;2,"",INDEX($E$3:$E$553,IF(A516-1=Entity!$B$14,2,A516+1))),""))</f>
        <v/>
      </c>
      <c r="I516">
        <f>IF(B516="Pillar",Entity!$B$14&amp;" cluster pages",IF(B516="Cluster",(COUNTIF($C$3:$C$553,SUBSTITUTE(SUBSTITUTE(C516,"?","~?"),"*","~*"))-1)&amp;" supporting pages",""))</f>
        <v/>
      </c>
      <c r="J516">
        <f>IF(B516="Pillar","Informational",IF(OR(B516="Cluster",B516="Supporting"),INDEX(Attributes!$D$3:$D$52,Q516)&amp;"",""))</f>
        <v/>
      </c>
      <c r="K516">
        <f>IF(B516="","",IF(B516="Pillar","Pillar guide (entity hub)",IF(B516="Cluster","Hub page for this attribute",IF(INDEX(Values!$C$3:$C$502,P516)="Yes","Entity page (profile of the sub-entity)",IFERROR(INDEX(Lists!$B$3:$B$6,MATCH(J516,Lists!$A$3:$A$6,0)),"Article")))))</f>
        <v/>
      </c>
      <c r="L516">
        <f>IF(B516="Pillar",Entity!$B$6&amp;"",IF(B516="Cluster",INDEX(Attributes!$I$3:$I$52,Q516)&amp;"",IF(B516="Supporting",INDEX(Values!$F$3:$F$502,P516)&amp;"","")))</f>
        <v/>
      </c>
      <c r="M516">
        <f>IF(B516="","",IF(L516&lt;&gt;"","Covered","Gap"))</f>
        <v/>
      </c>
      <c r="N516">
        <f>IF(B516="Pillar",SUMIFS(Values!$E$3:$E$502,Values!$I$3:$I$502,"Yes"),IF(B516="Cluster",SUMIFS(Values!$E$3:$E$502,Values!$A$3:$A$502,SUBSTITUTE(SUBSTITUTE(C516,"?","~?"),"*","~*"),Values!$I$3:$I$502,"Yes"),IF(B516="Supporting",N(INDEX(Values!$E$3:$E$502,P516)),"")))</f>
        <v/>
      </c>
      <c r="O516">
        <f>IF(B516="","",IF(B516="Pillar",100,IF(B516="Cluster",N(INDEX(Attributes!$E$3:$E$52,Q516))*25+IF(M516="Gap",10,0),N(INDEX(Attributes!$E$3:$E$52,Q516))*20+MIN(20,ROUND(LOG10(N(N516)+1)*5,0))+IF(M516="Gap",10,0)+IF(INDEX(Values!$D$3:$D$502,P516)="Yes",5,0))))</f>
        <v/>
      </c>
      <c r="P516">
        <f>IF(B516="Supporting",MATCH(A516-1-Entity!$B$14,Values!$J$3:$J$502,0),"")</f>
        <v/>
      </c>
      <c r="Q516">
        <f>IF(C516="","",MATCH(C516,Attributes!$A$3:$A$52,0))</f>
        <v/>
      </c>
      <c r="R516">
        <f>IF(B516="Pillar",SUBSTITUTE(Entity!$B$7,"{entity}",LOWER(Entity!$B$3)),IF(B516="Cluster",IF(INDEX(Attributes!$G$3:$G$52,Q516)&lt;&gt;"",INDEX(Attributes!$G$3:$G$52,Q516),SUBSTITUTE(SUBSTITUTE(Entity!$B$8,"{entity}",LOWER(Entity!$B$3)),"{attribute}",LOWER(C516))),IF(B516="Supporting",SUBSTITUTE(SUBSTITUTE(SUBSTITUTE(IF(INDEX(Attributes!$H$3:$H$52,Q516)&lt;&gt;"",INDEX(Attributes!$H$3:$H$52,Q516),Entity!$B$9),"{entity}",LOWER(Entity!$B$3)),"{value}",D516),"{attribute}",LOWER(C516)),"")))</f>
        <v/>
      </c>
    </row>
    <row r="517">
      <c r="A517">
        <f>ROW()-2</f>
        <v/>
      </c>
      <c r="B517">
        <f>IF(A517=1,"Pillar",IF(A517&lt;=1+Entity!$B$14,"Cluster",IF(A517&lt;=1+Entity!$B$14+Entity!$B$15,"Supporting","")))</f>
        <v/>
      </c>
      <c r="C517">
        <f>IF(B517="Cluster",INDEX(Attributes!$A$3:$A$52,MATCH(A517-1,Attributes!$P$3:$P$52,0)),IF(B517="Supporting",INDEX(Values!$A$3:$A$502,P517),""))</f>
        <v/>
      </c>
      <c r="D517">
        <f>IF(B517="Supporting",INDEX(Values!$B$3:$B$502,P517),"")</f>
        <v/>
      </c>
      <c r="E517">
        <f>IF(R517="","",UPPER(LEFT(R517,1))&amp;MID(R517,2,500))</f>
        <v/>
      </c>
      <c r="F517">
        <f>IF(E517="","",LOWER(SUBSTITUTE(SUBSTITUTE(SUBSTITUTE(SUBSTITUTE(SUBSTITUTE(SUBSTITUTE(SUBSTITUTE(TRIM(E517),":",""),",",""),"'",""),"&amp;","and"),"£",""),"  "," ")," ","-")))</f>
        <v/>
      </c>
      <c r="G517">
        <f>IF(B517="Cluster",$E$3,IF(B517="Supporting",INDEX($E$3:$E$553,MATCH(C517,$C$3:$C$553,0)),""))</f>
        <v/>
      </c>
      <c r="H517">
        <f>IF(B517="Supporting",IFERROR(INDEX($E$3:$E$553,1+Entity!$B$14+INDEX(Values!$O$3:$O$502,P517)),""),IF(B517="Cluster",IF(Entity!$B$14&lt;2,"",INDEX($E$3:$E$553,IF(A517-1=Entity!$B$14,2,A517+1))),""))</f>
        <v/>
      </c>
      <c r="I517">
        <f>IF(B517="Pillar",Entity!$B$14&amp;" cluster pages",IF(B517="Cluster",(COUNTIF($C$3:$C$553,SUBSTITUTE(SUBSTITUTE(C517,"?","~?"),"*","~*"))-1)&amp;" supporting pages",""))</f>
        <v/>
      </c>
      <c r="J517">
        <f>IF(B517="Pillar","Informational",IF(OR(B517="Cluster",B517="Supporting"),INDEX(Attributes!$D$3:$D$52,Q517)&amp;"",""))</f>
        <v/>
      </c>
      <c r="K517">
        <f>IF(B517="","",IF(B517="Pillar","Pillar guide (entity hub)",IF(B517="Cluster","Hub page for this attribute",IF(INDEX(Values!$C$3:$C$502,P517)="Yes","Entity page (profile of the sub-entity)",IFERROR(INDEX(Lists!$B$3:$B$6,MATCH(J517,Lists!$A$3:$A$6,0)),"Article")))))</f>
        <v/>
      </c>
      <c r="L517">
        <f>IF(B517="Pillar",Entity!$B$6&amp;"",IF(B517="Cluster",INDEX(Attributes!$I$3:$I$52,Q517)&amp;"",IF(B517="Supporting",INDEX(Values!$F$3:$F$502,P517)&amp;"","")))</f>
        <v/>
      </c>
      <c r="M517">
        <f>IF(B517="","",IF(L517&lt;&gt;"","Covered","Gap"))</f>
        <v/>
      </c>
      <c r="N517">
        <f>IF(B517="Pillar",SUMIFS(Values!$E$3:$E$502,Values!$I$3:$I$502,"Yes"),IF(B517="Cluster",SUMIFS(Values!$E$3:$E$502,Values!$A$3:$A$502,SUBSTITUTE(SUBSTITUTE(C517,"?","~?"),"*","~*"),Values!$I$3:$I$502,"Yes"),IF(B517="Supporting",N(INDEX(Values!$E$3:$E$502,P517)),"")))</f>
        <v/>
      </c>
      <c r="O517">
        <f>IF(B517="","",IF(B517="Pillar",100,IF(B517="Cluster",N(INDEX(Attributes!$E$3:$E$52,Q517))*25+IF(M517="Gap",10,0),N(INDEX(Attributes!$E$3:$E$52,Q517))*20+MIN(20,ROUND(LOG10(N(N517)+1)*5,0))+IF(M517="Gap",10,0)+IF(INDEX(Values!$D$3:$D$502,P517)="Yes",5,0))))</f>
        <v/>
      </c>
      <c r="P517">
        <f>IF(B517="Supporting",MATCH(A517-1-Entity!$B$14,Values!$J$3:$J$502,0),"")</f>
        <v/>
      </c>
      <c r="Q517">
        <f>IF(C517="","",MATCH(C517,Attributes!$A$3:$A$52,0))</f>
        <v/>
      </c>
      <c r="R517">
        <f>IF(B517="Pillar",SUBSTITUTE(Entity!$B$7,"{entity}",LOWER(Entity!$B$3)),IF(B517="Cluster",IF(INDEX(Attributes!$G$3:$G$52,Q517)&lt;&gt;"",INDEX(Attributes!$G$3:$G$52,Q517),SUBSTITUTE(SUBSTITUTE(Entity!$B$8,"{entity}",LOWER(Entity!$B$3)),"{attribute}",LOWER(C517))),IF(B517="Supporting",SUBSTITUTE(SUBSTITUTE(SUBSTITUTE(IF(INDEX(Attributes!$H$3:$H$52,Q517)&lt;&gt;"",INDEX(Attributes!$H$3:$H$52,Q517),Entity!$B$9),"{entity}",LOWER(Entity!$B$3)),"{value}",D517),"{attribute}",LOWER(C517)),"")))</f>
        <v/>
      </c>
    </row>
    <row r="518">
      <c r="A518">
        <f>ROW()-2</f>
        <v/>
      </c>
      <c r="B518">
        <f>IF(A518=1,"Pillar",IF(A518&lt;=1+Entity!$B$14,"Cluster",IF(A518&lt;=1+Entity!$B$14+Entity!$B$15,"Supporting","")))</f>
        <v/>
      </c>
      <c r="C518">
        <f>IF(B518="Cluster",INDEX(Attributes!$A$3:$A$52,MATCH(A518-1,Attributes!$P$3:$P$52,0)),IF(B518="Supporting",INDEX(Values!$A$3:$A$502,P518),""))</f>
        <v/>
      </c>
      <c r="D518">
        <f>IF(B518="Supporting",INDEX(Values!$B$3:$B$502,P518),"")</f>
        <v/>
      </c>
      <c r="E518">
        <f>IF(R518="","",UPPER(LEFT(R518,1))&amp;MID(R518,2,500))</f>
        <v/>
      </c>
      <c r="F518">
        <f>IF(E518="","",LOWER(SUBSTITUTE(SUBSTITUTE(SUBSTITUTE(SUBSTITUTE(SUBSTITUTE(SUBSTITUTE(SUBSTITUTE(TRIM(E518),":",""),",",""),"'",""),"&amp;","and"),"£",""),"  "," ")," ","-")))</f>
        <v/>
      </c>
      <c r="G518">
        <f>IF(B518="Cluster",$E$3,IF(B518="Supporting",INDEX($E$3:$E$553,MATCH(C518,$C$3:$C$553,0)),""))</f>
        <v/>
      </c>
      <c r="H518">
        <f>IF(B518="Supporting",IFERROR(INDEX($E$3:$E$553,1+Entity!$B$14+INDEX(Values!$O$3:$O$502,P518)),""),IF(B518="Cluster",IF(Entity!$B$14&lt;2,"",INDEX($E$3:$E$553,IF(A518-1=Entity!$B$14,2,A518+1))),""))</f>
        <v/>
      </c>
      <c r="I518">
        <f>IF(B518="Pillar",Entity!$B$14&amp;" cluster pages",IF(B518="Cluster",(COUNTIF($C$3:$C$553,SUBSTITUTE(SUBSTITUTE(C518,"?","~?"),"*","~*"))-1)&amp;" supporting pages",""))</f>
        <v/>
      </c>
      <c r="J518">
        <f>IF(B518="Pillar","Informational",IF(OR(B518="Cluster",B518="Supporting"),INDEX(Attributes!$D$3:$D$52,Q518)&amp;"",""))</f>
        <v/>
      </c>
      <c r="K518">
        <f>IF(B518="","",IF(B518="Pillar","Pillar guide (entity hub)",IF(B518="Cluster","Hub page for this attribute",IF(INDEX(Values!$C$3:$C$502,P518)="Yes","Entity page (profile of the sub-entity)",IFERROR(INDEX(Lists!$B$3:$B$6,MATCH(J518,Lists!$A$3:$A$6,0)),"Article")))))</f>
        <v/>
      </c>
      <c r="L518">
        <f>IF(B518="Pillar",Entity!$B$6&amp;"",IF(B518="Cluster",INDEX(Attributes!$I$3:$I$52,Q518)&amp;"",IF(B518="Supporting",INDEX(Values!$F$3:$F$502,P518)&amp;"","")))</f>
        <v/>
      </c>
      <c r="M518">
        <f>IF(B518="","",IF(L518&lt;&gt;"","Covered","Gap"))</f>
        <v/>
      </c>
      <c r="N518">
        <f>IF(B518="Pillar",SUMIFS(Values!$E$3:$E$502,Values!$I$3:$I$502,"Yes"),IF(B518="Cluster",SUMIFS(Values!$E$3:$E$502,Values!$A$3:$A$502,SUBSTITUTE(SUBSTITUTE(C518,"?","~?"),"*","~*"),Values!$I$3:$I$502,"Yes"),IF(B518="Supporting",N(INDEX(Values!$E$3:$E$502,P518)),"")))</f>
        <v/>
      </c>
      <c r="O518">
        <f>IF(B518="","",IF(B518="Pillar",100,IF(B518="Cluster",N(INDEX(Attributes!$E$3:$E$52,Q518))*25+IF(M518="Gap",10,0),N(INDEX(Attributes!$E$3:$E$52,Q518))*20+MIN(20,ROUND(LOG10(N(N518)+1)*5,0))+IF(M518="Gap",10,0)+IF(INDEX(Values!$D$3:$D$502,P518)="Yes",5,0))))</f>
        <v/>
      </c>
      <c r="P518">
        <f>IF(B518="Supporting",MATCH(A518-1-Entity!$B$14,Values!$J$3:$J$502,0),"")</f>
        <v/>
      </c>
      <c r="Q518">
        <f>IF(C518="","",MATCH(C518,Attributes!$A$3:$A$52,0))</f>
        <v/>
      </c>
      <c r="R518">
        <f>IF(B518="Pillar",SUBSTITUTE(Entity!$B$7,"{entity}",LOWER(Entity!$B$3)),IF(B518="Cluster",IF(INDEX(Attributes!$G$3:$G$52,Q518)&lt;&gt;"",INDEX(Attributes!$G$3:$G$52,Q518),SUBSTITUTE(SUBSTITUTE(Entity!$B$8,"{entity}",LOWER(Entity!$B$3)),"{attribute}",LOWER(C518))),IF(B518="Supporting",SUBSTITUTE(SUBSTITUTE(SUBSTITUTE(IF(INDEX(Attributes!$H$3:$H$52,Q518)&lt;&gt;"",INDEX(Attributes!$H$3:$H$52,Q518),Entity!$B$9),"{entity}",LOWER(Entity!$B$3)),"{value}",D518),"{attribute}",LOWER(C518)),"")))</f>
        <v/>
      </c>
    </row>
    <row r="519">
      <c r="A519">
        <f>ROW()-2</f>
        <v/>
      </c>
      <c r="B519">
        <f>IF(A519=1,"Pillar",IF(A519&lt;=1+Entity!$B$14,"Cluster",IF(A519&lt;=1+Entity!$B$14+Entity!$B$15,"Supporting","")))</f>
        <v/>
      </c>
      <c r="C519">
        <f>IF(B519="Cluster",INDEX(Attributes!$A$3:$A$52,MATCH(A519-1,Attributes!$P$3:$P$52,0)),IF(B519="Supporting",INDEX(Values!$A$3:$A$502,P519),""))</f>
        <v/>
      </c>
      <c r="D519">
        <f>IF(B519="Supporting",INDEX(Values!$B$3:$B$502,P519),"")</f>
        <v/>
      </c>
      <c r="E519">
        <f>IF(R519="","",UPPER(LEFT(R519,1))&amp;MID(R519,2,500))</f>
        <v/>
      </c>
      <c r="F519">
        <f>IF(E519="","",LOWER(SUBSTITUTE(SUBSTITUTE(SUBSTITUTE(SUBSTITUTE(SUBSTITUTE(SUBSTITUTE(SUBSTITUTE(TRIM(E519),":",""),",",""),"'",""),"&amp;","and"),"£",""),"  "," ")," ","-")))</f>
        <v/>
      </c>
      <c r="G519">
        <f>IF(B519="Cluster",$E$3,IF(B519="Supporting",INDEX($E$3:$E$553,MATCH(C519,$C$3:$C$553,0)),""))</f>
        <v/>
      </c>
      <c r="H519">
        <f>IF(B519="Supporting",IFERROR(INDEX($E$3:$E$553,1+Entity!$B$14+INDEX(Values!$O$3:$O$502,P519)),""),IF(B519="Cluster",IF(Entity!$B$14&lt;2,"",INDEX($E$3:$E$553,IF(A519-1=Entity!$B$14,2,A519+1))),""))</f>
        <v/>
      </c>
      <c r="I519">
        <f>IF(B519="Pillar",Entity!$B$14&amp;" cluster pages",IF(B519="Cluster",(COUNTIF($C$3:$C$553,SUBSTITUTE(SUBSTITUTE(C519,"?","~?"),"*","~*"))-1)&amp;" supporting pages",""))</f>
        <v/>
      </c>
      <c r="J519">
        <f>IF(B519="Pillar","Informational",IF(OR(B519="Cluster",B519="Supporting"),INDEX(Attributes!$D$3:$D$52,Q519)&amp;"",""))</f>
        <v/>
      </c>
      <c r="K519">
        <f>IF(B519="","",IF(B519="Pillar","Pillar guide (entity hub)",IF(B519="Cluster","Hub page for this attribute",IF(INDEX(Values!$C$3:$C$502,P519)="Yes","Entity page (profile of the sub-entity)",IFERROR(INDEX(Lists!$B$3:$B$6,MATCH(J519,Lists!$A$3:$A$6,0)),"Article")))))</f>
        <v/>
      </c>
      <c r="L519">
        <f>IF(B519="Pillar",Entity!$B$6&amp;"",IF(B519="Cluster",INDEX(Attributes!$I$3:$I$52,Q519)&amp;"",IF(B519="Supporting",INDEX(Values!$F$3:$F$502,P519)&amp;"","")))</f>
        <v/>
      </c>
      <c r="M519">
        <f>IF(B519="","",IF(L519&lt;&gt;"","Covered","Gap"))</f>
        <v/>
      </c>
      <c r="N519">
        <f>IF(B519="Pillar",SUMIFS(Values!$E$3:$E$502,Values!$I$3:$I$502,"Yes"),IF(B519="Cluster",SUMIFS(Values!$E$3:$E$502,Values!$A$3:$A$502,SUBSTITUTE(SUBSTITUTE(C519,"?","~?"),"*","~*"),Values!$I$3:$I$502,"Yes"),IF(B519="Supporting",N(INDEX(Values!$E$3:$E$502,P519)),"")))</f>
        <v/>
      </c>
      <c r="O519">
        <f>IF(B519="","",IF(B519="Pillar",100,IF(B519="Cluster",N(INDEX(Attributes!$E$3:$E$52,Q519))*25+IF(M519="Gap",10,0),N(INDEX(Attributes!$E$3:$E$52,Q519))*20+MIN(20,ROUND(LOG10(N(N519)+1)*5,0))+IF(M519="Gap",10,0)+IF(INDEX(Values!$D$3:$D$502,P519)="Yes",5,0))))</f>
        <v/>
      </c>
      <c r="P519">
        <f>IF(B519="Supporting",MATCH(A519-1-Entity!$B$14,Values!$J$3:$J$502,0),"")</f>
        <v/>
      </c>
      <c r="Q519">
        <f>IF(C519="","",MATCH(C519,Attributes!$A$3:$A$52,0))</f>
        <v/>
      </c>
      <c r="R519">
        <f>IF(B519="Pillar",SUBSTITUTE(Entity!$B$7,"{entity}",LOWER(Entity!$B$3)),IF(B519="Cluster",IF(INDEX(Attributes!$G$3:$G$52,Q519)&lt;&gt;"",INDEX(Attributes!$G$3:$G$52,Q519),SUBSTITUTE(SUBSTITUTE(Entity!$B$8,"{entity}",LOWER(Entity!$B$3)),"{attribute}",LOWER(C519))),IF(B519="Supporting",SUBSTITUTE(SUBSTITUTE(SUBSTITUTE(IF(INDEX(Attributes!$H$3:$H$52,Q519)&lt;&gt;"",INDEX(Attributes!$H$3:$H$52,Q519),Entity!$B$9),"{entity}",LOWER(Entity!$B$3)),"{value}",D519),"{attribute}",LOWER(C519)),"")))</f>
        <v/>
      </c>
    </row>
    <row r="520">
      <c r="A520">
        <f>ROW()-2</f>
        <v/>
      </c>
      <c r="B520">
        <f>IF(A520=1,"Pillar",IF(A520&lt;=1+Entity!$B$14,"Cluster",IF(A520&lt;=1+Entity!$B$14+Entity!$B$15,"Supporting","")))</f>
        <v/>
      </c>
      <c r="C520">
        <f>IF(B520="Cluster",INDEX(Attributes!$A$3:$A$52,MATCH(A520-1,Attributes!$P$3:$P$52,0)),IF(B520="Supporting",INDEX(Values!$A$3:$A$502,P520),""))</f>
        <v/>
      </c>
      <c r="D520">
        <f>IF(B520="Supporting",INDEX(Values!$B$3:$B$502,P520),"")</f>
        <v/>
      </c>
      <c r="E520">
        <f>IF(R520="","",UPPER(LEFT(R520,1))&amp;MID(R520,2,500))</f>
        <v/>
      </c>
      <c r="F520">
        <f>IF(E520="","",LOWER(SUBSTITUTE(SUBSTITUTE(SUBSTITUTE(SUBSTITUTE(SUBSTITUTE(SUBSTITUTE(SUBSTITUTE(TRIM(E520),":",""),",",""),"'",""),"&amp;","and"),"£",""),"  "," ")," ","-")))</f>
        <v/>
      </c>
      <c r="G520">
        <f>IF(B520="Cluster",$E$3,IF(B520="Supporting",INDEX($E$3:$E$553,MATCH(C520,$C$3:$C$553,0)),""))</f>
        <v/>
      </c>
      <c r="H520">
        <f>IF(B520="Supporting",IFERROR(INDEX($E$3:$E$553,1+Entity!$B$14+INDEX(Values!$O$3:$O$502,P520)),""),IF(B520="Cluster",IF(Entity!$B$14&lt;2,"",INDEX($E$3:$E$553,IF(A520-1=Entity!$B$14,2,A520+1))),""))</f>
        <v/>
      </c>
      <c r="I520">
        <f>IF(B520="Pillar",Entity!$B$14&amp;" cluster pages",IF(B520="Cluster",(COUNTIF($C$3:$C$553,SUBSTITUTE(SUBSTITUTE(C520,"?","~?"),"*","~*"))-1)&amp;" supporting pages",""))</f>
        <v/>
      </c>
      <c r="J520">
        <f>IF(B520="Pillar","Informational",IF(OR(B520="Cluster",B520="Supporting"),INDEX(Attributes!$D$3:$D$52,Q520)&amp;"",""))</f>
        <v/>
      </c>
      <c r="K520">
        <f>IF(B520="","",IF(B520="Pillar","Pillar guide (entity hub)",IF(B520="Cluster","Hub page for this attribute",IF(INDEX(Values!$C$3:$C$502,P520)="Yes","Entity page (profile of the sub-entity)",IFERROR(INDEX(Lists!$B$3:$B$6,MATCH(J520,Lists!$A$3:$A$6,0)),"Article")))))</f>
        <v/>
      </c>
      <c r="L520">
        <f>IF(B520="Pillar",Entity!$B$6&amp;"",IF(B520="Cluster",INDEX(Attributes!$I$3:$I$52,Q520)&amp;"",IF(B520="Supporting",INDEX(Values!$F$3:$F$502,P520)&amp;"","")))</f>
        <v/>
      </c>
      <c r="M520">
        <f>IF(B520="","",IF(L520&lt;&gt;"","Covered","Gap"))</f>
        <v/>
      </c>
      <c r="N520">
        <f>IF(B520="Pillar",SUMIFS(Values!$E$3:$E$502,Values!$I$3:$I$502,"Yes"),IF(B520="Cluster",SUMIFS(Values!$E$3:$E$502,Values!$A$3:$A$502,SUBSTITUTE(SUBSTITUTE(C520,"?","~?"),"*","~*"),Values!$I$3:$I$502,"Yes"),IF(B520="Supporting",N(INDEX(Values!$E$3:$E$502,P520)),"")))</f>
        <v/>
      </c>
      <c r="O520">
        <f>IF(B520="","",IF(B520="Pillar",100,IF(B520="Cluster",N(INDEX(Attributes!$E$3:$E$52,Q520))*25+IF(M520="Gap",10,0),N(INDEX(Attributes!$E$3:$E$52,Q520))*20+MIN(20,ROUND(LOG10(N(N520)+1)*5,0))+IF(M520="Gap",10,0)+IF(INDEX(Values!$D$3:$D$502,P520)="Yes",5,0))))</f>
        <v/>
      </c>
      <c r="P520">
        <f>IF(B520="Supporting",MATCH(A520-1-Entity!$B$14,Values!$J$3:$J$502,0),"")</f>
        <v/>
      </c>
      <c r="Q520">
        <f>IF(C520="","",MATCH(C520,Attributes!$A$3:$A$52,0))</f>
        <v/>
      </c>
      <c r="R520">
        <f>IF(B520="Pillar",SUBSTITUTE(Entity!$B$7,"{entity}",LOWER(Entity!$B$3)),IF(B520="Cluster",IF(INDEX(Attributes!$G$3:$G$52,Q520)&lt;&gt;"",INDEX(Attributes!$G$3:$G$52,Q520),SUBSTITUTE(SUBSTITUTE(Entity!$B$8,"{entity}",LOWER(Entity!$B$3)),"{attribute}",LOWER(C520))),IF(B520="Supporting",SUBSTITUTE(SUBSTITUTE(SUBSTITUTE(IF(INDEX(Attributes!$H$3:$H$52,Q520)&lt;&gt;"",INDEX(Attributes!$H$3:$H$52,Q520),Entity!$B$9),"{entity}",LOWER(Entity!$B$3)),"{value}",D520),"{attribute}",LOWER(C520)),"")))</f>
        <v/>
      </c>
    </row>
    <row r="521">
      <c r="A521">
        <f>ROW()-2</f>
        <v/>
      </c>
      <c r="B521">
        <f>IF(A521=1,"Pillar",IF(A521&lt;=1+Entity!$B$14,"Cluster",IF(A521&lt;=1+Entity!$B$14+Entity!$B$15,"Supporting","")))</f>
        <v/>
      </c>
      <c r="C521">
        <f>IF(B521="Cluster",INDEX(Attributes!$A$3:$A$52,MATCH(A521-1,Attributes!$P$3:$P$52,0)),IF(B521="Supporting",INDEX(Values!$A$3:$A$502,P521),""))</f>
        <v/>
      </c>
      <c r="D521">
        <f>IF(B521="Supporting",INDEX(Values!$B$3:$B$502,P521),"")</f>
        <v/>
      </c>
      <c r="E521">
        <f>IF(R521="","",UPPER(LEFT(R521,1))&amp;MID(R521,2,500))</f>
        <v/>
      </c>
      <c r="F521">
        <f>IF(E521="","",LOWER(SUBSTITUTE(SUBSTITUTE(SUBSTITUTE(SUBSTITUTE(SUBSTITUTE(SUBSTITUTE(SUBSTITUTE(TRIM(E521),":",""),",",""),"'",""),"&amp;","and"),"£",""),"  "," ")," ","-")))</f>
        <v/>
      </c>
      <c r="G521">
        <f>IF(B521="Cluster",$E$3,IF(B521="Supporting",INDEX($E$3:$E$553,MATCH(C521,$C$3:$C$553,0)),""))</f>
        <v/>
      </c>
      <c r="H521">
        <f>IF(B521="Supporting",IFERROR(INDEX($E$3:$E$553,1+Entity!$B$14+INDEX(Values!$O$3:$O$502,P521)),""),IF(B521="Cluster",IF(Entity!$B$14&lt;2,"",INDEX($E$3:$E$553,IF(A521-1=Entity!$B$14,2,A521+1))),""))</f>
        <v/>
      </c>
      <c r="I521">
        <f>IF(B521="Pillar",Entity!$B$14&amp;" cluster pages",IF(B521="Cluster",(COUNTIF($C$3:$C$553,SUBSTITUTE(SUBSTITUTE(C521,"?","~?"),"*","~*"))-1)&amp;" supporting pages",""))</f>
        <v/>
      </c>
      <c r="J521">
        <f>IF(B521="Pillar","Informational",IF(OR(B521="Cluster",B521="Supporting"),INDEX(Attributes!$D$3:$D$52,Q521)&amp;"",""))</f>
        <v/>
      </c>
      <c r="K521">
        <f>IF(B521="","",IF(B521="Pillar","Pillar guide (entity hub)",IF(B521="Cluster","Hub page for this attribute",IF(INDEX(Values!$C$3:$C$502,P521)="Yes","Entity page (profile of the sub-entity)",IFERROR(INDEX(Lists!$B$3:$B$6,MATCH(J521,Lists!$A$3:$A$6,0)),"Article")))))</f>
        <v/>
      </c>
      <c r="L521">
        <f>IF(B521="Pillar",Entity!$B$6&amp;"",IF(B521="Cluster",INDEX(Attributes!$I$3:$I$52,Q521)&amp;"",IF(B521="Supporting",INDEX(Values!$F$3:$F$502,P521)&amp;"","")))</f>
        <v/>
      </c>
      <c r="M521">
        <f>IF(B521="","",IF(L521&lt;&gt;"","Covered","Gap"))</f>
        <v/>
      </c>
      <c r="N521">
        <f>IF(B521="Pillar",SUMIFS(Values!$E$3:$E$502,Values!$I$3:$I$502,"Yes"),IF(B521="Cluster",SUMIFS(Values!$E$3:$E$502,Values!$A$3:$A$502,SUBSTITUTE(SUBSTITUTE(C521,"?","~?"),"*","~*"),Values!$I$3:$I$502,"Yes"),IF(B521="Supporting",N(INDEX(Values!$E$3:$E$502,P521)),"")))</f>
        <v/>
      </c>
      <c r="O521">
        <f>IF(B521="","",IF(B521="Pillar",100,IF(B521="Cluster",N(INDEX(Attributes!$E$3:$E$52,Q521))*25+IF(M521="Gap",10,0),N(INDEX(Attributes!$E$3:$E$52,Q521))*20+MIN(20,ROUND(LOG10(N(N521)+1)*5,0))+IF(M521="Gap",10,0)+IF(INDEX(Values!$D$3:$D$502,P521)="Yes",5,0))))</f>
        <v/>
      </c>
      <c r="P521">
        <f>IF(B521="Supporting",MATCH(A521-1-Entity!$B$14,Values!$J$3:$J$502,0),"")</f>
        <v/>
      </c>
      <c r="Q521">
        <f>IF(C521="","",MATCH(C521,Attributes!$A$3:$A$52,0))</f>
        <v/>
      </c>
      <c r="R521">
        <f>IF(B521="Pillar",SUBSTITUTE(Entity!$B$7,"{entity}",LOWER(Entity!$B$3)),IF(B521="Cluster",IF(INDEX(Attributes!$G$3:$G$52,Q521)&lt;&gt;"",INDEX(Attributes!$G$3:$G$52,Q521),SUBSTITUTE(SUBSTITUTE(Entity!$B$8,"{entity}",LOWER(Entity!$B$3)),"{attribute}",LOWER(C521))),IF(B521="Supporting",SUBSTITUTE(SUBSTITUTE(SUBSTITUTE(IF(INDEX(Attributes!$H$3:$H$52,Q521)&lt;&gt;"",INDEX(Attributes!$H$3:$H$52,Q521),Entity!$B$9),"{entity}",LOWER(Entity!$B$3)),"{value}",D521),"{attribute}",LOWER(C521)),"")))</f>
        <v/>
      </c>
    </row>
    <row r="522">
      <c r="A522">
        <f>ROW()-2</f>
        <v/>
      </c>
      <c r="B522">
        <f>IF(A522=1,"Pillar",IF(A522&lt;=1+Entity!$B$14,"Cluster",IF(A522&lt;=1+Entity!$B$14+Entity!$B$15,"Supporting","")))</f>
        <v/>
      </c>
      <c r="C522">
        <f>IF(B522="Cluster",INDEX(Attributes!$A$3:$A$52,MATCH(A522-1,Attributes!$P$3:$P$52,0)),IF(B522="Supporting",INDEX(Values!$A$3:$A$502,P522),""))</f>
        <v/>
      </c>
      <c r="D522">
        <f>IF(B522="Supporting",INDEX(Values!$B$3:$B$502,P522),"")</f>
        <v/>
      </c>
      <c r="E522">
        <f>IF(R522="","",UPPER(LEFT(R522,1))&amp;MID(R522,2,500))</f>
        <v/>
      </c>
      <c r="F522">
        <f>IF(E522="","",LOWER(SUBSTITUTE(SUBSTITUTE(SUBSTITUTE(SUBSTITUTE(SUBSTITUTE(SUBSTITUTE(SUBSTITUTE(TRIM(E522),":",""),",",""),"'",""),"&amp;","and"),"£",""),"  "," ")," ","-")))</f>
        <v/>
      </c>
      <c r="G522">
        <f>IF(B522="Cluster",$E$3,IF(B522="Supporting",INDEX($E$3:$E$553,MATCH(C522,$C$3:$C$553,0)),""))</f>
        <v/>
      </c>
      <c r="H522">
        <f>IF(B522="Supporting",IFERROR(INDEX($E$3:$E$553,1+Entity!$B$14+INDEX(Values!$O$3:$O$502,P522)),""),IF(B522="Cluster",IF(Entity!$B$14&lt;2,"",INDEX($E$3:$E$553,IF(A522-1=Entity!$B$14,2,A522+1))),""))</f>
        <v/>
      </c>
      <c r="I522">
        <f>IF(B522="Pillar",Entity!$B$14&amp;" cluster pages",IF(B522="Cluster",(COUNTIF($C$3:$C$553,SUBSTITUTE(SUBSTITUTE(C522,"?","~?"),"*","~*"))-1)&amp;" supporting pages",""))</f>
        <v/>
      </c>
      <c r="J522">
        <f>IF(B522="Pillar","Informational",IF(OR(B522="Cluster",B522="Supporting"),INDEX(Attributes!$D$3:$D$52,Q522)&amp;"",""))</f>
        <v/>
      </c>
      <c r="K522">
        <f>IF(B522="","",IF(B522="Pillar","Pillar guide (entity hub)",IF(B522="Cluster","Hub page for this attribute",IF(INDEX(Values!$C$3:$C$502,P522)="Yes","Entity page (profile of the sub-entity)",IFERROR(INDEX(Lists!$B$3:$B$6,MATCH(J522,Lists!$A$3:$A$6,0)),"Article")))))</f>
        <v/>
      </c>
      <c r="L522">
        <f>IF(B522="Pillar",Entity!$B$6&amp;"",IF(B522="Cluster",INDEX(Attributes!$I$3:$I$52,Q522)&amp;"",IF(B522="Supporting",INDEX(Values!$F$3:$F$502,P522)&amp;"","")))</f>
        <v/>
      </c>
      <c r="M522">
        <f>IF(B522="","",IF(L522&lt;&gt;"","Covered","Gap"))</f>
        <v/>
      </c>
      <c r="N522">
        <f>IF(B522="Pillar",SUMIFS(Values!$E$3:$E$502,Values!$I$3:$I$502,"Yes"),IF(B522="Cluster",SUMIFS(Values!$E$3:$E$502,Values!$A$3:$A$502,SUBSTITUTE(SUBSTITUTE(C522,"?","~?"),"*","~*"),Values!$I$3:$I$502,"Yes"),IF(B522="Supporting",N(INDEX(Values!$E$3:$E$502,P522)),"")))</f>
        <v/>
      </c>
      <c r="O522">
        <f>IF(B522="","",IF(B522="Pillar",100,IF(B522="Cluster",N(INDEX(Attributes!$E$3:$E$52,Q522))*25+IF(M522="Gap",10,0),N(INDEX(Attributes!$E$3:$E$52,Q522))*20+MIN(20,ROUND(LOG10(N(N522)+1)*5,0))+IF(M522="Gap",10,0)+IF(INDEX(Values!$D$3:$D$502,P522)="Yes",5,0))))</f>
        <v/>
      </c>
      <c r="P522">
        <f>IF(B522="Supporting",MATCH(A522-1-Entity!$B$14,Values!$J$3:$J$502,0),"")</f>
        <v/>
      </c>
      <c r="Q522">
        <f>IF(C522="","",MATCH(C522,Attributes!$A$3:$A$52,0))</f>
        <v/>
      </c>
      <c r="R522">
        <f>IF(B522="Pillar",SUBSTITUTE(Entity!$B$7,"{entity}",LOWER(Entity!$B$3)),IF(B522="Cluster",IF(INDEX(Attributes!$G$3:$G$52,Q522)&lt;&gt;"",INDEX(Attributes!$G$3:$G$52,Q522),SUBSTITUTE(SUBSTITUTE(Entity!$B$8,"{entity}",LOWER(Entity!$B$3)),"{attribute}",LOWER(C522))),IF(B522="Supporting",SUBSTITUTE(SUBSTITUTE(SUBSTITUTE(IF(INDEX(Attributes!$H$3:$H$52,Q522)&lt;&gt;"",INDEX(Attributes!$H$3:$H$52,Q522),Entity!$B$9),"{entity}",LOWER(Entity!$B$3)),"{value}",D522),"{attribute}",LOWER(C522)),"")))</f>
        <v/>
      </c>
    </row>
    <row r="523">
      <c r="A523">
        <f>ROW()-2</f>
        <v/>
      </c>
      <c r="B523">
        <f>IF(A523=1,"Pillar",IF(A523&lt;=1+Entity!$B$14,"Cluster",IF(A523&lt;=1+Entity!$B$14+Entity!$B$15,"Supporting","")))</f>
        <v/>
      </c>
      <c r="C523">
        <f>IF(B523="Cluster",INDEX(Attributes!$A$3:$A$52,MATCH(A523-1,Attributes!$P$3:$P$52,0)),IF(B523="Supporting",INDEX(Values!$A$3:$A$502,P523),""))</f>
        <v/>
      </c>
      <c r="D523">
        <f>IF(B523="Supporting",INDEX(Values!$B$3:$B$502,P523),"")</f>
        <v/>
      </c>
      <c r="E523">
        <f>IF(R523="","",UPPER(LEFT(R523,1))&amp;MID(R523,2,500))</f>
        <v/>
      </c>
      <c r="F523">
        <f>IF(E523="","",LOWER(SUBSTITUTE(SUBSTITUTE(SUBSTITUTE(SUBSTITUTE(SUBSTITUTE(SUBSTITUTE(SUBSTITUTE(TRIM(E523),":",""),",",""),"'",""),"&amp;","and"),"£",""),"  "," ")," ","-")))</f>
        <v/>
      </c>
      <c r="G523">
        <f>IF(B523="Cluster",$E$3,IF(B523="Supporting",INDEX($E$3:$E$553,MATCH(C523,$C$3:$C$553,0)),""))</f>
        <v/>
      </c>
      <c r="H523">
        <f>IF(B523="Supporting",IFERROR(INDEX($E$3:$E$553,1+Entity!$B$14+INDEX(Values!$O$3:$O$502,P523)),""),IF(B523="Cluster",IF(Entity!$B$14&lt;2,"",INDEX($E$3:$E$553,IF(A523-1=Entity!$B$14,2,A523+1))),""))</f>
        <v/>
      </c>
      <c r="I523">
        <f>IF(B523="Pillar",Entity!$B$14&amp;" cluster pages",IF(B523="Cluster",(COUNTIF($C$3:$C$553,SUBSTITUTE(SUBSTITUTE(C523,"?","~?"),"*","~*"))-1)&amp;" supporting pages",""))</f>
        <v/>
      </c>
      <c r="J523">
        <f>IF(B523="Pillar","Informational",IF(OR(B523="Cluster",B523="Supporting"),INDEX(Attributes!$D$3:$D$52,Q523)&amp;"",""))</f>
        <v/>
      </c>
      <c r="K523">
        <f>IF(B523="","",IF(B523="Pillar","Pillar guide (entity hub)",IF(B523="Cluster","Hub page for this attribute",IF(INDEX(Values!$C$3:$C$502,P523)="Yes","Entity page (profile of the sub-entity)",IFERROR(INDEX(Lists!$B$3:$B$6,MATCH(J523,Lists!$A$3:$A$6,0)),"Article")))))</f>
        <v/>
      </c>
      <c r="L523">
        <f>IF(B523="Pillar",Entity!$B$6&amp;"",IF(B523="Cluster",INDEX(Attributes!$I$3:$I$52,Q523)&amp;"",IF(B523="Supporting",INDEX(Values!$F$3:$F$502,P523)&amp;"","")))</f>
        <v/>
      </c>
      <c r="M523">
        <f>IF(B523="","",IF(L523&lt;&gt;"","Covered","Gap"))</f>
        <v/>
      </c>
      <c r="N523">
        <f>IF(B523="Pillar",SUMIFS(Values!$E$3:$E$502,Values!$I$3:$I$502,"Yes"),IF(B523="Cluster",SUMIFS(Values!$E$3:$E$502,Values!$A$3:$A$502,SUBSTITUTE(SUBSTITUTE(C523,"?","~?"),"*","~*"),Values!$I$3:$I$502,"Yes"),IF(B523="Supporting",N(INDEX(Values!$E$3:$E$502,P523)),"")))</f>
        <v/>
      </c>
      <c r="O523">
        <f>IF(B523="","",IF(B523="Pillar",100,IF(B523="Cluster",N(INDEX(Attributes!$E$3:$E$52,Q523))*25+IF(M523="Gap",10,0),N(INDEX(Attributes!$E$3:$E$52,Q523))*20+MIN(20,ROUND(LOG10(N(N523)+1)*5,0))+IF(M523="Gap",10,0)+IF(INDEX(Values!$D$3:$D$502,P523)="Yes",5,0))))</f>
        <v/>
      </c>
      <c r="P523">
        <f>IF(B523="Supporting",MATCH(A523-1-Entity!$B$14,Values!$J$3:$J$502,0),"")</f>
        <v/>
      </c>
      <c r="Q523">
        <f>IF(C523="","",MATCH(C523,Attributes!$A$3:$A$52,0))</f>
        <v/>
      </c>
      <c r="R523">
        <f>IF(B523="Pillar",SUBSTITUTE(Entity!$B$7,"{entity}",LOWER(Entity!$B$3)),IF(B523="Cluster",IF(INDEX(Attributes!$G$3:$G$52,Q523)&lt;&gt;"",INDEX(Attributes!$G$3:$G$52,Q523),SUBSTITUTE(SUBSTITUTE(Entity!$B$8,"{entity}",LOWER(Entity!$B$3)),"{attribute}",LOWER(C523))),IF(B523="Supporting",SUBSTITUTE(SUBSTITUTE(SUBSTITUTE(IF(INDEX(Attributes!$H$3:$H$52,Q523)&lt;&gt;"",INDEX(Attributes!$H$3:$H$52,Q523),Entity!$B$9),"{entity}",LOWER(Entity!$B$3)),"{value}",D523),"{attribute}",LOWER(C523)),"")))</f>
        <v/>
      </c>
    </row>
    <row r="524">
      <c r="A524">
        <f>ROW()-2</f>
        <v/>
      </c>
      <c r="B524">
        <f>IF(A524=1,"Pillar",IF(A524&lt;=1+Entity!$B$14,"Cluster",IF(A524&lt;=1+Entity!$B$14+Entity!$B$15,"Supporting","")))</f>
        <v/>
      </c>
      <c r="C524">
        <f>IF(B524="Cluster",INDEX(Attributes!$A$3:$A$52,MATCH(A524-1,Attributes!$P$3:$P$52,0)),IF(B524="Supporting",INDEX(Values!$A$3:$A$502,P524),""))</f>
        <v/>
      </c>
      <c r="D524">
        <f>IF(B524="Supporting",INDEX(Values!$B$3:$B$502,P524),"")</f>
        <v/>
      </c>
      <c r="E524">
        <f>IF(R524="","",UPPER(LEFT(R524,1))&amp;MID(R524,2,500))</f>
        <v/>
      </c>
      <c r="F524">
        <f>IF(E524="","",LOWER(SUBSTITUTE(SUBSTITUTE(SUBSTITUTE(SUBSTITUTE(SUBSTITUTE(SUBSTITUTE(SUBSTITUTE(TRIM(E524),":",""),",",""),"'",""),"&amp;","and"),"£",""),"  "," ")," ","-")))</f>
        <v/>
      </c>
      <c r="G524">
        <f>IF(B524="Cluster",$E$3,IF(B524="Supporting",INDEX($E$3:$E$553,MATCH(C524,$C$3:$C$553,0)),""))</f>
        <v/>
      </c>
      <c r="H524">
        <f>IF(B524="Supporting",IFERROR(INDEX($E$3:$E$553,1+Entity!$B$14+INDEX(Values!$O$3:$O$502,P524)),""),IF(B524="Cluster",IF(Entity!$B$14&lt;2,"",INDEX($E$3:$E$553,IF(A524-1=Entity!$B$14,2,A524+1))),""))</f>
        <v/>
      </c>
      <c r="I524">
        <f>IF(B524="Pillar",Entity!$B$14&amp;" cluster pages",IF(B524="Cluster",(COUNTIF($C$3:$C$553,SUBSTITUTE(SUBSTITUTE(C524,"?","~?"),"*","~*"))-1)&amp;" supporting pages",""))</f>
        <v/>
      </c>
      <c r="J524">
        <f>IF(B524="Pillar","Informational",IF(OR(B524="Cluster",B524="Supporting"),INDEX(Attributes!$D$3:$D$52,Q524)&amp;"",""))</f>
        <v/>
      </c>
      <c r="K524">
        <f>IF(B524="","",IF(B524="Pillar","Pillar guide (entity hub)",IF(B524="Cluster","Hub page for this attribute",IF(INDEX(Values!$C$3:$C$502,P524)="Yes","Entity page (profile of the sub-entity)",IFERROR(INDEX(Lists!$B$3:$B$6,MATCH(J524,Lists!$A$3:$A$6,0)),"Article")))))</f>
        <v/>
      </c>
      <c r="L524">
        <f>IF(B524="Pillar",Entity!$B$6&amp;"",IF(B524="Cluster",INDEX(Attributes!$I$3:$I$52,Q524)&amp;"",IF(B524="Supporting",INDEX(Values!$F$3:$F$502,P524)&amp;"","")))</f>
        <v/>
      </c>
      <c r="M524">
        <f>IF(B524="","",IF(L524&lt;&gt;"","Covered","Gap"))</f>
        <v/>
      </c>
      <c r="N524">
        <f>IF(B524="Pillar",SUMIFS(Values!$E$3:$E$502,Values!$I$3:$I$502,"Yes"),IF(B524="Cluster",SUMIFS(Values!$E$3:$E$502,Values!$A$3:$A$502,SUBSTITUTE(SUBSTITUTE(C524,"?","~?"),"*","~*"),Values!$I$3:$I$502,"Yes"),IF(B524="Supporting",N(INDEX(Values!$E$3:$E$502,P524)),"")))</f>
        <v/>
      </c>
      <c r="O524">
        <f>IF(B524="","",IF(B524="Pillar",100,IF(B524="Cluster",N(INDEX(Attributes!$E$3:$E$52,Q524))*25+IF(M524="Gap",10,0),N(INDEX(Attributes!$E$3:$E$52,Q524))*20+MIN(20,ROUND(LOG10(N(N524)+1)*5,0))+IF(M524="Gap",10,0)+IF(INDEX(Values!$D$3:$D$502,P524)="Yes",5,0))))</f>
        <v/>
      </c>
      <c r="P524">
        <f>IF(B524="Supporting",MATCH(A524-1-Entity!$B$14,Values!$J$3:$J$502,0),"")</f>
        <v/>
      </c>
      <c r="Q524">
        <f>IF(C524="","",MATCH(C524,Attributes!$A$3:$A$52,0))</f>
        <v/>
      </c>
      <c r="R524">
        <f>IF(B524="Pillar",SUBSTITUTE(Entity!$B$7,"{entity}",LOWER(Entity!$B$3)),IF(B524="Cluster",IF(INDEX(Attributes!$G$3:$G$52,Q524)&lt;&gt;"",INDEX(Attributes!$G$3:$G$52,Q524),SUBSTITUTE(SUBSTITUTE(Entity!$B$8,"{entity}",LOWER(Entity!$B$3)),"{attribute}",LOWER(C524))),IF(B524="Supporting",SUBSTITUTE(SUBSTITUTE(SUBSTITUTE(IF(INDEX(Attributes!$H$3:$H$52,Q524)&lt;&gt;"",INDEX(Attributes!$H$3:$H$52,Q524),Entity!$B$9),"{entity}",LOWER(Entity!$B$3)),"{value}",D524),"{attribute}",LOWER(C524)),"")))</f>
        <v/>
      </c>
    </row>
    <row r="525">
      <c r="A525">
        <f>ROW()-2</f>
        <v/>
      </c>
      <c r="B525">
        <f>IF(A525=1,"Pillar",IF(A525&lt;=1+Entity!$B$14,"Cluster",IF(A525&lt;=1+Entity!$B$14+Entity!$B$15,"Supporting","")))</f>
        <v/>
      </c>
      <c r="C525">
        <f>IF(B525="Cluster",INDEX(Attributes!$A$3:$A$52,MATCH(A525-1,Attributes!$P$3:$P$52,0)),IF(B525="Supporting",INDEX(Values!$A$3:$A$502,P525),""))</f>
        <v/>
      </c>
      <c r="D525">
        <f>IF(B525="Supporting",INDEX(Values!$B$3:$B$502,P525),"")</f>
        <v/>
      </c>
      <c r="E525">
        <f>IF(R525="","",UPPER(LEFT(R525,1))&amp;MID(R525,2,500))</f>
        <v/>
      </c>
      <c r="F525">
        <f>IF(E525="","",LOWER(SUBSTITUTE(SUBSTITUTE(SUBSTITUTE(SUBSTITUTE(SUBSTITUTE(SUBSTITUTE(SUBSTITUTE(TRIM(E525),":",""),",",""),"'",""),"&amp;","and"),"£",""),"  "," ")," ","-")))</f>
        <v/>
      </c>
      <c r="G525">
        <f>IF(B525="Cluster",$E$3,IF(B525="Supporting",INDEX($E$3:$E$553,MATCH(C525,$C$3:$C$553,0)),""))</f>
        <v/>
      </c>
      <c r="H525">
        <f>IF(B525="Supporting",IFERROR(INDEX($E$3:$E$553,1+Entity!$B$14+INDEX(Values!$O$3:$O$502,P525)),""),IF(B525="Cluster",IF(Entity!$B$14&lt;2,"",INDEX($E$3:$E$553,IF(A525-1=Entity!$B$14,2,A525+1))),""))</f>
        <v/>
      </c>
      <c r="I525">
        <f>IF(B525="Pillar",Entity!$B$14&amp;" cluster pages",IF(B525="Cluster",(COUNTIF($C$3:$C$553,SUBSTITUTE(SUBSTITUTE(C525,"?","~?"),"*","~*"))-1)&amp;" supporting pages",""))</f>
        <v/>
      </c>
      <c r="J525">
        <f>IF(B525="Pillar","Informational",IF(OR(B525="Cluster",B525="Supporting"),INDEX(Attributes!$D$3:$D$52,Q525)&amp;"",""))</f>
        <v/>
      </c>
      <c r="K525">
        <f>IF(B525="","",IF(B525="Pillar","Pillar guide (entity hub)",IF(B525="Cluster","Hub page for this attribute",IF(INDEX(Values!$C$3:$C$502,P525)="Yes","Entity page (profile of the sub-entity)",IFERROR(INDEX(Lists!$B$3:$B$6,MATCH(J525,Lists!$A$3:$A$6,0)),"Article")))))</f>
        <v/>
      </c>
      <c r="L525">
        <f>IF(B525="Pillar",Entity!$B$6&amp;"",IF(B525="Cluster",INDEX(Attributes!$I$3:$I$52,Q525)&amp;"",IF(B525="Supporting",INDEX(Values!$F$3:$F$502,P525)&amp;"","")))</f>
        <v/>
      </c>
      <c r="M525">
        <f>IF(B525="","",IF(L525&lt;&gt;"","Covered","Gap"))</f>
        <v/>
      </c>
      <c r="N525">
        <f>IF(B525="Pillar",SUMIFS(Values!$E$3:$E$502,Values!$I$3:$I$502,"Yes"),IF(B525="Cluster",SUMIFS(Values!$E$3:$E$502,Values!$A$3:$A$502,SUBSTITUTE(SUBSTITUTE(C525,"?","~?"),"*","~*"),Values!$I$3:$I$502,"Yes"),IF(B525="Supporting",N(INDEX(Values!$E$3:$E$502,P525)),"")))</f>
        <v/>
      </c>
      <c r="O525">
        <f>IF(B525="","",IF(B525="Pillar",100,IF(B525="Cluster",N(INDEX(Attributes!$E$3:$E$52,Q525))*25+IF(M525="Gap",10,0),N(INDEX(Attributes!$E$3:$E$52,Q525))*20+MIN(20,ROUND(LOG10(N(N525)+1)*5,0))+IF(M525="Gap",10,0)+IF(INDEX(Values!$D$3:$D$502,P525)="Yes",5,0))))</f>
        <v/>
      </c>
      <c r="P525">
        <f>IF(B525="Supporting",MATCH(A525-1-Entity!$B$14,Values!$J$3:$J$502,0),"")</f>
        <v/>
      </c>
      <c r="Q525">
        <f>IF(C525="","",MATCH(C525,Attributes!$A$3:$A$52,0))</f>
        <v/>
      </c>
      <c r="R525">
        <f>IF(B525="Pillar",SUBSTITUTE(Entity!$B$7,"{entity}",LOWER(Entity!$B$3)),IF(B525="Cluster",IF(INDEX(Attributes!$G$3:$G$52,Q525)&lt;&gt;"",INDEX(Attributes!$G$3:$G$52,Q525),SUBSTITUTE(SUBSTITUTE(Entity!$B$8,"{entity}",LOWER(Entity!$B$3)),"{attribute}",LOWER(C525))),IF(B525="Supporting",SUBSTITUTE(SUBSTITUTE(SUBSTITUTE(IF(INDEX(Attributes!$H$3:$H$52,Q525)&lt;&gt;"",INDEX(Attributes!$H$3:$H$52,Q525),Entity!$B$9),"{entity}",LOWER(Entity!$B$3)),"{value}",D525),"{attribute}",LOWER(C525)),"")))</f>
        <v/>
      </c>
    </row>
    <row r="526">
      <c r="A526">
        <f>ROW()-2</f>
        <v/>
      </c>
      <c r="B526">
        <f>IF(A526=1,"Pillar",IF(A526&lt;=1+Entity!$B$14,"Cluster",IF(A526&lt;=1+Entity!$B$14+Entity!$B$15,"Supporting","")))</f>
        <v/>
      </c>
      <c r="C526">
        <f>IF(B526="Cluster",INDEX(Attributes!$A$3:$A$52,MATCH(A526-1,Attributes!$P$3:$P$52,0)),IF(B526="Supporting",INDEX(Values!$A$3:$A$502,P526),""))</f>
        <v/>
      </c>
      <c r="D526">
        <f>IF(B526="Supporting",INDEX(Values!$B$3:$B$502,P526),"")</f>
        <v/>
      </c>
      <c r="E526">
        <f>IF(R526="","",UPPER(LEFT(R526,1))&amp;MID(R526,2,500))</f>
        <v/>
      </c>
      <c r="F526">
        <f>IF(E526="","",LOWER(SUBSTITUTE(SUBSTITUTE(SUBSTITUTE(SUBSTITUTE(SUBSTITUTE(SUBSTITUTE(SUBSTITUTE(TRIM(E526),":",""),",",""),"'",""),"&amp;","and"),"£",""),"  "," ")," ","-")))</f>
        <v/>
      </c>
      <c r="G526">
        <f>IF(B526="Cluster",$E$3,IF(B526="Supporting",INDEX($E$3:$E$553,MATCH(C526,$C$3:$C$553,0)),""))</f>
        <v/>
      </c>
      <c r="H526">
        <f>IF(B526="Supporting",IFERROR(INDEX($E$3:$E$553,1+Entity!$B$14+INDEX(Values!$O$3:$O$502,P526)),""),IF(B526="Cluster",IF(Entity!$B$14&lt;2,"",INDEX($E$3:$E$553,IF(A526-1=Entity!$B$14,2,A526+1))),""))</f>
        <v/>
      </c>
      <c r="I526">
        <f>IF(B526="Pillar",Entity!$B$14&amp;" cluster pages",IF(B526="Cluster",(COUNTIF($C$3:$C$553,SUBSTITUTE(SUBSTITUTE(C526,"?","~?"),"*","~*"))-1)&amp;" supporting pages",""))</f>
        <v/>
      </c>
      <c r="J526">
        <f>IF(B526="Pillar","Informational",IF(OR(B526="Cluster",B526="Supporting"),INDEX(Attributes!$D$3:$D$52,Q526)&amp;"",""))</f>
        <v/>
      </c>
      <c r="K526">
        <f>IF(B526="","",IF(B526="Pillar","Pillar guide (entity hub)",IF(B526="Cluster","Hub page for this attribute",IF(INDEX(Values!$C$3:$C$502,P526)="Yes","Entity page (profile of the sub-entity)",IFERROR(INDEX(Lists!$B$3:$B$6,MATCH(J526,Lists!$A$3:$A$6,0)),"Article")))))</f>
        <v/>
      </c>
      <c r="L526">
        <f>IF(B526="Pillar",Entity!$B$6&amp;"",IF(B526="Cluster",INDEX(Attributes!$I$3:$I$52,Q526)&amp;"",IF(B526="Supporting",INDEX(Values!$F$3:$F$502,P526)&amp;"","")))</f>
        <v/>
      </c>
      <c r="M526">
        <f>IF(B526="","",IF(L526&lt;&gt;"","Covered","Gap"))</f>
        <v/>
      </c>
      <c r="N526">
        <f>IF(B526="Pillar",SUMIFS(Values!$E$3:$E$502,Values!$I$3:$I$502,"Yes"),IF(B526="Cluster",SUMIFS(Values!$E$3:$E$502,Values!$A$3:$A$502,SUBSTITUTE(SUBSTITUTE(C526,"?","~?"),"*","~*"),Values!$I$3:$I$502,"Yes"),IF(B526="Supporting",N(INDEX(Values!$E$3:$E$502,P526)),"")))</f>
        <v/>
      </c>
      <c r="O526">
        <f>IF(B526="","",IF(B526="Pillar",100,IF(B526="Cluster",N(INDEX(Attributes!$E$3:$E$52,Q526))*25+IF(M526="Gap",10,0),N(INDEX(Attributes!$E$3:$E$52,Q526))*20+MIN(20,ROUND(LOG10(N(N526)+1)*5,0))+IF(M526="Gap",10,0)+IF(INDEX(Values!$D$3:$D$502,P526)="Yes",5,0))))</f>
        <v/>
      </c>
      <c r="P526">
        <f>IF(B526="Supporting",MATCH(A526-1-Entity!$B$14,Values!$J$3:$J$502,0),"")</f>
        <v/>
      </c>
      <c r="Q526">
        <f>IF(C526="","",MATCH(C526,Attributes!$A$3:$A$52,0))</f>
        <v/>
      </c>
      <c r="R526">
        <f>IF(B526="Pillar",SUBSTITUTE(Entity!$B$7,"{entity}",LOWER(Entity!$B$3)),IF(B526="Cluster",IF(INDEX(Attributes!$G$3:$G$52,Q526)&lt;&gt;"",INDEX(Attributes!$G$3:$G$52,Q526),SUBSTITUTE(SUBSTITUTE(Entity!$B$8,"{entity}",LOWER(Entity!$B$3)),"{attribute}",LOWER(C526))),IF(B526="Supporting",SUBSTITUTE(SUBSTITUTE(SUBSTITUTE(IF(INDEX(Attributes!$H$3:$H$52,Q526)&lt;&gt;"",INDEX(Attributes!$H$3:$H$52,Q526),Entity!$B$9),"{entity}",LOWER(Entity!$B$3)),"{value}",D526),"{attribute}",LOWER(C526)),"")))</f>
        <v/>
      </c>
    </row>
    <row r="527">
      <c r="A527">
        <f>ROW()-2</f>
        <v/>
      </c>
      <c r="B527">
        <f>IF(A527=1,"Pillar",IF(A527&lt;=1+Entity!$B$14,"Cluster",IF(A527&lt;=1+Entity!$B$14+Entity!$B$15,"Supporting","")))</f>
        <v/>
      </c>
      <c r="C527">
        <f>IF(B527="Cluster",INDEX(Attributes!$A$3:$A$52,MATCH(A527-1,Attributes!$P$3:$P$52,0)),IF(B527="Supporting",INDEX(Values!$A$3:$A$502,P527),""))</f>
        <v/>
      </c>
      <c r="D527">
        <f>IF(B527="Supporting",INDEX(Values!$B$3:$B$502,P527),"")</f>
        <v/>
      </c>
      <c r="E527">
        <f>IF(R527="","",UPPER(LEFT(R527,1))&amp;MID(R527,2,500))</f>
        <v/>
      </c>
      <c r="F527">
        <f>IF(E527="","",LOWER(SUBSTITUTE(SUBSTITUTE(SUBSTITUTE(SUBSTITUTE(SUBSTITUTE(SUBSTITUTE(SUBSTITUTE(TRIM(E527),":",""),",",""),"'",""),"&amp;","and"),"£",""),"  "," ")," ","-")))</f>
        <v/>
      </c>
      <c r="G527">
        <f>IF(B527="Cluster",$E$3,IF(B527="Supporting",INDEX($E$3:$E$553,MATCH(C527,$C$3:$C$553,0)),""))</f>
        <v/>
      </c>
      <c r="H527">
        <f>IF(B527="Supporting",IFERROR(INDEX($E$3:$E$553,1+Entity!$B$14+INDEX(Values!$O$3:$O$502,P527)),""),IF(B527="Cluster",IF(Entity!$B$14&lt;2,"",INDEX($E$3:$E$553,IF(A527-1=Entity!$B$14,2,A527+1))),""))</f>
        <v/>
      </c>
      <c r="I527">
        <f>IF(B527="Pillar",Entity!$B$14&amp;" cluster pages",IF(B527="Cluster",(COUNTIF($C$3:$C$553,SUBSTITUTE(SUBSTITUTE(C527,"?","~?"),"*","~*"))-1)&amp;" supporting pages",""))</f>
        <v/>
      </c>
      <c r="J527">
        <f>IF(B527="Pillar","Informational",IF(OR(B527="Cluster",B527="Supporting"),INDEX(Attributes!$D$3:$D$52,Q527)&amp;"",""))</f>
        <v/>
      </c>
      <c r="K527">
        <f>IF(B527="","",IF(B527="Pillar","Pillar guide (entity hub)",IF(B527="Cluster","Hub page for this attribute",IF(INDEX(Values!$C$3:$C$502,P527)="Yes","Entity page (profile of the sub-entity)",IFERROR(INDEX(Lists!$B$3:$B$6,MATCH(J527,Lists!$A$3:$A$6,0)),"Article")))))</f>
        <v/>
      </c>
      <c r="L527">
        <f>IF(B527="Pillar",Entity!$B$6&amp;"",IF(B527="Cluster",INDEX(Attributes!$I$3:$I$52,Q527)&amp;"",IF(B527="Supporting",INDEX(Values!$F$3:$F$502,P527)&amp;"","")))</f>
        <v/>
      </c>
      <c r="M527">
        <f>IF(B527="","",IF(L527&lt;&gt;"","Covered","Gap"))</f>
        <v/>
      </c>
      <c r="N527">
        <f>IF(B527="Pillar",SUMIFS(Values!$E$3:$E$502,Values!$I$3:$I$502,"Yes"),IF(B527="Cluster",SUMIFS(Values!$E$3:$E$502,Values!$A$3:$A$502,SUBSTITUTE(SUBSTITUTE(C527,"?","~?"),"*","~*"),Values!$I$3:$I$502,"Yes"),IF(B527="Supporting",N(INDEX(Values!$E$3:$E$502,P527)),"")))</f>
        <v/>
      </c>
      <c r="O527">
        <f>IF(B527="","",IF(B527="Pillar",100,IF(B527="Cluster",N(INDEX(Attributes!$E$3:$E$52,Q527))*25+IF(M527="Gap",10,0),N(INDEX(Attributes!$E$3:$E$52,Q527))*20+MIN(20,ROUND(LOG10(N(N527)+1)*5,0))+IF(M527="Gap",10,0)+IF(INDEX(Values!$D$3:$D$502,P527)="Yes",5,0))))</f>
        <v/>
      </c>
      <c r="P527">
        <f>IF(B527="Supporting",MATCH(A527-1-Entity!$B$14,Values!$J$3:$J$502,0),"")</f>
        <v/>
      </c>
      <c r="Q527">
        <f>IF(C527="","",MATCH(C527,Attributes!$A$3:$A$52,0))</f>
        <v/>
      </c>
      <c r="R527">
        <f>IF(B527="Pillar",SUBSTITUTE(Entity!$B$7,"{entity}",LOWER(Entity!$B$3)),IF(B527="Cluster",IF(INDEX(Attributes!$G$3:$G$52,Q527)&lt;&gt;"",INDEX(Attributes!$G$3:$G$52,Q527),SUBSTITUTE(SUBSTITUTE(Entity!$B$8,"{entity}",LOWER(Entity!$B$3)),"{attribute}",LOWER(C527))),IF(B527="Supporting",SUBSTITUTE(SUBSTITUTE(SUBSTITUTE(IF(INDEX(Attributes!$H$3:$H$52,Q527)&lt;&gt;"",INDEX(Attributes!$H$3:$H$52,Q527),Entity!$B$9),"{entity}",LOWER(Entity!$B$3)),"{value}",D527),"{attribute}",LOWER(C527)),"")))</f>
        <v/>
      </c>
    </row>
    <row r="528">
      <c r="A528">
        <f>ROW()-2</f>
        <v/>
      </c>
      <c r="B528">
        <f>IF(A528=1,"Pillar",IF(A528&lt;=1+Entity!$B$14,"Cluster",IF(A528&lt;=1+Entity!$B$14+Entity!$B$15,"Supporting","")))</f>
        <v/>
      </c>
      <c r="C528">
        <f>IF(B528="Cluster",INDEX(Attributes!$A$3:$A$52,MATCH(A528-1,Attributes!$P$3:$P$52,0)),IF(B528="Supporting",INDEX(Values!$A$3:$A$502,P528),""))</f>
        <v/>
      </c>
      <c r="D528">
        <f>IF(B528="Supporting",INDEX(Values!$B$3:$B$502,P528),"")</f>
        <v/>
      </c>
      <c r="E528">
        <f>IF(R528="","",UPPER(LEFT(R528,1))&amp;MID(R528,2,500))</f>
        <v/>
      </c>
      <c r="F528">
        <f>IF(E528="","",LOWER(SUBSTITUTE(SUBSTITUTE(SUBSTITUTE(SUBSTITUTE(SUBSTITUTE(SUBSTITUTE(SUBSTITUTE(TRIM(E528),":",""),",",""),"'",""),"&amp;","and"),"£",""),"  "," ")," ","-")))</f>
        <v/>
      </c>
      <c r="G528">
        <f>IF(B528="Cluster",$E$3,IF(B528="Supporting",INDEX($E$3:$E$553,MATCH(C528,$C$3:$C$553,0)),""))</f>
        <v/>
      </c>
      <c r="H528">
        <f>IF(B528="Supporting",IFERROR(INDEX($E$3:$E$553,1+Entity!$B$14+INDEX(Values!$O$3:$O$502,P528)),""),IF(B528="Cluster",IF(Entity!$B$14&lt;2,"",INDEX($E$3:$E$553,IF(A528-1=Entity!$B$14,2,A528+1))),""))</f>
        <v/>
      </c>
      <c r="I528">
        <f>IF(B528="Pillar",Entity!$B$14&amp;" cluster pages",IF(B528="Cluster",(COUNTIF($C$3:$C$553,SUBSTITUTE(SUBSTITUTE(C528,"?","~?"),"*","~*"))-1)&amp;" supporting pages",""))</f>
        <v/>
      </c>
      <c r="J528">
        <f>IF(B528="Pillar","Informational",IF(OR(B528="Cluster",B528="Supporting"),INDEX(Attributes!$D$3:$D$52,Q528)&amp;"",""))</f>
        <v/>
      </c>
      <c r="K528">
        <f>IF(B528="","",IF(B528="Pillar","Pillar guide (entity hub)",IF(B528="Cluster","Hub page for this attribute",IF(INDEX(Values!$C$3:$C$502,P528)="Yes","Entity page (profile of the sub-entity)",IFERROR(INDEX(Lists!$B$3:$B$6,MATCH(J528,Lists!$A$3:$A$6,0)),"Article")))))</f>
        <v/>
      </c>
      <c r="L528">
        <f>IF(B528="Pillar",Entity!$B$6&amp;"",IF(B528="Cluster",INDEX(Attributes!$I$3:$I$52,Q528)&amp;"",IF(B528="Supporting",INDEX(Values!$F$3:$F$502,P528)&amp;"","")))</f>
        <v/>
      </c>
      <c r="M528">
        <f>IF(B528="","",IF(L528&lt;&gt;"","Covered","Gap"))</f>
        <v/>
      </c>
      <c r="N528">
        <f>IF(B528="Pillar",SUMIFS(Values!$E$3:$E$502,Values!$I$3:$I$502,"Yes"),IF(B528="Cluster",SUMIFS(Values!$E$3:$E$502,Values!$A$3:$A$502,SUBSTITUTE(SUBSTITUTE(C528,"?","~?"),"*","~*"),Values!$I$3:$I$502,"Yes"),IF(B528="Supporting",N(INDEX(Values!$E$3:$E$502,P528)),"")))</f>
        <v/>
      </c>
      <c r="O528">
        <f>IF(B528="","",IF(B528="Pillar",100,IF(B528="Cluster",N(INDEX(Attributes!$E$3:$E$52,Q528))*25+IF(M528="Gap",10,0),N(INDEX(Attributes!$E$3:$E$52,Q528))*20+MIN(20,ROUND(LOG10(N(N528)+1)*5,0))+IF(M528="Gap",10,0)+IF(INDEX(Values!$D$3:$D$502,P528)="Yes",5,0))))</f>
        <v/>
      </c>
      <c r="P528">
        <f>IF(B528="Supporting",MATCH(A528-1-Entity!$B$14,Values!$J$3:$J$502,0),"")</f>
        <v/>
      </c>
      <c r="Q528">
        <f>IF(C528="","",MATCH(C528,Attributes!$A$3:$A$52,0))</f>
        <v/>
      </c>
      <c r="R528">
        <f>IF(B528="Pillar",SUBSTITUTE(Entity!$B$7,"{entity}",LOWER(Entity!$B$3)),IF(B528="Cluster",IF(INDEX(Attributes!$G$3:$G$52,Q528)&lt;&gt;"",INDEX(Attributes!$G$3:$G$52,Q528),SUBSTITUTE(SUBSTITUTE(Entity!$B$8,"{entity}",LOWER(Entity!$B$3)),"{attribute}",LOWER(C528))),IF(B528="Supporting",SUBSTITUTE(SUBSTITUTE(SUBSTITUTE(IF(INDEX(Attributes!$H$3:$H$52,Q528)&lt;&gt;"",INDEX(Attributes!$H$3:$H$52,Q528),Entity!$B$9),"{entity}",LOWER(Entity!$B$3)),"{value}",D528),"{attribute}",LOWER(C528)),"")))</f>
        <v/>
      </c>
    </row>
    <row r="529">
      <c r="A529">
        <f>ROW()-2</f>
        <v/>
      </c>
      <c r="B529">
        <f>IF(A529=1,"Pillar",IF(A529&lt;=1+Entity!$B$14,"Cluster",IF(A529&lt;=1+Entity!$B$14+Entity!$B$15,"Supporting","")))</f>
        <v/>
      </c>
      <c r="C529">
        <f>IF(B529="Cluster",INDEX(Attributes!$A$3:$A$52,MATCH(A529-1,Attributes!$P$3:$P$52,0)),IF(B529="Supporting",INDEX(Values!$A$3:$A$502,P529),""))</f>
        <v/>
      </c>
      <c r="D529">
        <f>IF(B529="Supporting",INDEX(Values!$B$3:$B$502,P529),"")</f>
        <v/>
      </c>
      <c r="E529">
        <f>IF(R529="","",UPPER(LEFT(R529,1))&amp;MID(R529,2,500))</f>
        <v/>
      </c>
      <c r="F529">
        <f>IF(E529="","",LOWER(SUBSTITUTE(SUBSTITUTE(SUBSTITUTE(SUBSTITUTE(SUBSTITUTE(SUBSTITUTE(SUBSTITUTE(TRIM(E529),":",""),",",""),"'",""),"&amp;","and"),"£",""),"  "," ")," ","-")))</f>
        <v/>
      </c>
      <c r="G529">
        <f>IF(B529="Cluster",$E$3,IF(B529="Supporting",INDEX($E$3:$E$553,MATCH(C529,$C$3:$C$553,0)),""))</f>
        <v/>
      </c>
      <c r="H529">
        <f>IF(B529="Supporting",IFERROR(INDEX($E$3:$E$553,1+Entity!$B$14+INDEX(Values!$O$3:$O$502,P529)),""),IF(B529="Cluster",IF(Entity!$B$14&lt;2,"",INDEX($E$3:$E$553,IF(A529-1=Entity!$B$14,2,A529+1))),""))</f>
        <v/>
      </c>
      <c r="I529">
        <f>IF(B529="Pillar",Entity!$B$14&amp;" cluster pages",IF(B529="Cluster",(COUNTIF($C$3:$C$553,SUBSTITUTE(SUBSTITUTE(C529,"?","~?"),"*","~*"))-1)&amp;" supporting pages",""))</f>
        <v/>
      </c>
      <c r="J529">
        <f>IF(B529="Pillar","Informational",IF(OR(B529="Cluster",B529="Supporting"),INDEX(Attributes!$D$3:$D$52,Q529)&amp;"",""))</f>
        <v/>
      </c>
      <c r="K529">
        <f>IF(B529="","",IF(B529="Pillar","Pillar guide (entity hub)",IF(B529="Cluster","Hub page for this attribute",IF(INDEX(Values!$C$3:$C$502,P529)="Yes","Entity page (profile of the sub-entity)",IFERROR(INDEX(Lists!$B$3:$B$6,MATCH(J529,Lists!$A$3:$A$6,0)),"Article")))))</f>
        <v/>
      </c>
      <c r="L529">
        <f>IF(B529="Pillar",Entity!$B$6&amp;"",IF(B529="Cluster",INDEX(Attributes!$I$3:$I$52,Q529)&amp;"",IF(B529="Supporting",INDEX(Values!$F$3:$F$502,P529)&amp;"","")))</f>
        <v/>
      </c>
      <c r="M529">
        <f>IF(B529="","",IF(L529&lt;&gt;"","Covered","Gap"))</f>
        <v/>
      </c>
      <c r="N529">
        <f>IF(B529="Pillar",SUMIFS(Values!$E$3:$E$502,Values!$I$3:$I$502,"Yes"),IF(B529="Cluster",SUMIFS(Values!$E$3:$E$502,Values!$A$3:$A$502,SUBSTITUTE(SUBSTITUTE(C529,"?","~?"),"*","~*"),Values!$I$3:$I$502,"Yes"),IF(B529="Supporting",N(INDEX(Values!$E$3:$E$502,P529)),"")))</f>
        <v/>
      </c>
      <c r="O529">
        <f>IF(B529="","",IF(B529="Pillar",100,IF(B529="Cluster",N(INDEX(Attributes!$E$3:$E$52,Q529))*25+IF(M529="Gap",10,0),N(INDEX(Attributes!$E$3:$E$52,Q529))*20+MIN(20,ROUND(LOG10(N(N529)+1)*5,0))+IF(M529="Gap",10,0)+IF(INDEX(Values!$D$3:$D$502,P529)="Yes",5,0))))</f>
        <v/>
      </c>
      <c r="P529">
        <f>IF(B529="Supporting",MATCH(A529-1-Entity!$B$14,Values!$J$3:$J$502,0),"")</f>
        <v/>
      </c>
      <c r="Q529">
        <f>IF(C529="","",MATCH(C529,Attributes!$A$3:$A$52,0))</f>
        <v/>
      </c>
      <c r="R529">
        <f>IF(B529="Pillar",SUBSTITUTE(Entity!$B$7,"{entity}",LOWER(Entity!$B$3)),IF(B529="Cluster",IF(INDEX(Attributes!$G$3:$G$52,Q529)&lt;&gt;"",INDEX(Attributes!$G$3:$G$52,Q529),SUBSTITUTE(SUBSTITUTE(Entity!$B$8,"{entity}",LOWER(Entity!$B$3)),"{attribute}",LOWER(C529))),IF(B529="Supporting",SUBSTITUTE(SUBSTITUTE(SUBSTITUTE(IF(INDEX(Attributes!$H$3:$H$52,Q529)&lt;&gt;"",INDEX(Attributes!$H$3:$H$52,Q529),Entity!$B$9),"{entity}",LOWER(Entity!$B$3)),"{value}",D529),"{attribute}",LOWER(C529)),"")))</f>
        <v/>
      </c>
    </row>
    <row r="530">
      <c r="A530">
        <f>ROW()-2</f>
        <v/>
      </c>
      <c r="B530">
        <f>IF(A530=1,"Pillar",IF(A530&lt;=1+Entity!$B$14,"Cluster",IF(A530&lt;=1+Entity!$B$14+Entity!$B$15,"Supporting","")))</f>
        <v/>
      </c>
      <c r="C530">
        <f>IF(B530="Cluster",INDEX(Attributes!$A$3:$A$52,MATCH(A530-1,Attributes!$P$3:$P$52,0)),IF(B530="Supporting",INDEX(Values!$A$3:$A$502,P530),""))</f>
        <v/>
      </c>
      <c r="D530">
        <f>IF(B530="Supporting",INDEX(Values!$B$3:$B$502,P530),"")</f>
        <v/>
      </c>
      <c r="E530">
        <f>IF(R530="","",UPPER(LEFT(R530,1))&amp;MID(R530,2,500))</f>
        <v/>
      </c>
      <c r="F530">
        <f>IF(E530="","",LOWER(SUBSTITUTE(SUBSTITUTE(SUBSTITUTE(SUBSTITUTE(SUBSTITUTE(SUBSTITUTE(SUBSTITUTE(TRIM(E530),":",""),",",""),"'",""),"&amp;","and"),"£",""),"  "," ")," ","-")))</f>
        <v/>
      </c>
      <c r="G530">
        <f>IF(B530="Cluster",$E$3,IF(B530="Supporting",INDEX($E$3:$E$553,MATCH(C530,$C$3:$C$553,0)),""))</f>
        <v/>
      </c>
      <c r="H530">
        <f>IF(B530="Supporting",IFERROR(INDEX($E$3:$E$553,1+Entity!$B$14+INDEX(Values!$O$3:$O$502,P530)),""),IF(B530="Cluster",IF(Entity!$B$14&lt;2,"",INDEX($E$3:$E$553,IF(A530-1=Entity!$B$14,2,A530+1))),""))</f>
        <v/>
      </c>
      <c r="I530">
        <f>IF(B530="Pillar",Entity!$B$14&amp;" cluster pages",IF(B530="Cluster",(COUNTIF($C$3:$C$553,SUBSTITUTE(SUBSTITUTE(C530,"?","~?"),"*","~*"))-1)&amp;" supporting pages",""))</f>
        <v/>
      </c>
      <c r="J530">
        <f>IF(B530="Pillar","Informational",IF(OR(B530="Cluster",B530="Supporting"),INDEX(Attributes!$D$3:$D$52,Q530)&amp;"",""))</f>
        <v/>
      </c>
      <c r="K530">
        <f>IF(B530="","",IF(B530="Pillar","Pillar guide (entity hub)",IF(B530="Cluster","Hub page for this attribute",IF(INDEX(Values!$C$3:$C$502,P530)="Yes","Entity page (profile of the sub-entity)",IFERROR(INDEX(Lists!$B$3:$B$6,MATCH(J530,Lists!$A$3:$A$6,0)),"Article")))))</f>
        <v/>
      </c>
      <c r="L530">
        <f>IF(B530="Pillar",Entity!$B$6&amp;"",IF(B530="Cluster",INDEX(Attributes!$I$3:$I$52,Q530)&amp;"",IF(B530="Supporting",INDEX(Values!$F$3:$F$502,P530)&amp;"","")))</f>
        <v/>
      </c>
      <c r="M530">
        <f>IF(B530="","",IF(L530&lt;&gt;"","Covered","Gap"))</f>
        <v/>
      </c>
      <c r="N530">
        <f>IF(B530="Pillar",SUMIFS(Values!$E$3:$E$502,Values!$I$3:$I$502,"Yes"),IF(B530="Cluster",SUMIFS(Values!$E$3:$E$502,Values!$A$3:$A$502,SUBSTITUTE(SUBSTITUTE(C530,"?","~?"),"*","~*"),Values!$I$3:$I$502,"Yes"),IF(B530="Supporting",N(INDEX(Values!$E$3:$E$502,P530)),"")))</f>
        <v/>
      </c>
      <c r="O530">
        <f>IF(B530="","",IF(B530="Pillar",100,IF(B530="Cluster",N(INDEX(Attributes!$E$3:$E$52,Q530))*25+IF(M530="Gap",10,0),N(INDEX(Attributes!$E$3:$E$52,Q530))*20+MIN(20,ROUND(LOG10(N(N530)+1)*5,0))+IF(M530="Gap",10,0)+IF(INDEX(Values!$D$3:$D$502,P530)="Yes",5,0))))</f>
        <v/>
      </c>
      <c r="P530">
        <f>IF(B530="Supporting",MATCH(A530-1-Entity!$B$14,Values!$J$3:$J$502,0),"")</f>
        <v/>
      </c>
      <c r="Q530">
        <f>IF(C530="","",MATCH(C530,Attributes!$A$3:$A$52,0))</f>
        <v/>
      </c>
      <c r="R530">
        <f>IF(B530="Pillar",SUBSTITUTE(Entity!$B$7,"{entity}",LOWER(Entity!$B$3)),IF(B530="Cluster",IF(INDEX(Attributes!$G$3:$G$52,Q530)&lt;&gt;"",INDEX(Attributes!$G$3:$G$52,Q530),SUBSTITUTE(SUBSTITUTE(Entity!$B$8,"{entity}",LOWER(Entity!$B$3)),"{attribute}",LOWER(C530))),IF(B530="Supporting",SUBSTITUTE(SUBSTITUTE(SUBSTITUTE(IF(INDEX(Attributes!$H$3:$H$52,Q530)&lt;&gt;"",INDEX(Attributes!$H$3:$H$52,Q530),Entity!$B$9),"{entity}",LOWER(Entity!$B$3)),"{value}",D530),"{attribute}",LOWER(C530)),"")))</f>
        <v/>
      </c>
    </row>
    <row r="531">
      <c r="A531">
        <f>ROW()-2</f>
        <v/>
      </c>
      <c r="B531">
        <f>IF(A531=1,"Pillar",IF(A531&lt;=1+Entity!$B$14,"Cluster",IF(A531&lt;=1+Entity!$B$14+Entity!$B$15,"Supporting","")))</f>
        <v/>
      </c>
      <c r="C531">
        <f>IF(B531="Cluster",INDEX(Attributes!$A$3:$A$52,MATCH(A531-1,Attributes!$P$3:$P$52,0)),IF(B531="Supporting",INDEX(Values!$A$3:$A$502,P531),""))</f>
        <v/>
      </c>
      <c r="D531">
        <f>IF(B531="Supporting",INDEX(Values!$B$3:$B$502,P531),"")</f>
        <v/>
      </c>
      <c r="E531">
        <f>IF(R531="","",UPPER(LEFT(R531,1))&amp;MID(R531,2,500))</f>
        <v/>
      </c>
      <c r="F531">
        <f>IF(E531="","",LOWER(SUBSTITUTE(SUBSTITUTE(SUBSTITUTE(SUBSTITUTE(SUBSTITUTE(SUBSTITUTE(SUBSTITUTE(TRIM(E531),":",""),",",""),"'",""),"&amp;","and"),"£",""),"  "," ")," ","-")))</f>
        <v/>
      </c>
      <c r="G531">
        <f>IF(B531="Cluster",$E$3,IF(B531="Supporting",INDEX($E$3:$E$553,MATCH(C531,$C$3:$C$553,0)),""))</f>
        <v/>
      </c>
      <c r="H531">
        <f>IF(B531="Supporting",IFERROR(INDEX($E$3:$E$553,1+Entity!$B$14+INDEX(Values!$O$3:$O$502,P531)),""),IF(B531="Cluster",IF(Entity!$B$14&lt;2,"",INDEX($E$3:$E$553,IF(A531-1=Entity!$B$14,2,A531+1))),""))</f>
        <v/>
      </c>
      <c r="I531">
        <f>IF(B531="Pillar",Entity!$B$14&amp;" cluster pages",IF(B531="Cluster",(COUNTIF($C$3:$C$553,SUBSTITUTE(SUBSTITUTE(C531,"?","~?"),"*","~*"))-1)&amp;" supporting pages",""))</f>
        <v/>
      </c>
      <c r="J531">
        <f>IF(B531="Pillar","Informational",IF(OR(B531="Cluster",B531="Supporting"),INDEX(Attributes!$D$3:$D$52,Q531)&amp;"",""))</f>
        <v/>
      </c>
      <c r="K531">
        <f>IF(B531="","",IF(B531="Pillar","Pillar guide (entity hub)",IF(B531="Cluster","Hub page for this attribute",IF(INDEX(Values!$C$3:$C$502,P531)="Yes","Entity page (profile of the sub-entity)",IFERROR(INDEX(Lists!$B$3:$B$6,MATCH(J531,Lists!$A$3:$A$6,0)),"Article")))))</f>
        <v/>
      </c>
      <c r="L531">
        <f>IF(B531="Pillar",Entity!$B$6&amp;"",IF(B531="Cluster",INDEX(Attributes!$I$3:$I$52,Q531)&amp;"",IF(B531="Supporting",INDEX(Values!$F$3:$F$502,P531)&amp;"","")))</f>
        <v/>
      </c>
      <c r="M531">
        <f>IF(B531="","",IF(L531&lt;&gt;"","Covered","Gap"))</f>
        <v/>
      </c>
      <c r="N531">
        <f>IF(B531="Pillar",SUMIFS(Values!$E$3:$E$502,Values!$I$3:$I$502,"Yes"),IF(B531="Cluster",SUMIFS(Values!$E$3:$E$502,Values!$A$3:$A$502,SUBSTITUTE(SUBSTITUTE(C531,"?","~?"),"*","~*"),Values!$I$3:$I$502,"Yes"),IF(B531="Supporting",N(INDEX(Values!$E$3:$E$502,P531)),"")))</f>
        <v/>
      </c>
      <c r="O531">
        <f>IF(B531="","",IF(B531="Pillar",100,IF(B531="Cluster",N(INDEX(Attributes!$E$3:$E$52,Q531))*25+IF(M531="Gap",10,0),N(INDEX(Attributes!$E$3:$E$52,Q531))*20+MIN(20,ROUND(LOG10(N(N531)+1)*5,0))+IF(M531="Gap",10,0)+IF(INDEX(Values!$D$3:$D$502,P531)="Yes",5,0))))</f>
        <v/>
      </c>
      <c r="P531">
        <f>IF(B531="Supporting",MATCH(A531-1-Entity!$B$14,Values!$J$3:$J$502,0),"")</f>
        <v/>
      </c>
      <c r="Q531">
        <f>IF(C531="","",MATCH(C531,Attributes!$A$3:$A$52,0))</f>
        <v/>
      </c>
      <c r="R531">
        <f>IF(B531="Pillar",SUBSTITUTE(Entity!$B$7,"{entity}",LOWER(Entity!$B$3)),IF(B531="Cluster",IF(INDEX(Attributes!$G$3:$G$52,Q531)&lt;&gt;"",INDEX(Attributes!$G$3:$G$52,Q531),SUBSTITUTE(SUBSTITUTE(Entity!$B$8,"{entity}",LOWER(Entity!$B$3)),"{attribute}",LOWER(C531))),IF(B531="Supporting",SUBSTITUTE(SUBSTITUTE(SUBSTITUTE(IF(INDEX(Attributes!$H$3:$H$52,Q531)&lt;&gt;"",INDEX(Attributes!$H$3:$H$52,Q531),Entity!$B$9),"{entity}",LOWER(Entity!$B$3)),"{value}",D531),"{attribute}",LOWER(C531)),"")))</f>
        <v/>
      </c>
    </row>
    <row r="532">
      <c r="A532">
        <f>ROW()-2</f>
        <v/>
      </c>
      <c r="B532">
        <f>IF(A532=1,"Pillar",IF(A532&lt;=1+Entity!$B$14,"Cluster",IF(A532&lt;=1+Entity!$B$14+Entity!$B$15,"Supporting","")))</f>
        <v/>
      </c>
      <c r="C532">
        <f>IF(B532="Cluster",INDEX(Attributes!$A$3:$A$52,MATCH(A532-1,Attributes!$P$3:$P$52,0)),IF(B532="Supporting",INDEX(Values!$A$3:$A$502,P532),""))</f>
        <v/>
      </c>
      <c r="D532">
        <f>IF(B532="Supporting",INDEX(Values!$B$3:$B$502,P532),"")</f>
        <v/>
      </c>
      <c r="E532">
        <f>IF(R532="","",UPPER(LEFT(R532,1))&amp;MID(R532,2,500))</f>
        <v/>
      </c>
      <c r="F532">
        <f>IF(E532="","",LOWER(SUBSTITUTE(SUBSTITUTE(SUBSTITUTE(SUBSTITUTE(SUBSTITUTE(SUBSTITUTE(SUBSTITUTE(TRIM(E532),":",""),",",""),"'",""),"&amp;","and"),"£",""),"  "," ")," ","-")))</f>
        <v/>
      </c>
      <c r="G532">
        <f>IF(B532="Cluster",$E$3,IF(B532="Supporting",INDEX($E$3:$E$553,MATCH(C532,$C$3:$C$553,0)),""))</f>
        <v/>
      </c>
      <c r="H532">
        <f>IF(B532="Supporting",IFERROR(INDEX($E$3:$E$553,1+Entity!$B$14+INDEX(Values!$O$3:$O$502,P532)),""),IF(B532="Cluster",IF(Entity!$B$14&lt;2,"",INDEX($E$3:$E$553,IF(A532-1=Entity!$B$14,2,A532+1))),""))</f>
        <v/>
      </c>
      <c r="I532">
        <f>IF(B532="Pillar",Entity!$B$14&amp;" cluster pages",IF(B532="Cluster",(COUNTIF($C$3:$C$553,SUBSTITUTE(SUBSTITUTE(C532,"?","~?"),"*","~*"))-1)&amp;" supporting pages",""))</f>
        <v/>
      </c>
      <c r="J532">
        <f>IF(B532="Pillar","Informational",IF(OR(B532="Cluster",B532="Supporting"),INDEX(Attributes!$D$3:$D$52,Q532)&amp;"",""))</f>
        <v/>
      </c>
      <c r="K532">
        <f>IF(B532="","",IF(B532="Pillar","Pillar guide (entity hub)",IF(B532="Cluster","Hub page for this attribute",IF(INDEX(Values!$C$3:$C$502,P532)="Yes","Entity page (profile of the sub-entity)",IFERROR(INDEX(Lists!$B$3:$B$6,MATCH(J532,Lists!$A$3:$A$6,0)),"Article")))))</f>
        <v/>
      </c>
      <c r="L532">
        <f>IF(B532="Pillar",Entity!$B$6&amp;"",IF(B532="Cluster",INDEX(Attributes!$I$3:$I$52,Q532)&amp;"",IF(B532="Supporting",INDEX(Values!$F$3:$F$502,P532)&amp;"","")))</f>
        <v/>
      </c>
      <c r="M532">
        <f>IF(B532="","",IF(L532&lt;&gt;"","Covered","Gap"))</f>
        <v/>
      </c>
      <c r="N532">
        <f>IF(B532="Pillar",SUMIFS(Values!$E$3:$E$502,Values!$I$3:$I$502,"Yes"),IF(B532="Cluster",SUMIFS(Values!$E$3:$E$502,Values!$A$3:$A$502,SUBSTITUTE(SUBSTITUTE(C532,"?","~?"),"*","~*"),Values!$I$3:$I$502,"Yes"),IF(B532="Supporting",N(INDEX(Values!$E$3:$E$502,P532)),"")))</f>
        <v/>
      </c>
      <c r="O532">
        <f>IF(B532="","",IF(B532="Pillar",100,IF(B532="Cluster",N(INDEX(Attributes!$E$3:$E$52,Q532))*25+IF(M532="Gap",10,0),N(INDEX(Attributes!$E$3:$E$52,Q532))*20+MIN(20,ROUND(LOG10(N(N532)+1)*5,0))+IF(M532="Gap",10,0)+IF(INDEX(Values!$D$3:$D$502,P532)="Yes",5,0))))</f>
        <v/>
      </c>
      <c r="P532">
        <f>IF(B532="Supporting",MATCH(A532-1-Entity!$B$14,Values!$J$3:$J$502,0),"")</f>
        <v/>
      </c>
      <c r="Q532">
        <f>IF(C532="","",MATCH(C532,Attributes!$A$3:$A$52,0))</f>
        <v/>
      </c>
      <c r="R532">
        <f>IF(B532="Pillar",SUBSTITUTE(Entity!$B$7,"{entity}",LOWER(Entity!$B$3)),IF(B532="Cluster",IF(INDEX(Attributes!$G$3:$G$52,Q532)&lt;&gt;"",INDEX(Attributes!$G$3:$G$52,Q532),SUBSTITUTE(SUBSTITUTE(Entity!$B$8,"{entity}",LOWER(Entity!$B$3)),"{attribute}",LOWER(C532))),IF(B532="Supporting",SUBSTITUTE(SUBSTITUTE(SUBSTITUTE(IF(INDEX(Attributes!$H$3:$H$52,Q532)&lt;&gt;"",INDEX(Attributes!$H$3:$H$52,Q532),Entity!$B$9),"{entity}",LOWER(Entity!$B$3)),"{value}",D532),"{attribute}",LOWER(C532)),"")))</f>
        <v/>
      </c>
    </row>
    <row r="533">
      <c r="A533">
        <f>ROW()-2</f>
        <v/>
      </c>
      <c r="B533">
        <f>IF(A533=1,"Pillar",IF(A533&lt;=1+Entity!$B$14,"Cluster",IF(A533&lt;=1+Entity!$B$14+Entity!$B$15,"Supporting","")))</f>
        <v/>
      </c>
      <c r="C533">
        <f>IF(B533="Cluster",INDEX(Attributes!$A$3:$A$52,MATCH(A533-1,Attributes!$P$3:$P$52,0)),IF(B533="Supporting",INDEX(Values!$A$3:$A$502,P533),""))</f>
        <v/>
      </c>
      <c r="D533">
        <f>IF(B533="Supporting",INDEX(Values!$B$3:$B$502,P533),"")</f>
        <v/>
      </c>
      <c r="E533">
        <f>IF(R533="","",UPPER(LEFT(R533,1))&amp;MID(R533,2,500))</f>
        <v/>
      </c>
      <c r="F533">
        <f>IF(E533="","",LOWER(SUBSTITUTE(SUBSTITUTE(SUBSTITUTE(SUBSTITUTE(SUBSTITUTE(SUBSTITUTE(SUBSTITUTE(TRIM(E533),":",""),",",""),"'",""),"&amp;","and"),"£",""),"  "," ")," ","-")))</f>
        <v/>
      </c>
      <c r="G533">
        <f>IF(B533="Cluster",$E$3,IF(B533="Supporting",INDEX($E$3:$E$553,MATCH(C533,$C$3:$C$553,0)),""))</f>
        <v/>
      </c>
      <c r="H533">
        <f>IF(B533="Supporting",IFERROR(INDEX($E$3:$E$553,1+Entity!$B$14+INDEX(Values!$O$3:$O$502,P533)),""),IF(B533="Cluster",IF(Entity!$B$14&lt;2,"",INDEX($E$3:$E$553,IF(A533-1=Entity!$B$14,2,A533+1))),""))</f>
        <v/>
      </c>
      <c r="I533">
        <f>IF(B533="Pillar",Entity!$B$14&amp;" cluster pages",IF(B533="Cluster",(COUNTIF($C$3:$C$553,SUBSTITUTE(SUBSTITUTE(C533,"?","~?"),"*","~*"))-1)&amp;" supporting pages",""))</f>
        <v/>
      </c>
      <c r="J533">
        <f>IF(B533="Pillar","Informational",IF(OR(B533="Cluster",B533="Supporting"),INDEX(Attributes!$D$3:$D$52,Q533)&amp;"",""))</f>
        <v/>
      </c>
      <c r="K533">
        <f>IF(B533="","",IF(B533="Pillar","Pillar guide (entity hub)",IF(B533="Cluster","Hub page for this attribute",IF(INDEX(Values!$C$3:$C$502,P533)="Yes","Entity page (profile of the sub-entity)",IFERROR(INDEX(Lists!$B$3:$B$6,MATCH(J533,Lists!$A$3:$A$6,0)),"Article")))))</f>
        <v/>
      </c>
      <c r="L533">
        <f>IF(B533="Pillar",Entity!$B$6&amp;"",IF(B533="Cluster",INDEX(Attributes!$I$3:$I$52,Q533)&amp;"",IF(B533="Supporting",INDEX(Values!$F$3:$F$502,P533)&amp;"","")))</f>
        <v/>
      </c>
      <c r="M533">
        <f>IF(B533="","",IF(L533&lt;&gt;"","Covered","Gap"))</f>
        <v/>
      </c>
      <c r="N533">
        <f>IF(B533="Pillar",SUMIFS(Values!$E$3:$E$502,Values!$I$3:$I$502,"Yes"),IF(B533="Cluster",SUMIFS(Values!$E$3:$E$502,Values!$A$3:$A$502,SUBSTITUTE(SUBSTITUTE(C533,"?","~?"),"*","~*"),Values!$I$3:$I$502,"Yes"),IF(B533="Supporting",N(INDEX(Values!$E$3:$E$502,P533)),"")))</f>
        <v/>
      </c>
      <c r="O533">
        <f>IF(B533="","",IF(B533="Pillar",100,IF(B533="Cluster",N(INDEX(Attributes!$E$3:$E$52,Q533))*25+IF(M533="Gap",10,0),N(INDEX(Attributes!$E$3:$E$52,Q533))*20+MIN(20,ROUND(LOG10(N(N533)+1)*5,0))+IF(M533="Gap",10,0)+IF(INDEX(Values!$D$3:$D$502,P533)="Yes",5,0))))</f>
        <v/>
      </c>
      <c r="P533">
        <f>IF(B533="Supporting",MATCH(A533-1-Entity!$B$14,Values!$J$3:$J$502,0),"")</f>
        <v/>
      </c>
      <c r="Q533">
        <f>IF(C533="","",MATCH(C533,Attributes!$A$3:$A$52,0))</f>
        <v/>
      </c>
      <c r="R533">
        <f>IF(B533="Pillar",SUBSTITUTE(Entity!$B$7,"{entity}",LOWER(Entity!$B$3)),IF(B533="Cluster",IF(INDEX(Attributes!$G$3:$G$52,Q533)&lt;&gt;"",INDEX(Attributes!$G$3:$G$52,Q533),SUBSTITUTE(SUBSTITUTE(Entity!$B$8,"{entity}",LOWER(Entity!$B$3)),"{attribute}",LOWER(C533))),IF(B533="Supporting",SUBSTITUTE(SUBSTITUTE(SUBSTITUTE(IF(INDEX(Attributes!$H$3:$H$52,Q533)&lt;&gt;"",INDEX(Attributes!$H$3:$H$52,Q533),Entity!$B$9),"{entity}",LOWER(Entity!$B$3)),"{value}",D533),"{attribute}",LOWER(C533)),"")))</f>
        <v/>
      </c>
    </row>
    <row r="534">
      <c r="A534">
        <f>ROW()-2</f>
        <v/>
      </c>
      <c r="B534">
        <f>IF(A534=1,"Pillar",IF(A534&lt;=1+Entity!$B$14,"Cluster",IF(A534&lt;=1+Entity!$B$14+Entity!$B$15,"Supporting","")))</f>
        <v/>
      </c>
      <c r="C534">
        <f>IF(B534="Cluster",INDEX(Attributes!$A$3:$A$52,MATCH(A534-1,Attributes!$P$3:$P$52,0)),IF(B534="Supporting",INDEX(Values!$A$3:$A$502,P534),""))</f>
        <v/>
      </c>
      <c r="D534">
        <f>IF(B534="Supporting",INDEX(Values!$B$3:$B$502,P534),"")</f>
        <v/>
      </c>
      <c r="E534">
        <f>IF(R534="","",UPPER(LEFT(R534,1))&amp;MID(R534,2,500))</f>
        <v/>
      </c>
      <c r="F534">
        <f>IF(E534="","",LOWER(SUBSTITUTE(SUBSTITUTE(SUBSTITUTE(SUBSTITUTE(SUBSTITUTE(SUBSTITUTE(SUBSTITUTE(TRIM(E534),":",""),",",""),"'",""),"&amp;","and"),"£",""),"  "," ")," ","-")))</f>
        <v/>
      </c>
      <c r="G534">
        <f>IF(B534="Cluster",$E$3,IF(B534="Supporting",INDEX($E$3:$E$553,MATCH(C534,$C$3:$C$553,0)),""))</f>
        <v/>
      </c>
      <c r="H534">
        <f>IF(B534="Supporting",IFERROR(INDEX($E$3:$E$553,1+Entity!$B$14+INDEX(Values!$O$3:$O$502,P534)),""),IF(B534="Cluster",IF(Entity!$B$14&lt;2,"",INDEX($E$3:$E$553,IF(A534-1=Entity!$B$14,2,A534+1))),""))</f>
        <v/>
      </c>
      <c r="I534">
        <f>IF(B534="Pillar",Entity!$B$14&amp;" cluster pages",IF(B534="Cluster",(COUNTIF($C$3:$C$553,SUBSTITUTE(SUBSTITUTE(C534,"?","~?"),"*","~*"))-1)&amp;" supporting pages",""))</f>
        <v/>
      </c>
      <c r="J534">
        <f>IF(B534="Pillar","Informational",IF(OR(B534="Cluster",B534="Supporting"),INDEX(Attributes!$D$3:$D$52,Q534)&amp;"",""))</f>
        <v/>
      </c>
      <c r="K534">
        <f>IF(B534="","",IF(B534="Pillar","Pillar guide (entity hub)",IF(B534="Cluster","Hub page for this attribute",IF(INDEX(Values!$C$3:$C$502,P534)="Yes","Entity page (profile of the sub-entity)",IFERROR(INDEX(Lists!$B$3:$B$6,MATCH(J534,Lists!$A$3:$A$6,0)),"Article")))))</f>
        <v/>
      </c>
      <c r="L534">
        <f>IF(B534="Pillar",Entity!$B$6&amp;"",IF(B534="Cluster",INDEX(Attributes!$I$3:$I$52,Q534)&amp;"",IF(B534="Supporting",INDEX(Values!$F$3:$F$502,P534)&amp;"","")))</f>
        <v/>
      </c>
      <c r="M534">
        <f>IF(B534="","",IF(L534&lt;&gt;"","Covered","Gap"))</f>
        <v/>
      </c>
      <c r="N534">
        <f>IF(B534="Pillar",SUMIFS(Values!$E$3:$E$502,Values!$I$3:$I$502,"Yes"),IF(B534="Cluster",SUMIFS(Values!$E$3:$E$502,Values!$A$3:$A$502,SUBSTITUTE(SUBSTITUTE(C534,"?","~?"),"*","~*"),Values!$I$3:$I$502,"Yes"),IF(B534="Supporting",N(INDEX(Values!$E$3:$E$502,P534)),"")))</f>
        <v/>
      </c>
      <c r="O534">
        <f>IF(B534="","",IF(B534="Pillar",100,IF(B534="Cluster",N(INDEX(Attributes!$E$3:$E$52,Q534))*25+IF(M534="Gap",10,0),N(INDEX(Attributes!$E$3:$E$52,Q534))*20+MIN(20,ROUND(LOG10(N(N534)+1)*5,0))+IF(M534="Gap",10,0)+IF(INDEX(Values!$D$3:$D$502,P534)="Yes",5,0))))</f>
        <v/>
      </c>
      <c r="P534">
        <f>IF(B534="Supporting",MATCH(A534-1-Entity!$B$14,Values!$J$3:$J$502,0),"")</f>
        <v/>
      </c>
      <c r="Q534">
        <f>IF(C534="","",MATCH(C534,Attributes!$A$3:$A$52,0))</f>
        <v/>
      </c>
      <c r="R534">
        <f>IF(B534="Pillar",SUBSTITUTE(Entity!$B$7,"{entity}",LOWER(Entity!$B$3)),IF(B534="Cluster",IF(INDEX(Attributes!$G$3:$G$52,Q534)&lt;&gt;"",INDEX(Attributes!$G$3:$G$52,Q534),SUBSTITUTE(SUBSTITUTE(Entity!$B$8,"{entity}",LOWER(Entity!$B$3)),"{attribute}",LOWER(C534))),IF(B534="Supporting",SUBSTITUTE(SUBSTITUTE(SUBSTITUTE(IF(INDEX(Attributes!$H$3:$H$52,Q534)&lt;&gt;"",INDEX(Attributes!$H$3:$H$52,Q534),Entity!$B$9),"{entity}",LOWER(Entity!$B$3)),"{value}",D534),"{attribute}",LOWER(C534)),"")))</f>
        <v/>
      </c>
    </row>
    <row r="535">
      <c r="A535">
        <f>ROW()-2</f>
        <v/>
      </c>
      <c r="B535">
        <f>IF(A535=1,"Pillar",IF(A535&lt;=1+Entity!$B$14,"Cluster",IF(A535&lt;=1+Entity!$B$14+Entity!$B$15,"Supporting","")))</f>
        <v/>
      </c>
      <c r="C535">
        <f>IF(B535="Cluster",INDEX(Attributes!$A$3:$A$52,MATCH(A535-1,Attributes!$P$3:$P$52,0)),IF(B535="Supporting",INDEX(Values!$A$3:$A$502,P535),""))</f>
        <v/>
      </c>
      <c r="D535">
        <f>IF(B535="Supporting",INDEX(Values!$B$3:$B$502,P535),"")</f>
        <v/>
      </c>
      <c r="E535">
        <f>IF(R535="","",UPPER(LEFT(R535,1))&amp;MID(R535,2,500))</f>
        <v/>
      </c>
      <c r="F535">
        <f>IF(E535="","",LOWER(SUBSTITUTE(SUBSTITUTE(SUBSTITUTE(SUBSTITUTE(SUBSTITUTE(SUBSTITUTE(SUBSTITUTE(TRIM(E535),":",""),",",""),"'",""),"&amp;","and"),"£",""),"  "," ")," ","-")))</f>
        <v/>
      </c>
      <c r="G535">
        <f>IF(B535="Cluster",$E$3,IF(B535="Supporting",INDEX($E$3:$E$553,MATCH(C535,$C$3:$C$553,0)),""))</f>
        <v/>
      </c>
      <c r="H535">
        <f>IF(B535="Supporting",IFERROR(INDEX($E$3:$E$553,1+Entity!$B$14+INDEX(Values!$O$3:$O$502,P535)),""),IF(B535="Cluster",IF(Entity!$B$14&lt;2,"",INDEX($E$3:$E$553,IF(A535-1=Entity!$B$14,2,A535+1))),""))</f>
        <v/>
      </c>
      <c r="I535">
        <f>IF(B535="Pillar",Entity!$B$14&amp;" cluster pages",IF(B535="Cluster",(COUNTIF($C$3:$C$553,SUBSTITUTE(SUBSTITUTE(C535,"?","~?"),"*","~*"))-1)&amp;" supporting pages",""))</f>
        <v/>
      </c>
      <c r="J535">
        <f>IF(B535="Pillar","Informational",IF(OR(B535="Cluster",B535="Supporting"),INDEX(Attributes!$D$3:$D$52,Q535)&amp;"",""))</f>
        <v/>
      </c>
      <c r="K535">
        <f>IF(B535="","",IF(B535="Pillar","Pillar guide (entity hub)",IF(B535="Cluster","Hub page for this attribute",IF(INDEX(Values!$C$3:$C$502,P535)="Yes","Entity page (profile of the sub-entity)",IFERROR(INDEX(Lists!$B$3:$B$6,MATCH(J535,Lists!$A$3:$A$6,0)),"Article")))))</f>
        <v/>
      </c>
      <c r="L535">
        <f>IF(B535="Pillar",Entity!$B$6&amp;"",IF(B535="Cluster",INDEX(Attributes!$I$3:$I$52,Q535)&amp;"",IF(B535="Supporting",INDEX(Values!$F$3:$F$502,P535)&amp;"","")))</f>
        <v/>
      </c>
      <c r="M535">
        <f>IF(B535="","",IF(L535&lt;&gt;"","Covered","Gap"))</f>
        <v/>
      </c>
      <c r="N535">
        <f>IF(B535="Pillar",SUMIFS(Values!$E$3:$E$502,Values!$I$3:$I$502,"Yes"),IF(B535="Cluster",SUMIFS(Values!$E$3:$E$502,Values!$A$3:$A$502,SUBSTITUTE(SUBSTITUTE(C535,"?","~?"),"*","~*"),Values!$I$3:$I$502,"Yes"),IF(B535="Supporting",N(INDEX(Values!$E$3:$E$502,P535)),"")))</f>
        <v/>
      </c>
      <c r="O535">
        <f>IF(B535="","",IF(B535="Pillar",100,IF(B535="Cluster",N(INDEX(Attributes!$E$3:$E$52,Q535))*25+IF(M535="Gap",10,0),N(INDEX(Attributes!$E$3:$E$52,Q535))*20+MIN(20,ROUND(LOG10(N(N535)+1)*5,0))+IF(M535="Gap",10,0)+IF(INDEX(Values!$D$3:$D$502,P535)="Yes",5,0))))</f>
        <v/>
      </c>
      <c r="P535">
        <f>IF(B535="Supporting",MATCH(A535-1-Entity!$B$14,Values!$J$3:$J$502,0),"")</f>
        <v/>
      </c>
      <c r="Q535">
        <f>IF(C535="","",MATCH(C535,Attributes!$A$3:$A$52,0))</f>
        <v/>
      </c>
      <c r="R535">
        <f>IF(B535="Pillar",SUBSTITUTE(Entity!$B$7,"{entity}",LOWER(Entity!$B$3)),IF(B535="Cluster",IF(INDEX(Attributes!$G$3:$G$52,Q535)&lt;&gt;"",INDEX(Attributes!$G$3:$G$52,Q535),SUBSTITUTE(SUBSTITUTE(Entity!$B$8,"{entity}",LOWER(Entity!$B$3)),"{attribute}",LOWER(C535))),IF(B535="Supporting",SUBSTITUTE(SUBSTITUTE(SUBSTITUTE(IF(INDEX(Attributes!$H$3:$H$52,Q535)&lt;&gt;"",INDEX(Attributes!$H$3:$H$52,Q535),Entity!$B$9),"{entity}",LOWER(Entity!$B$3)),"{value}",D535),"{attribute}",LOWER(C535)),"")))</f>
        <v/>
      </c>
    </row>
    <row r="536">
      <c r="A536">
        <f>ROW()-2</f>
        <v/>
      </c>
      <c r="B536">
        <f>IF(A536=1,"Pillar",IF(A536&lt;=1+Entity!$B$14,"Cluster",IF(A536&lt;=1+Entity!$B$14+Entity!$B$15,"Supporting","")))</f>
        <v/>
      </c>
      <c r="C536">
        <f>IF(B536="Cluster",INDEX(Attributes!$A$3:$A$52,MATCH(A536-1,Attributes!$P$3:$P$52,0)),IF(B536="Supporting",INDEX(Values!$A$3:$A$502,P536),""))</f>
        <v/>
      </c>
      <c r="D536">
        <f>IF(B536="Supporting",INDEX(Values!$B$3:$B$502,P536),"")</f>
        <v/>
      </c>
      <c r="E536">
        <f>IF(R536="","",UPPER(LEFT(R536,1))&amp;MID(R536,2,500))</f>
        <v/>
      </c>
      <c r="F536">
        <f>IF(E536="","",LOWER(SUBSTITUTE(SUBSTITUTE(SUBSTITUTE(SUBSTITUTE(SUBSTITUTE(SUBSTITUTE(SUBSTITUTE(TRIM(E536),":",""),",",""),"'",""),"&amp;","and"),"£",""),"  "," ")," ","-")))</f>
        <v/>
      </c>
      <c r="G536">
        <f>IF(B536="Cluster",$E$3,IF(B536="Supporting",INDEX($E$3:$E$553,MATCH(C536,$C$3:$C$553,0)),""))</f>
        <v/>
      </c>
      <c r="H536">
        <f>IF(B536="Supporting",IFERROR(INDEX($E$3:$E$553,1+Entity!$B$14+INDEX(Values!$O$3:$O$502,P536)),""),IF(B536="Cluster",IF(Entity!$B$14&lt;2,"",INDEX($E$3:$E$553,IF(A536-1=Entity!$B$14,2,A536+1))),""))</f>
        <v/>
      </c>
      <c r="I536">
        <f>IF(B536="Pillar",Entity!$B$14&amp;" cluster pages",IF(B536="Cluster",(COUNTIF($C$3:$C$553,SUBSTITUTE(SUBSTITUTE(C536,"?","~?"),"*","~*"))-1)&amp;" supporting pages",""))</f>
        <v/>
      </c>
      <c r="J536">
        <f>IF(B536="Pillar","Informational",IF(OR(B536="Cluster",B536="Supporting"),INDEX(Attributes!$D$3:$D$52,Q536)&amp;"",""))</f>
        <v/>
      </c>
      <c r="K536">
        <f>IF(B536="","",IF(B536="Pillar","Pillar guide (entity hub)",IF(B536="Cluster","Hub page for this attribute",IF(INDEX(Values!$C$3:$C$502,P536)="Yes","Entity page (profile of the sub-entity)",IFERROR(INDEX(Lists!$B$3:$B$6,MATCH(J536,Lists!$A$3:$A$6,0)),"Article")))))</f>
        <v/>
      </c>
      <c r="L536">
        <f>IF(B536="Pillar",Entity!$B$6&amp;"",IF(B536="Cluster",INDEX(Attributes!$I$3:$I$52,Q536)&amp;"",IF(B536="Supporting",INDEX(Values!$F$3:$F$502,P536)&amp;"","")))</f>
        <v/>
      </c>
      <c r="M536">
        <f>IF(B536="","",IF(L536&lt;&gt;"","Covered","Gap"))</f>
        <v/>
      </c>
      <c r="N536">
        <f>IF(B536="Pillar",SUMIFS(Values!$E$3:$E$502,Values!$I$3:$I$502,"Yes"),IF(B536="Cluster",SUMIFS(Values!$E$3:$E$502,Values!$A$3:$A$502,SUBSTITUTE(SUBSTITUTE(C536,"?","~?"),"*","~*"),Values!$I$3:$I$502,"Yes"),IF(B536="Supporting",N(INDEX(Values!$E$3:$E$502,P536)),"")))</f>
        <v/>
      </c>
      <c r="O536">
        <f>IF(B536="","",IF(B536="Pillar",100,IF(B536="Cluster",N(INDEX(Attributes!$E$3:$E$52,Q536))*25+IF(M536="Gap",10,0),N(INDEX(Attributes!$E$3:$E$52,Q536))*20+MIN(20,ROUND(LOG10(N(N536)+1)*5,0))+IF(M536="Gap",10,0)+IF(INDEX(Values!$D$3:$D$502,P536)="Yes",5,0))))</f>
        <v/>
      </c>
      <c r="P536">
        <f>IF(B536="Supporting",MATCH(A536-1-Entity!$B$14,Values!$J$3:$J$502,0),"")</f>
        <v/>
      </c>
      <c r="Q536">
        <f>IF(C536="","",MATCH(C536,Attributes!$A$3:$A$52,0))</f>
        <v/>
      </c>
      <c r="R536">
        <f>IF(B536="Pillar",SUBSTITUTE(Entity!$B$7,"{entity}",LOWER(Entity!$B$3)),IF(B536="Cluster",IF(INDEX(Attributes!$G$3:$G$52,Q536)&lt;&gt;"",INDEX(Attributes!$G$3:$G$52,Q536),SUBSTITUTE(SUBSTITUTE(Entity!$B$8,"{entity}",LOWER(Entity!$B$3)),"{attribute}",LOWER(C536))),IF(B536="Supporting",SUBSTITUTE(SUBSTITUTE(SUBSTITUTE(IF(INDEX(Attributes!$H$3:$H$52,Q536)&lt;&gt;"",INDEX(Attributes!$H$3:$H$52,Q536),Entity!$B$9),"{entity}",LOWER(Entity!$B$3)),"{value}",D536),"{attribute}",LOWER(C536)),"")))</f>
        <v/>
      </c>
    </row>
    <row r="537">
      <c r="A537">
        <f>ROW()-2</f>
        <v/>
      </c>
      <c r="B537">
        <f>IF(A537=1,"Pillar",IF(A537&lt;=1+Entity!$B$14,"Cluster",IF(A537&lt;=1+Entity!$B$14+Entity!$B$15,"Supporting","")))</f>
        <v/>
      </c>
      <c r="C537">
        <f>IF(B537="Cluster",INDEX(Attributes!$A$3:$A$52,MATCH(A537-1,Attributes!$P$3:$P$52,0)),IF(B537="Supporting",INDEX(Values!$A$3:$A$502,P537),""))</f>
        <v/>
      </c>
      <c r="D537">
        <f>IF(B537="Supporting",INDEX(Values!$B$3:$B$502,P537),"")</f>
        <v/>
      </c>
      <c r="E537">
        <f>IF(R537="","",UPPER(LEFT(R537,1))&amp;MID(R537,2,500))</f>
        <v/>
      </c>
      <c r="F537">
        <f>IF(E537="","",LOWER(SUBSTITUTE(SUBSTITUTE(SUBSTITUTE(SUBSTITUTE(SUBSTITUTE(SUBSTITUTE(SUBSTITUTE(TRIM(E537),":",""),",",""),"'",""),"&amp;","and"),"£",""),"  "," ")," ","-")))</f>
        <v/>
      </c>
      <c r="G537">
        <f>IF(B537="Cluster",$E$3,IF(B537="Supporting",INDEX($E$3:$E$553,MATCH(C537,$C$3:$C$553,0)),""))</f>
        <v/>
      </c>
      <c r="H537">
        <f>IF(B537="Supporting",IFERROR(INDEX($E$3:$E$553,1+Entity!$B$14+INDEX(Values!$O$3:$O$502,P537)),""),IF(B537="Cluster",IF(Entity!$B$14&lt;2,"",INDEX($E$3:$E$553,IF(A537-1=Entity!$B$14,2,A537+1))),""))</f>
        <v/>
      </c>
      <c r="I537">
        <f>IF(B537="Pillar",Entity!$B$14&amp;" cluster pages",IF(B537="Cluster",(COUNTIF($C$3:$C$553,SUBSTITUTE(SUBSTITUTE(C537,"?","~?"),"*","~*"))-1)&amp;" supporting pages",""))</f>
        <v/>
      </c>
      <c r="J537">
        <f>IF(B537="Pillar","Informational",IF(OR(B537="Cluster",B537="Supporting"),INDEX(Attributes!$D$3:$D$52,Q537)&amp;"",""))</f>
        <v/>
      </c>
      <c r="K537">
        <f>IF(B537="","",IF(B537="Pillar","Pillar guide (entity hub)",IF(B537="Cluster","Hub page for this attribute",IF(INDEX(Values!$C$3:$C$502,P537)="Yes","Entity page (profile of the sub-entity)",IFERROR(INDEX(Lists!$B$3:$B$6,MATCH(J537,Lists!$A$3:$A$6,0)),"Article")))))</f>
        <v/>
      </c>
      <c r="L537">
        <f>IF(B537="Pillar",Entity!$B$6&amp;"",IF(B537="Cluster",INDEX(Attributes!$I$3:$I$52,Q537)&amp;"",IF(B537="Supporting",INDEX(Values!$F$3:$F$502,P537)&amp;"","")))</f>
        <v/>
      </c>
      <c r="M537">
        <f>IF(B537="","",IF(L537&lt;&gt;"","Covered","Gap"))</f>
        <v/>
      </c>
      <c r="N537">
        <f>IF(B537="Pillar",SUMIFS(Values!$E$3:$E$502,Values!$I$3:$I$502,"Yes"),IF(B537="Cluster",SUMIFS(Values!$E$3:$E$502,Values!$A$3:$A$502,SUBSTITUTE(SUBSTITUTE(C537,"?","~?"),"*","~*"),Values!$I$3:$I$502,"Yes"),IF(B537="Supporting",N(INDEX(Values!$E$3:$E$502,P537)),"")))</f>
        <v/>
      </c>
      <c r="O537">
        <f>IF(B537="","",IF(B537="Pillar",100,IF(B537="Cluster",N(INDEX(Attributes!$E$3:$E$52,Q537))*25+IF(M537="Gap",10,0),N(INDEX(Attributes!$E$3:$E$52,Q537))*20+MIN(20,ROUND(LOG10(N(N537)+1)*5,0))+IF(M537="Gap",10,0)+IF(INDEX(Values!$D$3:$D$502,P537)="Yes",5,0))))</f>
        <v/>
      </c>
      <c r="P537">
        <f>IF(B537="Supporting",MATCH(A537-1-Entity!$B$14,Values!$J$3:$J$502,0),"")</f>
        <v/>
      </c>
      <c r="Q537">
        <f>IF(C537="","",MATCH(C537,Attributes!$A$3:$A$52,0))</f>
        <v/>
      </c>
      <c r="R537">
        <f>IF(B537="Pillar",SUBSTITUTE(Entity!$B$7,"{entity}",LOWER(Entity!$B$3)),IF(B537="Cluster",IF(INDEX(Attributes!$G$3:$G$52,Q537)&lt;&gt;"",INDEX(Attributes!$G$3:$G$52,Q537),SUBSTITUTE(SUBSTITUTE(Entity!$B$8,"{entity}",LOWER(Entity!$B$3)),"{attribute}",LOWER(C537))),IF(B537="Supporting",SUBSTITUTE(SUBSTITUTE(SUBSTITUTE(IF(INDEX(Attributes!$H$3:$H$52,Q537)&lt;&gt;"",INDEX(Attributes!$H$3:$H$52,Q537),Entity!$B$9),"{entity}",LOWER(Entity!$B$3)),"{value}",D537),"{attribute}",LOWER(C537)),"")))</f>
        <v/>
      </c>
    </row>
    <row r="538">
      <c r="A538">
        <f>ROW()-2</f>
        <v/>
      </c>
      <c r="B538">
        <f>IF(A538=1,"Pillar",IF(A538&lt;=1+Entity!$B$14,"Cluster",IF(A538&lt;=1+Entity!$B$14+Entity!$B$15,"Supporting","")))</f>
        <v/>
      </c>
      <c r="C538">
        <f>IF(B538="Cluster",INDEX(Attributes!$A$3:$A$52,MATCH(A538-1,Attributes!$P$3:$P$52,0)),IF(B538="Supporting",INDEX(Values!$A$3:$A$502,P538),""))</f>
        <v/>
      </c>
      <c r="D538">
        <f>IF(B538="Supporting",INDEX(Values!$B$3:$B$502,P538),"")</f>
        <v/>
      </c>
      <c r="E538">
        <f>IF(R538="","",UPPER(LEFT(R538,1))&amp;MID(R538,2,500))</f>
        <v/>
      </c>
      <c r="F538">
        <f>IF(E538="","",LOWER(SUBSTITUTE(SUBSTITUTE(SUBSTITUTE(SUBSTITUTE(SUBSTITUTE(SUBSTITUTE(SUBSTITUTE(TRIM(E538),":",""),",",""),"'",""),"&amp;","and"),"£",""),"  "," ")," ","-")))</f>
        <v/>
      </c>
      <c r="G538">
        <f>IF(B538="Cluster",$E$3,IF(B538="Supporting",INDEX($E$3:$E$553,MATCH(C538,$C$3:$C$553,0)),""))</f>
        <v/>
      </c>
      <c r="H538">
        <f>IF(B538="Supporting",IFERROR(INDEX($E$3:$E$553,1+Entity!$B$14+INDEX(Values!$O$3:$O$502,P538)),""),IF(B538="Cluster",IF(Entity!$B$14&lt;2,"",INDEX($E$3:$E$553,IF(A538-1=Entity!$B$14,2,A538+1))),""))</f>
        <v/>
      </c>
      <c r="I538">
        <f>IF(B538="Pillar",Entity!$B$14&amp;" cluster pages",IF(B538="Cluster",(COUNTIF($C$3:$C$553,SUBSTITUTE(SUBSTITUTE(C538,"?","~?"),"*","~*"))-1)&amp;" supporting pages",""))</f>
        <v/>
      </c>
      <c r="J538">
        <f>IF(B538="Pillar","Informational",IF(OR(B538="Cluster",B538="Supporting"),INDEX(Attributes!$D$3:$D$52,Q538)&amp;"",""))</f>
        <v/>
      </c>
      <c r="K538">
        <f>IF(B538="","",IF(B538="Pillar","Pillar guide (entity hub)",IF(B538="Cluster","Hub page for this attribute",IF(INDEX(Values!$C$3:$C$502,P538)="Yes","Entity page (profile of the sub-entity)",IFERROR(INDEX(Lists!$B$3:$B$6,MATCH(J538,Lists!$A$3:$A$6,0)),"Article")))))</f>
        <v/>
      </c>
      <c r="L538">
        <f>IF(B538="Pillar",Entity!$B$6&amp;"",IF(B538="Cluster",INDEX(Attributes!$I$3:$I$52,Q538)&amp;"",IF(B538="Supporting",INDEX(Values!$F$3:$F$502,P538)&amp;"","")))</f>
        <v/>
      </c>
      <c r="M538">
        <f>IF(B538="","",IF(L538&lt;&gt;"","Covered","Gap"))</f>
        <v/>
      </c>
      <c r="N538">
        <f>IF(B538="Pillar",SUMIFS(Values!$E$3:$E$502,Values!$I$3:$I$502,"Yes"),IF(B538="Cluster",SUMIFS(Values!$E$3:$E$502,Values!$A$3:$A$502,SUBSTITUTE(SUBSTITUTE(C538,"?","~?"),"*","~*"),Values!$I$3:$I$502,"Yes"),IF(B538="Supporting",N(INDEX(Values!$E$3:$E$502,P538)),"")))</f>
        <v/>
      </c>
      <c r="O538">
        <f>IF(B538="","",IF(B538="Pillar",100,IF(B538="Cluster",N(INDEX(Attributes!$E$3:$E$52,Q538))*25+IF(M538="Gap",10,0),N(INDEX(Attributes!$E$3:$E$52,Q538))*20+MIN(20,ROUND(LOG10(N(N538)+1)*5,0))+IF(M538="Gap",10,0)+IF(INDEX(Values!$D$3:$D$502,P538)="Yes",5,0))))</f>
        <v/>
      </c>
      <c r="P538">
        <f>IF(B538="Supporting",MATCH(A538-1-Entity!$B$14,Values!$J$3:$J$502,0),"")</f>
        <v/>
      </c>
      <c r="Q538">
        <f>IF(C538="","",MATCH(C538,Attributes!$A$3:$A$52,0))</f>
        <v/>
      </c>
      <c r="R538">
        <f>IF(B538="Pillar",SUBSTITUTE(Entity!$B$7,"{entity}",LOWER(Entity!$B$3)),IF(B538="Cluster",IF(INDEX(Attributes!$G$3:$G$52,Q538)&lt;&gt;"",INDEX(Attributes!$G$3:$G$52,Q538),SUBSTITUTE(SUBSTITUTE(Entity!$B$8,"{entity}",LOWER(Entity!$B$3)),"{attribute}",LOWER(C538))),IF(B538="Supporting",SUBSTITUTE(SUBSTITUTE(SUBSTITUTE(IF(INDEX(Attributes!$H$3:$H$52,Q538)&lt;&gt;"",INDEX(Attributes!$H$3:$H$52,Q538),Entity!$B$9),"{entity}",LOWER(Entity!$B$3)),"{value}",D538),"{attribute}",LOWER(C538)),"")))</f>
        <v/>
      </c>
    </row>
    <row r="539">
      <c r="A539">
        <f>ROW()-2</f>
        <v/>
      </c>
      <c r="B539">
        <f>IF(A539=1,"Pillar",IF(A539&lt;=1+Entity!$B$14,"Cluster",IF(A539&lt;=1+Entity!$B$14+Entity!$B$15,"Supporting","")))</f>
        <v/>
      </c>
      <c r="C539">
        <f>IF(B539="Cluster",INDEX(Attributes!$A$3:$A$52,MATCH(A539-1,Attributes!$P$3:$P$52,0)),IF(B539="Supporting",INDEX(Values!$A$3:$A$502,P539),""))</f>
        <v/>
      </c>
      <c r="D539">
        <f>IF(B539="Supporting",INDEX(Values!$B$3:$B$502,P539),"")</f>
        <v/>
      </c>
      <c r="E539">
        <f>IF(R539="","",UPPER(LEFT(R539,1))&amp;MID(R539,2,500))</f>
        <v/>
      </c>
      <c r="F539">
        <f>IF(E539="","",LOWER(SUBSTITUTE(SUBSTITUTE(SUBSTITUTE(SUBSTITUTE(SUBSTITUTE(SUBSTITUTE(SUBSTITUTE(TRIM(E539),":",""),",",""),"'",""),"&amp;","and"),"£",""),"  "," ")," ","-")))</f>
        <v/>
      </c>
      <c r="G539">
        <f>IF(B539="Cluster",$E$3,IF(B539="Supporting",INDEX($E$3:$E$553,MATCH(C539,$C$3:$C$553,0)),""))</f>
        <v/>
      </c>
      <c r="H539">
        <f>IF(B539="Supporting",IFERROR(INDEX($E$3:$E$553,1+Entity!$B$14+INDEX(Values!$O$3:$O$502,P539)),""),IF(B539="Cluster",IF(Entity!$B$14&lt;2,"",INDEX($E$3:$E$553,IF(A539-1=Entity!$B$14,2,A539+1))),""))</f>
        <v/>
      </c>
      <c r="I539">
        <f>IF(B539="Pillar",Entity!$B$14&amp;" cluster pages",IF(B539="Cluster",(COUNTIF($C$3:$C$553,SUBSTITUTE(SUBSTITUTE(C539,"?","~?"),"*","~*"))-1)&amp;" supporting pages",""))</f>
        <v/>
      </c>
      <c r="J539">
        <f>IF(B539="Pillar","Informational",IF(OR(B539="Cluster",B539="Supporting"),INDEX(Attributes!$D$3:$D$52,Q539)&amp;"",""))</f>
        <v/>
      </c>
      <c r="K539">
        <f>IF(B539="","",IF(B539="Pillar","Pillar guide (entity hub)",IF(B539="Cluster","Hub page for this attribute",IF(INDEX(Values!$C$3:$C$502,P539)="Yes","Entity page (profile of the sub-entity)",IFERROR(INDEX(Lists!$B$3:$B$6,MATCH(J539,Lists!$A$3:$A$6,0)),"Article")))))</f>
        <v/>
      </c>
      <c r="L539">
        <f>IF(B539="Pillar",Entity!$B$6&amp;"",IF(B539="Cluster",INDEX(Attributes!$I$3:$I$52,Q539)&amp;"",IF(B539="Supporting",INDEX(Values!$F$3:$F$502,P539)&amp;"","")))</f>
        <v/>
      </c>
      <c r="M539">
        <f>IF(B539="","",IF(L539&lt;&gt;"","Covered","Gap"))</f>
        <v/>
      </c>
      <c r="N539">
        <f>IF(B539="Pillar",SUMIFS(Values!$E$3:$E$502,Values!$I$3:$I$502,"Yes"),IF(B539="Cluster",SUMIFS(Values!$E$3:$E$502,Values!$A$3:$A$502,SUBSTITUTE(SUBSTITUTE(C539,"?","~?"),"*","~*"),Values!$I$3:$I$502,"Yes"),IF(B539="Supporting",N(INDEX(Values!$E$3:$E$502,P539)),"")))</f>
        <v/>
      </c>
      <c r="O539">
        <f>IF(B539="","",IF(B539="Pillar",100,IF(B539="Cluster",N(INDEX(Attributes!$E$3:$E$52,Q539))*25+IF(M539="Gap",10,0),N(INDEX(Attributes!$E$3:$E$52,Q539))*20+MIN(20,ROUND(LOG10(N(N539)+1)*5,0))+IF(M539="Gap",10,0)+IF(INDEX(Values!$D$3:$D$502,P539)="Yes",5,0))))</f>
        <v/>
      </c>
      <c r="P539">
        <f>IF(B539="Supporting",MATCH(A539-1-Entity!$B$14,Values!$J$3:$J$502,0),"")</f>
        <v/>
      </c>
      <c r="Q539">
        <f>IF(C539="","",MATCH(C539,Attributes!$A$3:$A$52,0))</f>
        <v/>
      </c>
      <c r="R539">
        <f>IF(B539="Pillar",SUBSTITUTE(Entity!$B$7,"{entity}",LOWER(Entity!$B$3)),IF(B539="Cluster",IF(INDEX(Attributes!$G$3:$G$52,Q539)&lt;&gt;"",INDEX(Attributes!$G$3:$G$52,Q539),SUBSTITUTE(SUBSTITUTE(Entity!$B$8,"{entity}",LOWER(Entity!$B$3)),"{attribute}",LOWER(C539))),IF(B539="Supporting",SUBSTITUTE(SUBSTITUTE(SUBSTITUTE(IF(INDEX(Attributes!$H$3:$H$52,Q539)&lt;&gt;"",INDEX(Attributes!$H$3:$H$52,Q539),Entity!$B$9),"{entity}",LOWER(Entity!$B$3)),"{value}",D539),"{attribute}",LOWER(C539)),"")))</f>
        <v/>
      </c>
    </row>
    <row r="540">
      <c r="A540">
        <f>ROW()-2</f>
        <v/>
      </c>
      <c r="B540">
        <f>IF(A540=1,"Pillar",IF(A540&lt;=1+Entity!$B$14,"Cluster",IF(A540&lt;=1+Entity!$B$14+Entity!$B$15,"Supporting","")))</f>
        <v/>
      </c>
      <c r="C540">
        <f>IF(B540="Cluster",INDEX(Attributes!$A$3:$A$52,MATCH(A540-1,Attributes!$P$3:$P$52,0)),IF(B540="Supporting",INDEX(Values!$A$3:$A$502,P540),""))</f>
        <v/>
      </c>
      <c r="D540">
        <f>IF(B540="Supporting",INDEX(Values!$B$3:$B$502,P540),"")</f>
        <v/>
      </c>
      <c r="E540">
        <f>IF(R540="","",UPPER(LEFT(R540,1))&amp;MID(R540,2,500))</f>
        <v/>
      </c>
      <c r="F540">
        <f>IF(E540="","",LOWER(SUBSTITUTE(SUBSTITUTE(SUBSTITUTE(SUBSTITUTE(SUBSTITUTE(SUBSTITUTE(SUBSTITUTE(TRIM(E540),":",""),",",""),"'",""),"&amp;","and"),"£",""),"  "," ")," ","-")))</f>
        <v/>
      </c>
      <c r="G540">
        <f>IF(B540="Cluster",$E$3,IF(B540="Supporting",INDEX($E$3:$E$553,MATCH(C540,$C$3:$C$553,0)),""))</f>
        <v/>
      </c>
      <c r="H540">
        <f>IF(B540="Supporting",IFERROR(INDEX($E$3:$E$553,1+Entity!$B$14+INDEX(Values!$O$3:$O$502,P540)),""),IF(B540="Cluster",IF(Entity!$B$14&lt;2,"",INDEX($E$3:$E$553,IF(A540-1=Entity!$B$14,2,A540+1))),""))</f>
        <v/>
      </c>
      <c r="I540">
        <f>IF(B540="Pillar",Entity!$B$14&amp;" cluster pages",IF(B540="Cluster",(COUNTIF($C$3:$C$553,SUBSTITUTE(SUBSTITUTE(C540,"?","~?"),"*","~*"))-1)&amp;" supporting pages",""))</f>
        <v/>
      </c>
      <c r="J540">
        <f>IF(B540="Pillar","Informational",IF(OR(B540="Cluster",B540="Supporting"),INDEX(Attributes!$D$3:$D$52,Q540)&amp;"",""))</f>
        <v/>
      </c>
      <c r="K540">
        <f>IF(B540="","",IF(B540="Pillar","Pillar guide (entity hub)",IF(B540="Cluster","Hub page for this attribute",IF(INDEX(Values!$C$3:$C$502,P540)="Yes","Entity page (profile of the sub-entity)",IFERROR(INDEX(Lists!$B$3:$B$6,MATCH(J540,Lists!$A$3:$A$6,0)),"Article")))))</f>
        <v/>
      </c>
      <c r="L540">
        <f>IF(B540="Pillar",Entity!$B$6&amp;"",IF(B540="Cluster",INDEX(Attributes!$I$3:$I$52,Q540)&amp;"",IF(B540="Supporting",INDEX(Values!$F$3:$F$502,P540)&amp;"","")))</f>
        <v/>
      </c>
      <c r="M540">
        <f>IF(B540="","",IF(L540&lt;&gt;"","Covered","Gap"))</f>
        <v/>
      </c>
      <c r="N540">
        <f>IF(B540="Pillar",SUMIFS(Values!$E$3:$E$502,Values!$I$3:$I$502,"Yes"),IF(B540="Cluster",SUMIFS(Values!$E$3:$E$502,Values!$A$3:$A$502,SUBSTITUTE(SUBSTITUTE(C540,"?","~?"),"*","~*"),Values!$I$3:$I$502,"Yes"),IF(B540="Supporting",N(INDEX(Values!$E$3:$E$502,P540)),"")))</f>
        <v/>
      </c>
      <c r="O540">
        <f>IF(B540="","",IF(B540="Pillar",100,IF(B540="Cluster",N(INDEX(Attributes!$E$3:$E$52,Q540))*25+IF(M540="Gap",10,0),N(INDEX(Attributes!$E$3:$E$52,Q540))*20+MIN(20,ROUND(LOG10(N(N540)+1)*5,0))+IF(M540="Gap",10,0)+IF(INDEX(Values!$D$3:$D$502,P540)="Yes",5,0))))</f>
        <v/>
      </c>
      <c r="P540">
        <f>IF(B540="Supporting",MATCH(A540-1-Entity!$B$14,Values!$J$3:$J$502,0),"")</f>
        <v/>
      </c>
      <c r="Q540">
        <f>IF(C540="","",MATCH(C540,Attributes!$A$3:$A$52,0))</f>
        <v/>
      </c>
      <c r="R540">
        <f>IF(B540="Pillar",SUBSTITUTE(Entity!$B$7,"{entity}",LOWER(Entity!$B$3)),IF(B540="Cluster",IF(INDEX(Attributes!$G$3:$G$52,Q540)&lt;&gt;"",INDEX(Attributes!$G$3:$G$52,Q540),SUBSTITUTE(SUBSTITUTE(Entity!$B$8,"{entity}",LOWER(Entity!$B$3)),"{attribute}",LOWER(C540))),IF(B540="Supporting",SUBSTITUTE(SUBSTITUTE(SUBSTITUTE(IF(INDEX(Attributes!$H$3:$H$52,Q540)&lt;&gt;"",INDEX(Attributes!$H$3:$H$52,Q540),Entity!$B$9),"{entity}",LOWER(Entity!$B$3)),"{value}",D540),"{attribute}",LOWER(C540)),"")))</f>
        <v/>
      </c>
    </row>
    <row r="541">
      <c r="A541">
        <f>ROW()-2</f>
        <v/>
      </c>
      <c r="B541">
        <f>IF(A541=1,"Pillar",IF(A541&lt;=1+Entity!$B$14,"Cluster",IF(A541&lt;=1+Entity!$B$14+Entity!$B$15,"Supporting","")))</f>
        <v/>
      </c>
      <c r="C541">
        <f>IF(B541="Cluster",INDEX(Attributes!$A$3:$A$52,MATCH(A541-1,Attributes!$P$3:$P$52,0)),IF(B541="Supporting",INDEX(Values!$A$3:$A$502,P541),""))</f>
        <v/>
      </c>
      <c r="D541">
        <f>IF(B541="Supporting",INDEX(Values!$B$3:$B$502,P541),"")</f>
        <v/>
      </c>
      <c r="E541">
        <f>IF(R541="","",UPPER(LEFT(R541,1))&amp;MID(R541,2,500))</f>
        <v/>
      </c>
      <c r="F541">
        <f>IF(E541="","",LOWER(SUBSTITUTE(SUBSTITUTE(SUBSTITUTE(SUBSTITUTE(SUBSTITUTE(SUBSTITUTE(SUBSTITUTE(TRIM(E541),":",""),",",""),"'",""),"&amp;","and"),"£",""),"  "," ")," ","-")))</f>
        <v/>
      </c>
      <c r="G541">
        <f>IF(B541="Cluster",$E$3,IF(B541="Supporting",INDEX($E$3:$E$553,MATCH(C541,$C$3:$C$553,0)),""))</f>
        <v/>
      </c>
      <c r="H541">
        <f>IF(B541="Supporting",IFERROR(INDEX($E$3:$E$553,1+Entity!$B$14+INDEX(Values!$O$3:$O$502,P541)),""),IF(B541="Cluster",IF(Entity!$B$14&lt;2,"",INDEX($E$3:$E$553,IF(A541-1=Entity!$B$14,2,A541+1))),""))</f>
        <v/>
      </c>
      <c r="I541">
        <f>IF(B541="Pillar",Entity!$B$14&amp;" cluster pages",IF(B541="Cluster",(COUNTIF($C$3:$C$553,SUBSTITUTE(SUBSTITUTE(C541,"?","~?"),"*","~*"))-1)&amp;" supporting pages",""))</f>
        <v/>
      </c>
      <c r="J541">
        <f>IF(B541="Pillar","Informational",IF(OR(B541="Cluster",B541="Supporting"),INDEX(Attributes!$D$3:$D$52,Q541)&amp;"",""))</f>
        <v/>
      </c>
      <c r="K541">
        <f>IF(B541="","",IF(B541="Pillar","Pillar guide (entity hub)",IF(B541="Cluster","Hub page for this attribute",IF(INDEX(Values!$C$3:$C$502,P541)="Yes","Entity page (profile of the sub-entity)",IFERROR(INDEX(Lists!$B$3:$B$6,MATCH(J541,Lists!$A$3:$A$6,0)),"Article")))))</f>
        <v/>
      </c>
      <c r="L541">
        <f>IF(B541="Pillar",Entity!$B$6&amp;"",IF(B541="Cluster",INDEX(Attributes!$I$3:$I$52,Q541)&amp;"",IF(B541="Supporting",INDEX(Values!$F$3:$F$502,P541)&amp;"","")))</f>
        <v/>
      </c>
      <c r="M541">
        <f>IF(B541="","",IF(L541&lt;&gt;"","Covered","Gap"))</f>
        <v/>
      </c>
      <c r="N541">
        <f>IF(B541="Pillar",SUMIFS(Values!$E$3:$E$502,Values!$I$3:$I$502,"Yes"),IF(B541="Cluster",SUMIFS(Values!$E$3:$E$502,Values!$A$3:$A$502,SUBSTITUTE(SUBSTITUTE(C541,"?","~?"),"*","~*"),Values!$I$3:$I$502,"Yes"),IF(B541="Supporting",N(INDEX(Values!$E$3:$E$502,P541)),"")))</f>
        <v/>
      </c>
      <c r="O541">
        <f>IF(B541="","",IF(B541="Pillar",100,IF(B541="Cluster",N(INDEX(Attributes!$E$3:$E$52,Q541))*25+IF(M541="Gap",10,0),N(INDEX(Attributes!$E$3:$E$52,Q541))*20+MIN(20,ROUND(LOG10(N(N541)+1)*5,0))+IF(M541="Gap",10,0)+IF(INDEX(Values!$D$3:$D$502,P541)="Yes",5,0))))</f>
        <v/>
      </c>
      <c r="P541">
        <f>IF(B541="Supporting",MATCH(A541-1-Entity!$B$14,Values!$J$3:$J$502,0),"")</f>
        <v/>
      </c>
      <c r="Q541">
        <f>IF(C541="","",MATCH(C541,Attributes!$A$3:$A$52,0))</f>
        <v/>
      </c>
      <c r="R541">
        <f>IF(B541="Pillar",SUBSTITUTE(Entity!$B$7,"{entity}",LOWER(Entity!$B$3)),IF(B541="Cluster",IF(INDEX(Attributes!$G$3:$G$52,Q541)&lt;&gt;"",INDEX(Attributes!$G$3:$G$52,Q541),SUBSTITUTE(SUBSTITUTE(Entity!$B$8,"{entity}",LOWER(Entity!$B$3)),"{attribute}",LOWER(C541))),IF(B541="Supporting",SUBSTITUTE(SUBSTITUTE(SUBSTITUTE(IF(INDEX(Attributes!$H$3:$H$52,Q541)&lt;&gt;"",INDEX(Attributes!$H$3:$H$52,Q541),Entity!$B$9),"{entity}",LOWER(Entity!$B$3)),"{value}",D541),"{attribute}",LOWER(C541)),"")))</f>
        <v/>
      </c>
    </row>
    <row r="542">
      <c r="A542">
        <f>ROW()-2</f>
        <v/>
      </c>
      <c r="B542">
        <f>IF(A542=1,"Pillar",IF(A542&lt;=1+Entity!$B$14,"Cluster",IF(A542&lt;=1+Entity!$B$14+Entity!$B$15,"Supporting","")))</f>
        <v/>
      </c>
      <c r="C542">
        <f>IF(B542="Cluster",INDEX(Attributes!$A$3:$A$52,MATCH(A542-1,Attributes!$P$3:$P$52,0)),IF(B542="Supporting",INDEX(Values!$A$3:$A$502,P542),""))</f>
        <v/>
      </c>
      <c r="D542">
        <f>IF(B542="Supporting",INDEX(Values!$B$3:$B$502,P542),"")</f>
        <v/>
      </c>
      <c r="E542">
        <f>IF(R542="","",UPPER(LEFT(R542,1))&amp;MID(R542,2,500))</f>
        <v/>
      </c>
      <c r="F542">
        <f>IF(E542="","",LOWER(SUBSTITUTE(SUBSTITUTE(SUBSTITUTE(SUBSTITUTE(SUBSTITUTE(SUBSTITUTE(SUBSTITUTE(TRIM(E542),":",""),",",""),"'",""),"&amp;","and"),"£",""),"  "," ")," ","-")))</f>
        <v/>
      </c>
      <c r="G542">
        <f>IF(B542="Cluster",$E$3,IF(B542="Supporting",INDEX($E$3:$E$553,MATCH(C542,$C$3:$C$553,0)),""))</f>
        <v/>
      </c>
      <c r="H542">
        <f>IF(B542="Supporting",IFERROR(INDEX($E$3:$E$553,1+Entity!$B$14+INDEX(Values!$O$3:$O$502,P542)),""),IF(B542="Cluster",IF(Entity!$B$14&lt;2,"",INDEX($E$3:$E$553,IF(A542-1=Entity!$B$14,2,A542+1))),""))</f>
        <v/>
      </c>
      <c r="I542">
        <f>IF(B542="Pillar",Entity!$B$14&amp;" cluster pages",IF(B542="Cluster",(COUNTIF($C$3:$C$553,SUBSTITUTE(SUBSTITUTE(C542,"?","~?"),"*","~*"))-1)&amp;" supporting pages",""))</f>
        <v/>
      </c>
      <c r="J542">
        <f>IF(B542="Pillar","Informational",IF(OR(B542="Cluster",B542="Supporting"),INDEX(Attributes!$D$3:$D$52,Q542)&amp;"",""))</f>
        <v/>
      </c>
      <c r="K542">
        <f>IF(B542="","",IF(B542="Pillar","Pillar guide (entity hub)",IF(B542="Cluster","Hub page for this attribute",IF(INDEX(Values!$C$3:$C$502,P542)="Yes","Entity page (profile of the sub-entity)",IFERROR(INDEX(Lists!$B$3:$B$6,MATCH(J542,Lists!$A$3:$A$6,0)),"Article")))))</f>
        <v/>
      </c>
      <c r="L542">
        <f>IF(B542="Pillar",Entity!$B$6&amp;"",IF(B542="Cluster",INDEX(Attributes!$I$3:$I$52,Q542)&amp;"",IF(B542="Supporting",INDEX(Values!$F$3:$F$502,P542)&amp;"","")))</f>
        <v/>
      </c>
      <c r="M542">
        <f>IF(B542="","",IF(L542&lt;&gt;"","Covered","Gap"))</f>
        <v/>
      </c>
      <c r="N542">
        <f>IF(B542="Pillar",SUMIFS(Values!$E$3:$E$502,Values!$I$3:$I$502,"Yes"),IF(B542="Cluster",SUMIFS(Values!$E$3:$E$502,Values!$A$3:$A$502,SUBSTITUTE(SUBSTITUTE(C542,"?","~?"),"*","~*"),Values!$I$3:$I$502,"Yes"),IF(B542="Supporting",N(INDEX(Values!$E$3:$E$502,P542)),"")))</f>
        <v/>
      </c>
      <c r="O542">
        <f>IF(B542="","",IF(B542="Pillar",100,IF(B542="Cluster",N(INDEX(Attributes!$E$3:$E$52,Q542))*25+IF(M542="Gap",10,0),N(INDEX(Attributes!$E$3:$E$52,Q542))*20+MIN(20,ROUND(LOG10(N(N542)+1)*5,0))+IF(M542="Gap",10,0)+IF(INDEX(Values!$D$3:$D$502,P542)="Yes",5,0))))</f>
        <v/>
      </c>
      <c r="P542">
        <f>IF(B542="Supporting",MATCH(A542-1-Entity!$B$14,Values!$J$3:$J$502,0),"")</f>
        <v/>
      </c>
      <c r="Q542">
        <f>IF(C542="","",MATCH(C542,Attributes!$A$3:$A$52,0))</f>
        <v/>
      </c>
      <c r="R542">
        <f>IF(B542="Pillar",SUBSTITUTE(Entity!$B$7,"{entity}",LOWER(Entity!$B$3)),IF(B542="Cluster",IF(INDEX(Attributes!$G$3:$G$52,Q542)&lt;&gt;"",INDEX(Attributes!$G$3:$G$52,Q542),SUBSTITUTE(SUBSTITUTE(Entity!$B$8,"{entity}",LOWER(Entity!$B$3)),"{attribute}",LOWER(C542))),IF(B542="Supporting",SUBSTITUTE(SUBSTITUTE(SUBSTITUTE(IF(INDEX(Attributes!$H$3:$H$52,Q542)&lt;&gt;"",INDEX(Attributes!$H$3:$H$52,Q542),Entity!$B$9),"{entity}",LOWER(Entity!$B$3)),"{value}",D542),"{attribute}",LOWER(C542)),"")))</f>
        <v/>
      </c>
    </row>
    <row r="543">
      <c r="A543">
        <f>ROW()-2</f>
        <v/>
      </c>
      <c r="B543">
        <f>IF(A543=1,"Pillar",IF(A543&lt;=1+Entity!$B$14,"Cluster",IF(A543&lt;=1+Entity!$B$14+Entity!$B$15,"Supporting","")))</f>
        <v/>
      </c>
      <c r="C543">
        <f>IF(B543="Cluster",INDEX(Attributes!$A$3:$A$52,MATCH(A543-1,Attributes!$P$3:$P$52,0)),IF(B543="Supporting",INDEX(Values!$A$3:$A$502,P543),""))</f>
        <v/>
      </c>
      <c r="D543">
        <f>IF(B543="Supporting",INDEX(Values!$B$3:$B$502,P543),"")</f>
        <v/>
      </c>
      <c r="E543">
        <f>IF(R543="","",UPPER(LEFT(R543,1))&amp;MID(R543,2,500))</f>
        <v/>
      </c>
      <c r="F543">
        <f>IF(E543="","",LOWER(SUBSTITUTE(SUBSTITUTE(SUBSTITUTE(SUBSTITUTE(SUBSTITUTE(SUBSTITUTE(SUBSTITUTE(TRIM(E543),":",""),",",""),"'",""),"&amp;","and"),"£",""),"  "," ")," ","-")))</f>
        <v/>
      </c>
      <c r="G543">
        <f>IF(B543="Cluster",$E$3,IF(B543="Supporting",INDEX($E$3:$E$553,MATCH(C543,$C$3:$C$553,0)),""))</f>
        <v/>
      </c>
      <c r="H543">
        <f>IF(B543="Supporting",IFERROR(INDEX($E$3:$E$553,1+Entity!$B$14+INDEX(Values!$O$3:$O$502,P543)),""),IF(B543="Cluster",IF(Entity!$B$14&lt;2,"",INDEX($E$3:$E$553,IF(A543-1=Entity!$B$14,2,A543+1))),""))</f>
        <v/>
      </c>
      <c r="I543">
        <f>IF(B543="Pillar",Entity!$B$14&amp;" cluster pages",IF(B543="Cluster",(COUNTIF($C$3:$C$553,SUBSTITUTE(SUBSTITUTE(C543,"?","~?"),"*","~*"))-1)&amp;" supporting pages",""))</f>
        <v/>
      </c>
      <c r="J543">
        <f>IF(B543="Pillar","Informational",IF(OR(B543="Cluster",B543="Supporting"),INDEX(Attributes!$D$3:$D$52,Q543)&amp;"",""))</f>
        <v/>
      </c>
      <c r="K543">
        <f>IF(B543="","",IF(B543="Pillar","Pillar guide (entity hub)",IF(B543="Cluster","Hub page for this attribute",IF(INDEX(Values!$C$3:$C$502,P543)="Yes","Entity page (profile of the sub-entity)",IFERROR(INDEX(Lists!$B$3:$B$6,MATCH(J543,Lists!$A$3:$A$6,0)),"Article")))))</f>
        <v/>
      </c>
      <c r="L543">
        <f>IF(B543="Pillar",Entity!$B$6&amp;"",IF(B543="Cluster",INDEX(Attributes!$I$3:$I$52,Q543)&amp;"",IF(B543="Supporting",INDEX(Values!$F$3:$F$502,P543)&amp;"","")))</f>
        <v/>
      </c>
      <c r="M543">
        <f>IF(B543="","",IF(L543&lt;&gt;"","Covered","Gap"))</f>
        <v/>
      </c>
      <c r="N543">
        <f>IF(B543="Pillar",SUMIFS(Values!$E$3:$E$502,Values!$I$3:$I$502,"Yes"),IF(B543="Cluster",SUMIFS(Values!$E$3:$E$502,Values!$A$3:$A$502,SUBSTITUTE(SUBSTITUTE(C543,"?","~?"),"*","~*"),Values!$I$3:$I$502,"Yes"),IF(B543="Supporting",N(INDEX(Values!$E$3:$E$502,P543)),"")))</f>
        <v/>
      </c>
      <c r="O543">
        <f>IF(B543="","",IF(B543="Pillar",100,IF(B543="Cluster",N(INDEX(Attributes!$E$3:$E$52,Q543))*25+IF(M543="Gap",10,0),N(INDEX(Attributes!$E$3:$E$52,Q543))*20+MIN(20,ROUND(LOG10(N(N543)+1)*5,0))+IF(M543="Gap",10,0)+IF(INDEX(Values!$D$3:$D$502,P543)="Yes",5,0))))</f>
        <v/>
      </c>
      <c r="P543">
        <f>IF(B543="Supporting",MATCH(A543-1-Entity!$B$14,Values!$J$3:$J$502,0),"")</f>
        <v/>
      </c>
      <c r="Q543">
        <f>IF(C543="","",MATCH(C543,Attributes!$A$3:$A$52,0))</f>
        <v/>
      </c>
      <c r="R543">
        <f>IF(B543="Pillar",SUBSTITUTE(Entity!$B$7,"{entity}",LOWER(Entity!$B$3)),IF(B543="Cluster",IF(INDEX(Attributes!$G$3:$G$52,Q543)&lt;&gt;"",INDEX(Attributes!$G$3:$G$52,Q543),SUBSTITUTE(SUBSTITUTE(Entity!$B$8,"{entity}",LOWER(Entity!$B$3)),"{attribute}",LOWER(C543))),IF(B543="Supporting",SUBSTITUTE(SUBSTITUTE(SUBSTITUTE(IF(INDEX(Attributes!$H$3:$H$52,Q543)&lt;&gt;"",INDEX(Attributes!$H$3:$H$52,Q543),Entity!$B$9),"{entity}",LOWER(Entity!$B$3)),"{value}",D543),"{attribute}",LOWER(C543)),"")))</f>
        <v/>
      </c>
    </row>
    <row r="544">
      <c r="A544">
        <f>ROW()-2</f>
        <v/>
      </c>
      <c r="B544">
        <f>IF(A544=1,"Pillar",IF(A544&lt;=1+Entity!$B$14,"Cluster",IF(A544&lt;=1+Entity!$B$14+Entity!$B$15,"Supporting","")))</f>
        <v/>
      </c>
      <c r="C544">
        <f>IF(B544="Cluster",INDEX(Attributes!$A$3:$A$52,MATCH(A544-1,Attributes!$P$3:$P$52,0)),IF(B544="Supporting",INDEX(Values!$A$3:$A$502,P544),""))</f>
        <v/>
      </c>
      <c r="D544">
        <f>IF(B544="Supporting",INDEX(Values!$B$3:$B$502,P544),"")</f>
        <v/>
      </c>
      <c r="E544">
        <f>IF(R544="","",UPPER(LEFT(R544,1))&amp;MID(R544,2,500))</f>
        <v/>
      </c>
      <c r="F544">
        <f>IF(E544="","",LOWER(SUBSTITUTE(SUBSTITUTE(SUBSTITUTE(SUBSTITUTE(SUBSTITUTE(SUBSTITUTE(SUBSTITUTE(TRIM(E544),":",""),",",""),"'",""),"&amp;","and"),"£",""),"  "," ")," ","-")))</f>
        <v/>
      </c>
      <c r="G544">
        <f>IF(B544="Cluster",$E$3,IF(B544="Supporting",INDEX($E$3:$E$553,MATCH(C544,$C$3:$C$553,0)),""))</f>
        <v/>
      </c>
      <c r="H544">
        <f>IF(B544="Supporting",IFERROR(INDEX($E$3:$E$553,1+Entity!$B$14+INDEX(Values!$O$3:$O$502,P544)),""),IF(B544="Cluster",IF(Entity!$B$14&lt;2,"",INDEX($E$3:$E$553,IF(A544-1=Entity!$B$14,2,A544+1))),""))</f>
        <v/>
      </c>
      <c r="I544">
        <f>IF(B544="Pillar",Entity!$B$14&amp;" cluster pages",IF(B544="Cluster",(COUNTIF($C$3:$C$553,SUBSTITUTE(SUBSTITUTE(C544,"?","~?"),"*","~*"))-1)&amp;" supporting pages",""))</f>
        <v/>
      </c>
      <c r="J544">
        <f>IF(B544="Pillar","Informational",IF(OR(B544="Cluster",B544="Supporting"),INDEX(Attributes!$D$3:$D$52,Q544)&amp;"",""))</f>
        <v/>
      </c>
      <c r="K544">
        <f>IF(B544="","",IF(B544="Pillar","Pillar guide (entity hub)",IF(B544="Cluster","Hub page for this attribute",IF(INDEX(Values!$C$3:$C$502,P544)="Yes","Entity page (profile of the sub-entity)",IFERROR(INDEX(Lists!$B$3:$B$6,MATCH(J544,Lists!$A$3:$A$6,0)),"Article")))))</f>
        <v/>
      </c>
      <c r="L544">
        <f>IF(B544="Pillar",Entity!$B$6&amp;"",IF(B544="Cluster",INDEX(Attributes!$I$3:$I$52,Q544)&amp;"",IF(B544="Supporting",INDEX(Values!$F$3:$F$502,P544)&amp;"","")))</f>
        <v/>
      </c>
      <c r="M544">
        <f>IF(B544="","",IF(L544&lt;&gt;"","Covered","Gap"))</f>
        <v/>
      </c>
      <c r="N544">
        <f>IF(B544="Pillar",SUMIFS(Values!$E$3:$E$502,Values!$I$3:$I$502,"Yes"),IF(B544="Cluster",SUMIFS(Values!$E$3:$E$502,Values!$A$3:$A$502,SUBSTITUTE(SUBSTITUTE(C544,"?","~?"),"*","~*"),Values!$I$3:$I$502,"Yes"),IF(B544="Supporting",N(INDEX(Values!$E$3:$E$502,P544)),"")))</f>
        <v/>
      </c>
      <c r="O544">
        <f>IF(B544="","",IF(B544="Pillar",100,IF(B544="Cluster",N(INDEX(Attributes!$E$3:$E$52,Q544))*25+IF(M544="Gap",10,0),N(INDEX(Attributes!$E$3:$E$52,Q544))*20+MIN(20,ROUND(LOG10(N(N544)+1)*5,0))+IF(M544="Gap",10,0)+IF(INDEX(Values!$D$3:$D$502,P544)="Yes",5,0))))</f>
        <v/>
      </c>
      <c r="P544">
        <f>IF(B544="Supporting",MATCH(A544-1-Entity!$B$14,Values!$J$3:$J$502,0),"")</f>
        <v/>
      </c>
      <c r="Q544">
        <f>IF(C544="","",MATCH(C544,Attributes!$A$3:$A$52,0))</f>
        <v/>
      </c>
      <c r="R544">
        <f>IF(B544="Pillar",SUBSTITUTE(Entity!$B$7,"{entity}",LOWER(Entity!$B$3)),IF(B544="Cluster",IF(INDEX(Attributes!$G$3:$G$52,Q544)&lt;&gt;"",INDEX(Attributes!$G$3:$G$52,Q544),SUBSTITUTE(SUBSTITUTE(Entity!$B$8,"{entity}",LOWER(Entity!$B$3)),"{attribute}",LOWER(C544))),IF(B544="Supporting",SUBSTITUTE(SUBSTITUTE(SUBSTITUTE(IF(INDEX(Attributes!$H$3:$H$52,Q544)&lt;&gt;"",INDEX(Attributes!$H$3:$H$52,Q544),Entity!$B$9),"{entity}",LOWER(Entity!$B$3)),"{value}",D544),"{attribute}",LOWER(C544)),"")))</f>
        <v/>
      </c>
    </row>
    <row r="545">
      <c r="A545">
        <f>ROW()-2</f>
        <v/>
      </c>
      <c r="B545">
        <f>IF(A545=1,"Pillar",IF(A545&lt;=1+Entity!$B$14,"Cluster",IF(A545&lt;=1+Entity!$B$14+Entity!$B$15,"Supporting","")))</f>
        <v/>
      </c>
      <c r="C545">
        <f>IF(B545="Cluster",INDEX(Attributes!$A$3:$A$52,MATCH(A545-1,Attributes!$P$3:$P$52,0)),IF(B545="Supporting",INDEX(Values!$A$3:$A$502,P545),""))</f>
        <v/>
      </c>
      <c r="D545">
        <f>IF(B545="Supporting",INDEX(Values!$B$3:$B$502,P545),"")</f>
        <v/>
      </c>
      <c r="E545">
        <f>IF(R545="","",UPPER(LEFT(R545,1))&amp;MID(R545,2,500))</f>
        <v/>
      </c>
      <c r="F545">
        <f>IF(E545="","",LOWER(SUBSTITUTE(SUBSTITUTE(SUBSTITUTE(SUBSTITUTE(SUBSTITUTE(SUBSTITUTE(SUBSTITUTE(TRIM(E545),":",""),",",""),"'",""),"&amp;","and"),"£",""),"  "," ")," ","-")))</f>
        <v/>
      </c>
      <c r="G545">
        <f>IF(B545="Cluster",$E$3,IF(B545="Supporting",INDEX($E$3:$E$553,MATCH(C545,$C$3:$C$553,0)),""))</f>
        <v/>
      </c>
      <c r="H545">
        <f>IF(B545="Supporting",IFERROR(INDEX($E$3:$E$553,1+Entity!$B$14+INDEX(Values!$O$3:$O$502,P545)),""),IF(B545="Cluster",IF(Entity!$B$14&lt;2,"",INDEX($E$3:$E$553,IF(A545-1=Entity!$B$14,2,A545+1))),""))</f>
        <v/>
      </c>
      <c r="I545">
        <f>IF(B545="Pillar",Entity!$B$14&amp;" cluster pages",IF(B545="Cluster",(COUNTIF($C$3:$C$553,SUBSTITUTE(SUBSTITUTE(C545,"?","~?"),"*","~*"))-1)&amp;" supporting pages",""))</f>
        <v/>
      </c>
      <c r="J545">
        <f>IF(B545="Pillar","Informational",IF(OR(B545="Cluster",B545="Supporting"),INDEX(Attributes!$D$3:$D$52,Q545)&amp;"",""))</f>
        <v/>
      </c>
      <c r="K545">
        <f>IF(B545="","",IF(B545="Pillar","Pillar guide (entity hub)",IF(B545="Cluster","Hub page for this attribute",IF(INDEX(Values!$C$3:$C$502,P545)="Yes","Entity page (profile of the sub-entity)",IFERROR(INDEX(Lists!$B$3:$B$6,MATCH(J545,Lists!$A$3:$A$6,0)),"Article")))))</f>
        <v/>
      </c>
      <c r="L545">
        <f>IF(B545="Pillar",Entity!$B$6&amp;"",IF(B545="Cluster",INDEX(Attributes!$I$3:$I$52,Q545)&amp;"",IF(B545="Supporting",INDEX(Values!$F$3:$F$502,P545)&amp;"","")))</f>
        <v/>
      </c>
      <c r="M545">
        <f>IF(B545="","",IF(L545&lt;&gt;"","Covered","Gap"))</f>
        <v/>
      </c>
      <c r="N545">
        <f>IF(B545="Pillar",SUMIFS(Values!$E$3:$E$502,Values!$I$3:$I$502,"Yes"),IF(B545="Cluster",SUMIFS(Values!$E$3:$E$502,Values!$A$3:$A$502,SUBSTITUTE(SUBSTITUTE(C545,"?","~?"),"*","~*"),Values!$I$3:$I$502,"Yes"),IF(B545="Supporting",N(INDEX(Values!$E$3:$E$502,P545)),"")))</f>
        <v/>
      </c>
      <c r="O545">
        <f>IF(B545="","",IF(B545="Pillar",100,IF(B545="Cluster",N(INDEX(Attributes!$E$3:$E$52,Q545))*25+IF(M545="Gap",10,0),N(INDEX(Attributes!$E$3:$E$52,Q545))*20+MIN(20,ROUND(LOG10(N(N545)+1)*5,0))+IF(M545="Gap",10,0)+IF(INDEX(Values!$D$3:$D$502,P545)="Yes",5,0))))</f>
        <v/>
      </c>
      <c r="P545">
        <f>IF(B545="Supporting",MATCH(A545-1-Entity!$B$14,Values!$J$3:$J$502,0),"")</f>
        <v/>
      </c>
      <c r="Q545">
        <f>IF(C545="","",MATCH(C545,Attributes!$A$3:$A$52,0))</f>
        <v/>
      </c>
      <c r="R545">
        <f>IF(B545="Pillar",SUBSTITUTE(Entity!$B$7,"{entity}",LOWER(Entity!$B$3)),IF(B545="Cluster",IF(INDEX(Attributes!$G$3:$G$52,Q545)&lt;&gt;"",INDEX(Attributes!$G$3:$G$52,Q545),SUBSTITUTE(SUBSTITUTE(Entity!$B$8,"{entity}",LOWER(Entity!$B$3)),"{attribute}",LOWER(C545))),IF(B545="Supporting",SUBSTITUTE(SUBSTITUTE(SUBSTITUTE(IF(INDEX(Attributes!$H$3:$H$52,Q545)&lt;&gt;"",INDEX(Attributes!$H$3:$H$52,Q545),Entity!$B$9),"{entity}",LOWER(Entity!$B$3)),"{value}",D545),"{attribute}",LOWER(C545)),"")))</f>
        <v/>
      </c>
    </row>
    <row r="546">
      <c r="A546">
        <f>ROW()-2</f>
        <v/>
      </c>
      <c r="B546">
        <f>IF(A546=1,"Pillar",IF(A546&lt;=1+Entity!$B$14,"Cluster",IF(A546&lt;=1+Entity!$B$14+Entity!$B$15,"Supporting","")))</f>
        <v/>
      </c>
      <c r="C546">
        <f>IF(B546="Cluster",INDEX(Attributes!$A$3:$A$52,MATCH(A546-1,Attributes!$P$3:$P$52,0)),IF(B546="Supporting",INDEX(Values!$A$3:$A$502,P546),""))</f>
        <v/>
      </c>
      <c r="D546">
        <f>IF(B546="Supporting",INDEX(Values!$B$3:$B$502,P546),"")</f>
        <v/>
      </c>
      <c r="E546">
        <f>IF(R546="","",UPPER(LEFT(R546,1))&amp;MID(R546,2,500))</f>
        <v/>
      </c>
      <c r="F546">
        <f>IF(E546="","",LOWER(SUBSTITUTE(SUBSTITUTE(SUBSTITUTE(SUBSTITUTE(SUBSTITUTE(SUBSTITUTE(SUBSTITUTE(TRIM(E546),":",""),",",""),"'",""),"&amp;","and"),"£",""),"  "," ")," ","-")))</f>
        <v/>
      </c>
      <c r="G546">
        <f>IF(B546="Cluster",$E$3,IF(B546="Supporting",INDEX($E$3:$E$553,MATCH(C546,$C$3:$C$553,0)),""))</f>
        <v/>
      </c>
      <c r="H546">
        <f>IF(B546="Supporting",IFERROR(INDEX($E$3:$E$553,1+Entity!$B$14+INDEX(Values!$O$3:$O$502,P546)),""),IF(B546="Cluster",IF(Entity!$B$14&lt;2,"",INDEX($E$3:$E$553,IF(A546-1=Entity!$B$14,2,A546+1))),""))</f>
        <v/>
      </c>
      <c r="I546">
        <f>IF(B546="Pillar",Entity!$B$14&amp;" cluster pages",IF(B546="Cluster",(COUNTIF($C$3:$C$553,SUBSTITUTE(SUBSTITUTE(C546,"?","~?"),"*","~*"))-1)&amp;" supporting pages",""))</f>
        <v/>
      </c>
      <c r="J546">
        <f>IF(B546="Pillar","Informational",IF(OR(B546="Cluster",B546="Supporting"),INDEX(Attributes!$D$3:$D$52,Q546)&amp;"",""))</f>
        <v/>
      </c>
      <c r="K546">
        <f>IF(B546="","",IF(B546="Pillar","Pillar guide (entity hub)",IF(B546="Cluster","Hub page for this attribute",IF(INDEX(Values!$C$3:$C$502,P546)="Yes","Entity page (profile of the sub-entity)",IFERROR(INDEX(Lists!$B$3:$B$6,MATCH(J546,Lists!$A$3:$A$6,0)),"Article")))))</f>
        <v/>
      </c>
      <c r="L546">
        <f>IF(B546="Pillar",Entity!$B$6&amp;"",IF(B546="Cluster",INDEX(Attributes!$I$3:$I$52,Q546)&amp;"",IF(B546="Supporting",INDEX(Values!$F$3:$F$502,P546)&amp;"","")))</f>
        <v/>
      </c>
      <c r="M546">
        <f>IF(B546="","",IF(L546&lt;&gt;"","Covered","Gap"))</f>
        <v/>
      </c>
      <c r="N546">
        <f>IF(B546="Pillar",SUMIFS(Values!$E$3:$E$502,Values!$I$3:$I$502,"Yes"),IF(B546="Cluster",SUMIFS(Values!$E$3:$E$502,Values!$A$3:$A$502,SUBSTITUTE(SUBSTITUTE(C546,"?","~?"),"*","~*"),Values!$I$3:$I$502,"Yes"),IF(B546="Supporting",N(INDEX(Values!$E$3:$E$502,P546)),"")))</f>
        <v/>
      </c>
      <c r="O546">
        <f>IF(B546="","",IF(B546="Pillar",100,IF(B546="Cluster",N(INDEX(Attributes!$E$3:$E$52,Q546))*25+IF(M546="Gap",10,0),N(INDEX(Attributes!$E$3:$E$52,Q546))*20+MIN(20,ROUND(LOG10(N(N546)+1)*5,0))+IF(M546="Gap",10,0)+IF(INDEX(Values!$D$3:$D$502,P546)="Yes",5,0))))</f>
        <v/>
      </c>
      <c r="P546">
        <f>IF(B546="Supporting",MATCH(A546-1-Entity!$B$14,Values!$J$3:$J$502,0),"")</f>
        <v/>
      </c>
      <c r="Q546">
        <f>IF(C546="","",MATCH(C546,Attributes!$A$3:$A$52,0))</f>
        <v/>
      </c>
      <c r="R546">
        <f>IF(B546="Pillar",SUBSTITUTE(Entity!$B$7,"{entity}",LOWER(Entity!$B$3)),IF(B546="Cluster",IF(INDEX(Attributes!$G$3:$G$52,Q546)&lt;&gt;"",INDEX(Attributes!$G$3:$G$52,Q546),SUBSTITUTE(SUBSTITUTE(Entity!$B$8,"{entity}",LOWER(Entity!$B$3)),"{attribute}",LOWER(C546))),IF(B546="Supporting",SUBSTITUTE(SUBSTITUTE(SUBSTITUTE(IF(INDEX(Attributes!$H$3:$H$52,Q546)&lt;&gt;"",INDEX(Attributes!$H$3:$H$52,Q546),Entity!$B$9),"{entity}",LOWER(Entity!$B$3)),"{value}",D546),"{attribute}",LOWER(C546)),"")))</f>
        <v/>
      </c>
    </row>
    <row r="547">
      <c r="A547">
        <f>ROW()-2</f>
        <v/>
      </c>
      <c r="B547">
        <f>IF(A547=1,"Pillar",IF(A547&lt;=1+Entity!$B$14,"Cluster",IF(A547&lt;=1+Entity!$B$14+Entity!$B$15,"Supporting","")))</f>
        <v/>
      </c>
      <c r="C547">
        <f>IF(B547="Cluster",INDEX(Attributes!$A$3:$A$52,MATCH(A547-1,Attributes!$P$3:$P$52,0)),IF(B547="Supporting",INDEX(Values!$A$3:$A$502,P547),""))</f>
        <v/>
      </c>
      <c r="D547">
        <f>IF(B547="Supporting",INDEX(Values!$B$3:$B$502,P547),"")</f>
        <v/>
      </c>
      <c r="E547">
        <f>IF(R547="","",UPPER(LEFT(R547,1))&amp;MID(R547,2,500))</f>
        <v/>
      </c>
      <c r="F547">
        <f>IF(E547="","",LOWER(SUBSTITUTE(SUBSTITUTE(SUBSTITUTE(SUBSTITUTE(SUBSTITUTE(SUBSTITUTE(SUBSTITUTE(TRIM(E547),":",""),",",""),"'",""),"&amp;","and"),"£",""),"  "," ")," ","-")))</f>
        <v/>
      </c>
      <c r="G547">
        <f>IF(B547="Cluster",$E$3,IF(B547="Supporting",INDEX($E$3:$E$553,MATCH(C547,$C$3:$C$553,0)),""))</f>
        <v/>
      </c>
      <c r="H547">
        <f>IF(B547="Supporting",IFERROR(INDEX($E$3:$E$553,1+Entity!$B$14+INDEX(Values!$O$3:$O$502,P547)),""),IF(B547="Cluster",IF(Entity!$B$14&lt;2,"",INDEX($E$3:$E$553,IF(A547-1=Entity!$B$14,2,A547+1))),""))</f>
        <v/>
      </c>
      <c r="I547">
        <f>IF(B547="Pillar",Entity!$B$14&amp;" cluster pages",IF(B547="Cluster",(COUNTIF($C$3:$C$553,SUBSTITUTE(SUBSTITUTE(C547,"?","~?"),"*","~*"))-1)&amp;" supporting pages",""))</f>
        <v/>
      </c>
      <c r="J547">
        <f>IF(B547="Pillar","Informational",IF(OR(B547="Cluster",B547="Supporting"),INDEX(Attributes!$D$3:$D$52,Q547)&amp;"",""))</f>
        <v/>
      </c>
      <c r="K547">
        <f>IF(B547="","",IF(B547="Pillar","Pillar guide (entity hub)",IF(B547="Cluster","Hub page for this attribute",IF(INDEX(Values!$C$3:$C$502,P547)="Yes","Entity page (profile of the sub-entity)",IFERROR(INDEX(Lists!$B$3:$B$6,MATCH(J547,Lists!$A$3:$A$6,0)),"Article")))))</f>
        <v/>
      </c>
      <c r="L547">
        <f>IF(B547="Pillar",Entity!$B$6&amp;"",IF(B547="Cluster",INDEX(Attributes!$I$3:$I$52,Q547)&amp;"",IF(B547="Supporting",INDEX(Values!$F$3:$F$502,P547)&amp;"","")))</f>
        <v/>
      </c>
      <c r="M547">
        <f>IF(B547="","",IF(L547&lt;&gt;"","Covered","Gap"))</f>
        <v/>
      </c>
      <c r="N547">
        <f>IF(B547="Pillar",SUMIFS(Values!$E$3:$E$502,Values!$I$3:$I$502,"Yes"),IF(B547="Cluster",SUMIFS(Values!$E$3:$E$502,Values!$A$3:$A$502,SUBSTITUTE(SUBSTITUTE(C547,"?","~?"),"*","~*"),Values!$I$3:$I$502,"Yes"),IF(B547="Supporting",N(INDEX(Values!$E$3:$E$502,P547)),"")))</f>
        <v/>
      </c>
      <c r="O547">
        <f>IF(B547="","",IF(B547="Pillar",100,IF(B547="Cluster",N(INDEX(Attributes!$E$3:$E$52,Q547))*25+IF(M547="Gap",10,0),N(INDEX(Attributes!$E$3:$E$52,Q547))*20+MIN(20,ROUND(LOG10(N(N547)+1)*5,0))+IF(M547="Gap",10,0)+IF(INDEX(Values!$D$3:$D$502,P547)="Yes",5,0))))</f>
        <v/>
      </c>
      <c r="P547">
        <f>IF(B547="Supporting",MATCH(A547-1-Entity!$B$14,Values!$J$3:$J$502,0),"")</f>
        <v/>
      </c>
      <c r="Q547">
        <f>IF(C547="","",MATCH(C547,Attributes!$A$3:$A$52,0))</f>
        <v/>
      </c>
      <c r="R547">
        <f>IF(B547="Pillar",SUBSTITUTE(Entity!$B$7,"{entity}",LOWER(Entity!$B$3)),IF(B547="Cluster",IF(INDEX(Attributes!$G$3:$G$52,Q547)&lt;&gt;"",INDEX(Attributes!$G$3:$G$52,Q547),SUBSTITUTE(SUBSTITUTE(Entity!$B$8,"{entity}",LOWER(Entity!$B$3)),"{attribute}",LOWER(C547))),IF(B547="Supporting",SUBSTITUTE(SUBSTITUTE(SUBSTITUTE(IF(INDEX(Attributes!$H$3:$H$52,Q547)&lt;&gt;"",INDEX(Attributes!$H$3:$H$52,Q547),Entity!$B$9),"{entity}",LOWER(Entity!$B$3)),"{value}",D547),"{attribute}",LOWER(C547)),"")))</f>
        <v/>
      </c>
    </row>
    <row r="548">
      <c r="A548">
        <f>ROW()-2</f>
        <v/>
      </c>
      <c r="B548">
        <f>IF(A548=1,"Pillar",IF(A548&lt;=1+Entity!$B$14,"Cluster",IF(A548&lt;=1+Entity!$B$14+Entity!$B$15,"Supporting","")))</f>
        <v/>
      </c>
      <c r="C548">
        <f>IF(B548="Cluster",INDEX(Attributes!$A$3:$A$52,MATCH(A548-1,Attributes!$P$3:$P$52,0)),IF(B548="Supporting",INDEX(Values!$A$3:$A$502,P548),""))</f>
        <v/>
      </c>
      <c r="D548">
        <f>IF(B548="Supporting",INDEX(Values!$B$3:$B$502,P548),"")</f>
        <v/>
      </c>
      <c r="E548">
        <f>IF(R548="","",UPPER(LEFT(R548,1))&amp;MID(R548,2,500))</f>
        <v/>
      </c>
      <c r="F548">
        <f>IF(E548="","",LOWER(SUBSTITUTE(SUBSTITUTE(SUBSTITUTE(SUBSTITUTE(SUBSTITUTE(SUBSTITUTE(SUBSTITUTE(TRIM(E548),":",""),",",""),"'",""),"&amp;","and"),"£",""),"  "," ")," ","-")))</f>
        <v/>
      </c>
      <c r="G548">
        <f>IF(B548="Cluster",$E$3,IF(B548="Supporting",INDEX($E$3:$E$553,MATCH(C548,$C$3:$C$553,0)),""))</f>
        <v/>
      </c>
      <c r="H548">
        <f>IF(B548="Supporting",IFERROR(INDEX($E$3:$E$553,1+Entity!$B$14+INDEX(Values!$O$3:$O$502,P548)),""),IF(B548="Cluster",IF(Entity!$B$14&lt;2,"",INDEX($E$3:$E$553,IF(A548-1=Entity!$B$14,2,A548+1))),""))</f>
        <v/>
      </c>
      <c r="I548">
        <f>IF(B548="Pillar",Entity!$B$14&amp;" cluster pages",IF(B548="Cluster",(COUNTIF($C$3:$C$553,SUBSTITUTE(SUBSTITUTE(C548,"?","~?"),"*","~*"))-1)&amp;" supporting pages",""))</f>
        <v/>
      </c>
      <c r="J548">
        <f>IF(B548="Pillar","Informational",IF(OR(B548="Cluster",B548="Supporting"),INDEX(Attributes!$D$3:$D$52,Q548)&amp;"",""))</f>
        <v/>
      </c>
      <c r="K548">
        <f>IF(B548="","",IF(B548="Pillar","Pillar guide (entity hub)",IF(B548="Cluster","Hub page for this attribute",IF(INDEX(Values!$C$3:$C$502,P548)="Yes","Entity page (profile of the sub-entity)",IFERROR(INDEX(Lists!$B$3:$B$6,MATCH(J548,Lists!$A$3:$A$6,0)),"Article")))))</f>
        <v/>
      </c>
      <c r="L548">
        <f>IF(B548="Pillar",Entity!$B$6&amp;"",IF(B548="Cluster",INDEX(Attributes!$I$3:$I$52,Q548)&amp;"",IF(B548="Supporting",INDEX(Values!$F$3:$F$502,P548)&amp;"","")))</f>
        <v/>
      </c>
      <c r="M548">
        <f>IF(B548="","",IF(L548&lt;&gt;"","Covered","Gap"))</f>
        <v/>
      </c>
      <c r="N548">
        <f>IF(B548="Pillar",SUMIFS(Values!$E$3:$E$502,Values!$I$3:$I$502,"Yes"),IF(B548="Cluster",SUMIFS(Values!$E$3:$E$502,Values!$A$3:$A$502,SUBSTITUTE(SUBSTITUTE(C548,"?","~?"),"*","~*"),Values!$I$3:$I$502,"Yes"),IF(B548="Supporting",N(INDEX(Values!$E$3:$E$502,P548)),"")))</f>
        <v/>
      </c>
      <c r="O548">
        <f>IF(B548="","",IF(B548="Pillar",100,IF(B548="Cluster",N(INDEX(Attributes!$E$3:$E$52,Q548))*25+IF(M548="Gap",10,0),N(INDEX(Attributes!$E$3:$E$52,Q548))*20+MIN(20,ROUND(LOG10(N(N548)+1)*5,0))+IF(M548="Gap",10,0)+IF(INDEX(Values!$D$3:$D$502,P548)="Yes",5,0))))</f>
        <v/>
      </c>
      <c r="P548">
        <f>IF(B548="Supporting",MATCH(A548-1-Entity!$B$14,Values!$J$3:$J$502,0),"")</f>
        <v/>
      </c>
      <c r="Q548">
        <f>IF(C548="","",MATCH(C548,Attributes!$A$3:$A$52,0))</f>
        <v/>
      </c>
      <c r="R548">
        <f>IF(B548="Pillar",SUBSTITUTE(Entity!$B$7,"{entity}",LOWER(Entity!$B$3)),IF(B548="Cluster",IF(INDEX(Attributes!$G$3:$G$52,Q548)&lt;&gt;"",INDEX(Attributes!$G$3:$G$52,Q548),SUBSTITUTE(SUBSTITUTE(Entity!$B$8,"{entity}",LOWER(Entity!$B$3)),"{attribute}",LOWER(C548))),IF(B548="Supporting",SUBSTITUTE(SUBSTITUTE(SUBSTITUTE(IF(INDEX(Attributes!$H$3:$H$52,Q548)&lt;&gt;"",INDEX(Attributes!$H$3:$H$52,Q548),Entity!$B$9),"{entity}",LOWER(Entity!$B$3)),"{value}",D548),"{attribute}",LOWER(C548)),"")))</f>
        <v/>
      </c>
    </row>
    <row r="549">
      <c r="A549">
        <f>ROW()-2</f>
        <v/>
      </c>
      <c r="B549">
        <f>IF(A549=1,"Pillar",IF(A549&lt;=1+Entity!$B$14,"Cluster",IF(A549&lt;=1+Entity!$B$14+Entity!$B$15,"Supporting","")))</f>
        <v/>
      </c>
      <c r="C549">
        <f>IF(B549="Cluster",INDEX(Attributes!$A$3:$A$52,MATCH(A549-1,Attributes!$P$3:$P$52,0)),IF(B549="Supporting",INDEX(Values!$A$3:$A$502,P549),""))</f>
        <v/>
      </c>
      <c r="D549">
        <f>IF(B549="Supporting",INDEX(Values!$B$3:$B$502,P549),"")</f>
        <v/>
      </c>
      <c r="E549">
        <f>IF(R549="","",UPPER(LEFT(R549,1))&amp;MID(R549,2,500))</f>
        <v/>
      </c>
      <c r="F549">
        <f>IF(E549="","",LOWER(SUBSTITUTE(SUBSTITUTE(SUBSTITUTE(SUBSTITUTE(SUBSTITUTE(SUBSTITUTE(SUBSTITUTE(TRIM(E549),":",""),",",""),"'",""),"&amp;","and"),"£",""),"  "," ")," ","-")))</f>
        <v/>
      </c>
      <c r="G549">
        <f>IF(B549="Cluster",$E$3,IF(B549="Supporting",INDEX($E$3:$E$553,MATCH(C549,$C$3:$C$553,0)),""))</f>
        <v/>
      </c>
      <c r="H549">
        <f>IF(B549="Supporting",IFERROR(INDEX($E$3:$E$553,1+Entity!$B$14+INDEX(Values!$O$3:$O$502,P549)),""),IF(B549="Cluster",IF(Entity!$B$14&lt;2,"",INDEX($E$3:$E$553,IF(A549-1=Entity!$B$14,2,A549+1))),""))</f>
        <v/>
      </c>
      <c r="I549">
        <f>IF(B549="Pillar",Entity!$B$14&amp;" cluster pages",IF(B549="Cluster",(COUNTIF($C$3:$C$553,SUBSTITUTE(SUBSTITUTE(C549,"?","~?"),"*","~*"))-1)&amp;" supporting pages",""))</f>
        <v/>
      </c>
      <c r="J549">
        <f>IF(B549="Pillar","Informational",IF(OR(B549="Cluster",B549="Supporting"),INDEX(Attributes!$D$3:$D$52,Q549)&amp;"",""))</f>
        <v/>
      </c>
      <c r="K549">
        <f>IF(B549="","",IF(B549="Pillar","Pillar guide (entity hub)",IF(B549="Cluster","Hub page for this attribute",IF(INDEX(Values!$C$3:$C$502,P549)="Yes","Entity page (profile of the sub-entity)",IFERROR(INDEX(Lists!$B$3:$B$6,MATCH(J549,Lists!$A$3:$A$6,0)),"Article")))))</f>
        <v/>
      </c>
      <c r="L549">
        <f>IF(B549="Pillar",Entity!$B$6&amp;"",IF(B549="Cluster",INDEX(Attributes!$I$3:$I$52,Q549)&amp;"",IF(B549="Supporting",INDEX(Values!$F$3:$F$502,P549)&amp;"","")))</f>
        <v/>
      </c>
      <c r="M549">
        <f>IF(B549="","",IF(L549&lt;&gt;"","Covered","Gap"))</f>
        <v/>
      </c>
      <c r="N549">
        <f>IF(B549="Pillar",SUMIFS(Values!$E$3:$E$502,Values!$I$3:$I$502,"Yes"),IF(B549="Cluster",SUMIFS(Values!$E$3:$E$502,Values!$A$3:$A$502,SUBSTITUTE(SUBSTITUTE(C549,"?","~?"),"*","~*"),Values!$I$3:$I$502,"Yes"),IF(B549="Supporting",N(INDEX(Values!$E$3:$E$502,P549)),"")))</f>
        <v/>
      </c>
      <c r="O549">
        <f>IF(B549="","",IF(B549="Pillar",100,IF(B549="Cluster",N(INDEX(Attributes!$E$3:$E$52,Q549))*25+IF(M549="Gap",10,0),N(INDEX(Attributes!$E$3:$E$52,Q549))*20+MIN(20,ROUND(LOG10(N(N549)+1)*5,0))+IF(M549="Gap",10,0)+IF(INDEX(Values!$D$3:$D$502,P549)="Yes",5,0))))</f>
        <v/>
      </c>
      <c r="P549">
        <f>IF(B549="Supporting",MATCH(A549-1-Entity!$B$14,Values!$J$3:$J$502,0),"")</f>
        <v/>
      </c>
      <c r="Q549">
        <f>IF(C549="","",MATCH(C549,Attributes!$A$3:$A$52,0))</f>
        <v/>
      </c>
      <c r="R549">
        <f>IF(B549="Pillar",SUBSTITUTE(Entity!$B$7,"{entity}",LOWER(Entity!$B$3)),IF(B549="Cluster",IF(INDEX(Attributes!$G$3:$G$52,Q549)&lt;&gt;"",INDEX(Attributes!$G$3:$G$52,Q549),SUBSTITUTE(SUBSTITUTE(Entity!$B$8,"{entity}",LOWER(Entity!$B$3)),"{attribute}",LOWER(C549))),IF(B549="Supporting",SUBSTITUTE(SUBSTITUTE(SUBSTITUTE(IF(INDEX(Attributes!$H$3:$H$52,Q549)&lt;&gt;"",INDEX(Attributes!$H$3:$H$52,Q549),Entity!$B$9),"{entity}",LOWER(Entity!$B$3)),"{value}",D549),"{attribute}",LOWER(C549)),"")))</f>
        <v/>
      </c>
    </row>
    <row r="550">
      <c r="A550">
        <f>ROW()-2</f>
        <v/>
      </c>
      <c r="B550">
        <f>IF(A550=1,"Pillar",IF(A550&lt;=1+Entity!$B$14,"Cluster",IF(A550&lt;=1+Entity!$B$14+Entity!$B$15,"Supporting","")))</f>
        <v/>
      </c>
      <c r="C550">
        <f>IF(B550="Cluster",INDEX(Attributes!$A$3:$A$52,MATCH(A550-1,Attributes!$P$3:$P$52,0)),IF(B550="Supporting",INDEX(Values!$A$3:$A$502,P550),""))</f>
        <v/>
      </c>
      <c r="D550">
        <f>IF(B550="Supporting",INDEX(Values!$B$3:$B$502,P550),"")</f>
        <v/>
      </c>
      <c r="E550">
        <f>IF(R550="","",UPPER(LEFT(R550,1))&amp;MID(R550,2,500))</f>
        <v/>
      </c>
      <c r="F550">
        <f>IF(E550="","",LOWER(SUBSTITUTE(SUBSTITUTE(SUBSTITUTE(SUBSTITUTE(SUBSTITUTE(SUBSTITUTE(SUBSTITUTE(TRIM(E550),":",""),",",""),"'",""),"&amp;","and"),"£",""),"  "," ")," ","-")))</f>
        <v/>
      </c>
      <c r="G550">
        <f>IF(B550="Cluster",$E$3,IF(B550="Supporting",INDEX($E$3:$E$553,MATCH(C550,$C$3:$C$553,0)),""))</f>
        <v/>
      </c>
      <c r="H550">
        <f>IF(B550="Supporting",IFERROR(INDEX($E$3:$E$553,1+Entity!$B$14+INDEX(Values!$O$3:$O$502,P550)),""),IF(B550="Cluster",IF(Entity!$B$14&lt;2,"",INDEX($E$3:$E$553,IF(A550-1=Entity!$B$14,2,A550+1))),""))</f>
        <v/>
      </c>
      <c r="I550">
        <f>IF(B550="Pillar",Entity!$B$14&amp;" cluster pages",IF(B550="Cluster",(COUNTIF($C$3:$C$553,SUBSTITUTE(SUBSTITUTE(C550,"?","~?"),"*","~*"))-1)&amp;" supporting pages",""))</f>
        <v/>
      </c>
      <c r="J550">
        <f>IF(B550="Pillar","Informational",IF(OR(B550="Cluster",B550="Supporting"),INDEX(Attributes!$D$3:$D$52,Q550)&amp;"",""))</f>
        <v/>
      </c>
      <c r="K550">
        <f>IF(B550="","",IF(B550="Pillar","Pillar guide (entity hub)",IF(B550="Cluster","Hub page for this attribute",IF(INDEX(Values!$C$3:$C$502,P550)="Yes","Entity page (profile of the sub-entity)",IFERROR(INDEX(Lists!$B$3:$B$6,MATCH(J550,Lists!$A$3:$A$6,0)),"Article")))))</f>
        <v/>
      </c>
      <c r="L550">
        <f>IF(B550="Pillar",Entity!$B$6&amp;"",IF(B550="Cluster",INDEX(Attributes!$I$3:$I$52,Q550)&amp;"",IF(B550="Supporting",INDEX(Values!$F$3:$F$502,P550)&amp;"","")))</f>
        <v/>
      </c>
      <c r="M550">
        <f>IF(B550="","",IF(L550&lt;&gt;"","Covered","Gap"))</f>
        <v/>
      </c>
      <c r="N550">
        <f>IF(B550="Pillar",SUMIFS(Values!$E$3:$E$502,Values!$I$3:$I$502,"Yes"),IF(B550="Cluster",SUMIFS(Values!$E$3:$E$502,Values!$A$3:$A$502,SUBSTITUTE(SUBSTITUTE(C550,"?","~?"),"*","~*"),Values!$I$3:$I$502,"Yes"),IF(B550="Supporting",N(INDEX(Values!$E$3:$E$502,P550)),"")))</f>
        <v/>
      </c>
      <c r="O550">
        <f>IF(B550="","",IF(B550="Pillar",100,IF(B550="Cluster",N(INDEX(Attributes!$E$3:$E$52,Q550))*25+IF(M550="Gap",10,0),N(INDEX(Attributes!$E$3:$E$52,Q550))*20+MIN(20,ROUND(LOG10(N(N550)+1)*5,0))+IF(M550="Gap",10,0)+IF(INDEX(Values!$D$3:$D$502,P550)="Yes",5,0))))</f>
        <v/>
      </c>
      <c r="P550">
        <f>IF(B550="Supporting",MATCH(A550-1-Entity!$B$14,Values!$J$3:$J$502,0),"")</f>
        <v/>
      </c>
      <c r="Q550">
        <f>IF(C550="","",MATCH(C550,Attributes!$A$3:$A$52,0))</f>
        <v/>
      </c>
      <c r="R550">
        <f>IF(B550="Pillar",SUBSTITUTE(Entity!$B$7,"{entity}",LOWER(Entity!$B$3)),IF(B550="Cluster",IF(INDEX(Attributes!$G$3:$G$52,Q550)&lt;&gt;"",INDEX(Attributes!$G$3:$G$52,Q550),SUBSTITUTE(SUBSTITUTE(Entity!$B$8,"{entity}",LOWER(Entity!$B$3)),"{attribute}",LOWER(C550))),IF(B550="Supporting",SUBSTITUTE(SUBSTITUTE(SUBSTITUTE(IF(INDEX(Attributes!$H$3:$H$52,Q550)&lt;&gt;"",INDEX(Attributes!$H$3:$H$52,Q550),Entity!$B$9),"{entity}",LOWER(Entity!$B$3)),"{value}",D550),"{attribute}",LOWER(C550)),"")))</f>
        <v/>
      </c>
    </row>
    <row r="551">
      <c r="A551">
        <f>ROW()-2</f>
        <v/>
      </c>
      <c r="B551">
        <f>IF(A551=1,"Pillar",IF(A551&lt;=1+Entity!$B$14,"Cluster",IF(A551&lt;=1+Entity!$B$14+Entity!$B$15,"Supporting","")))</f>
        <v/>
      </c>
      <c r="C551">
        <f>IF(B551="Cluster",INDEX(Attributes!$A$3:$A$52,MATCH(A551-1,Attributes!$P$3:$P$52,0)),IF(B551="Supporting",INDEX(Values!$A$3:$A$502,P551),""))</f>
        <v/>
      </c>
      <c r="D551">
        <f>IF(B551="Supporting",INDEX(Values!$B$3:$B$502,P551),"")</f>
        <v/>
      </c>
      <c r="E551">
        <f>IF(R551="","",UPPER(LEFT(R551,1))&amp;MID(R551,2,500))</f>
        <v/>
      </c>
      <c r="F551">
        <f>IF(E551="","",LOWER(SUBSTITUTE(SUBSTITUTE(SUBSTITUTE(SUBSTITUTE(SUBSTITUTE(SUBSTITUTE(SUBSTITUTE(TRIM(E551),":",""),",",""),"'",""),"&amp;","and"),"£",""),"  "," ")," ","-")))</f>
        <v/>
      </c>
      <c r="G551">
        <f>IF(B551="Cluster",$E$3,IF(B551="Supporting",INDEX($E$3:$E$553,MATCH(C551,$C$3:$C$553,0)),""))</f>
        <v/>
      </c>
      <c r="H551">
        <f>IF(B551="Supporting",IFERROR(INDEX($E$3:$E$553,1+Entity!$B$14+INDEX(Values!$O$3:$O$502,P551)),""),IF(B551="Cluster",IF(Entity!$B$14&lt;2,"",INDEX($E$3:$E$553,IF(A551-1=Entity!$B$14,2,A551+1))),""))</f>
        <v/>
      </c>
      <c r="I551">
        <f>IF(B551="Pillar",Entity!$B$14&amp;" cluster pages",IF(B551="Cluster",(COUNTIF($C$3:$C$553,SUBSTITUTE(SUBSTITUTE(C551,"?","~?"),"*","~*"))-1)&amp;" supporting pages",""))</f>
        <v/>
      </c>
      <c r="J551">
        <f>IF(B551="Pillar","Informational",IF(OR(B551="Cluster",B551="Supporting"),INDEX(Attributes!$D$3:$D$52,Q551)&amp;"",""))</f>
        <v/>
      </c>
      <c r="K551">
        <f>IF(B551="","",IF(B551="Pillar","Pillar guide (entity hub)",IF(B551="Cluster","Hub page for this attribute",IF(INDEX(Values!$C$3:$C$502,P551)="Yes","Entity page (profile of the sub-entity)",IFERROR(INDEX(Lists!$B$3:$B$6,MATCH(J551,Lists!$A$3:$A$6,0)),"Article")))))</f>
        <v/>
      </c>
      <c r="L551">
        <f>IF(B551="Pillar",Entity!$B$6&amp;"",IF(B551="Cluster",INDEX(Attributes!$I$3:$I$52,Q551)&amp;"",IF(B551="Supporting",INDEX(Values!$F$3:$F$502,P551)&amp;"","")))</f>
        <v/>
      </c>
      <c r="M551">
        <f>IF(B551="","",IF(L551&lt;&gt;"","Covered","Gap"))</f>
        <v/>
      </c>
      <c r="N551">
        <f>IF(B551="Pillar",SUMIFS(Values!$E$3:$E$502,Values!$I$3:$I$502,"Yes"),IF(B551="Cluster",SUMIFS(Values!$E$3:$E$502,Values!$A$3:$A$502,SUBSTITUTE(SUBSTITUTE(C551,"?","~?"),"*","~*"),Values!$I$3:$I$502,"Yes"),IF(B551="Supporting",N(INDEX(Values!$E$3:$E$502,P551)),"")))</f>
        <v/>
      </c>
      <c r="O551">
        <f>IF(B551="","",IF(B551="Pillar",100,IF(B551="Cluster",N(INDEX(Attributes!$E$3:$E$52,Q551))*25+IF(M551="Gap",10,0),N(INDEX(Attributes!$E$3:$E$52,Q551))*20+MIN(20,ROUND(LOG10(N(N551)+1)*5,0))+IF(M551="Gap",10,0)+IF(INDEX(Values!$D$3:$D$502,P551)="Yes",5,0))))</f>
        <v/>
      </c>
      <c r="P551">
        <f>IF(B551="Supporting",MATCH(A551-1-Entity!$B$14,Values!$J$3:$J$502,0),"")</f>
        <v/>
      </c>
      <c r="Q551">
        <f>IF(C551="","",MATCH(C551,Attributes!$A$3:$A$52,0))</f>
        <v/>
      </c>
      <c r="R551">
        <f>IF(B551="Pillar",SUBSTITUTE(Entity!$B$7,"{entity}",LOWER(Entity!$B$3)),IF(B551="Cluster",IF(INDEX(Attributes!$G$3:$G$52,Q551)&lt;&gt;"",INDEX(Attributes!$G$3:$G$52,Q551),SUBSTITUTE(SUBSTITUTE(Entity!$B$8,"{entity}",LOWER(Entity!$B$3)),"{attribute}",LOWER(C551))),IF(B551="Supporting",SUBSTITUTE(SUBSTITUTE(SUBSTITUTE(IF(INDEX(Attributes!$H$3:$H$52,Q551)&lt;&gt;"",INDEX(Attributes!$H$3:$H$52,Q551),Entity!$B$9),"{entity}",LOWER(Entity!$B$3)),"{value}",D551),"{attribute}",LOWER(C551)),"")))</f>
        <v/>
      </c>
    </row>
    <row r="552">
      <c r="A552">
        <f>ROW()-2</f>
        <v/>
      </c>
      <c r="B552">
        <f>IF(A552=1,"Pillar",IF(A552&lt;=1+Entity!$B$14,"Cluster",IF(A552&lt;=1+Entity!$B$14+Entity!$B$15,"Supporting","")))</f>
        <v/>
      </c>
      <c r="C552">
        <f>IF(B552="Cluster",INDEX(Attributes!$A$3:$A$52,MATCH(A552-1,Attributes!$P$3:$P$52,0)),IF(B552="Supporting",INDEX(Values!$A$3:$A$502,P552),""))</f>
        <v/>
      </c>
      <c r="D552">
        <f>IF(B552="Supporting",INDEX(Values!$B$3:$B$502,P552),"")</f>
        <v/>
      </c>
      <c r="E552">
        <f>IF(R552="","",UPPER(LEFT(R552,1))&amp;MID(R552,2,500))</f>
        <v/>
      </c>
      <c r="F552">
        <f>IF(E552="","",LOWER(SUBSTITUTE(SUBSTITUTE(SUBSTITUTE(SUBSTITUTE(SUBSTITUTE(SUBSTITUTE(SUBSTITUTE(TRIM(E552),":",""),",",""),"'",""),"&amp;","and"),"£",""),"  "," ")," ","-")))</f>
        <v/>
      </c>
      <c r="G552">
        <f>IF(B552="Cluster",$E$3,IF(B552="Supporting",INDEX($E$3:$E$553,MATCH(C552,$C$3:$C$553,0)),""))</f>
        <v/>
      </c>
      <c r="H552">
        <f>IF(B552="Supporting",IFERROR(INDEX($E$3:$E$553,1+Entity!$B$14+INDEX(Values!$O$3:$O$502,P552)),""),IF(B552="Cluster",IF(Entity!$B$14&lt;2,"",INDEX($E$3:$E$553,IF(A552-1=Entity!$B$14,2,A552+1))),""))</f>
        <v/>
      </c>
      <c r="I552">
        <f>IF(B552="Pillar",Entity!$B$14&amp;" cluster pages",IF(B552="Cluster",(COUNTIF($C$3:$C$553,SUBSTITUTE(SUBSTITUTE(C552,"?","~?"),"*","~*"))-1)&amp;" supporting pages",""))</f>
        <v/>
      </c>
      <c r="J552">
        <f>IF(B552="Pillar","Informational",IF(OR(B552="Cluster",B552="Supporting"),INDEX(Attributes!$D$3:$D$52,Q552)&amp;"",""))</f>
        <v/>
      </c>
      <c r="K552">
        <f>IF(B552="","",IF(B552="Pillar","Pillar guide (entity hub)",IF(B552="Cluster","Hub page for this attribute",IF(INDEX(Values!$C$3:$C$502,P552)="Yes","Entity page (profile of the sub-entity)",IFERROR(INDEX(Lists!$B$3:$B$6,MATCH(J552,Lists!$A$3:$A$6,0)),"Article")))))</f>
        <v/>
      </c>
      <c r="L552">
        <f>IF(B552="Pillar",Entity!$B$6&amp;"",IF(B552="Cluster",INDEX(Attributes!$I$3:$I$52,Q552)&amp;"",IF(B552="Supporting",INDEX(Values!$F$3:$F$502,P552)&amp;"","")))</f>
        <v/>
      </c>
      <c r="M552">
        <f>IF(B552="","",IF(L552&lt;&gt;"","Covered","Gap"))</f>
        <v/>
      </c>
      <c r="N552">
        <f>IF(B552="Pillar",SUMIFS(Values!$E$3:$E$502,Values!$I$3:$I$502,"Yes"),IF(B552="Cluster",SUMIFS(Values!$E$3:$E$502,Values!$A$3:$A$502,SUBSTITUTE(SUBSTITUTE(C552,"?","~?"),"*","~*"),Values!$I$3:$I$502,"Yes"),IF(B552="Supporting",N(INDEX(Values!$E$3:$E$502,P552)),"")))</f>
        <v/>
      </c>
      <c r="O552">
        <f>IF(B552="","",IF(B552="Pillar",100,IF(B552="Cluster",N(INDEX(Attributes!$E$3:$E$52,Q552))*25+IF(M552="Gap",10,0),N(INDEX(Attributes!$E$3:$E$52,Q552))*20+MIN(20,ROUND(LOG10(N(N552)+1)*5,0))+IF(M552="Gap",10,0)+IF(INDEX(Values!$D$3:$D$502,P552)="Yes",5,0))))</f>
        <v/>
      </c>
      <c r="P552">
        <f>IF(B552="Supporting",MATCH(A552-1-Entity!$B$14,Values!$J$3:$J$502,0),"")</f>
        <v/>
      </c>
      <c r="Q552">
        <f>IF(C552="","",MATCH(C552,Attributes!$A$3:$A$52,0))</f>
        <v/>
      </c>
      <c r="R552">
        <f>IF(B552="Pillar",SUBSTITUTE(Entity!$B$7,"{entity}",LOWER(Entity!$B$3)),IF(B552="Cluster",IF(INDEX(Attributes!$G$3:$G$52,Q552)&lt;&gt;"",INDEX(Attributes!$G$3:$G$52,Q552),SUBSTITUTE(SUBSTITUTE(Entity!$B$8,"{entity}",LOWER(Entity!$B$3)),"{attribute}",LOWER(C552))),IF(B552="Supporting",SUBSTITUTE(SUBSTITUTE(SUBSTITUTE(IF(INDEX(Attributes!$H$3:$H$52,Q552)&lt;&gt;"",INDEX(Attributes!$H$3:$H$52,Q552),Entity!$B$9),"{entity}",LOWER(Entity!$B$3)),"{value}",D552),"{attribute}",LOWER(C552)),"")))</f>
        <v/>
      </c>
    </row>
    <row r="553">
      <c r="A553">
        <f>ROW()-2</f>
        <v/>
      </c>
      <c r="B553">
        <f>IF(A553=1,"Pillar",IF(A553&lt;=1+Entity!$B$14,"Cluster",IF(A553&lt;=1+Entity!$B$14+Entity!$B$15,"Supporting","")))</f>
        <v/>
      </c>
      <c r="C553">
        <f>IF(B553="Cluster",INDEX(Attributes!$A$3:$A$52,MATCH(A553-1,Attributes!$P$3:$P$52,0)),IF(B553="Supporting",INDEX(Values!$A$3:$A$502,P553),""))</f>
        <v/>
      </c>
      <c r="D553">
        <f>IF(B553="Supporting",INDEX(Values!$B$3:$B$502,P553),"")</f>
        <v/>
      </c>
      <c r="E553">
        <f>IF(R553="","",UPPER(LEFT(R553,1))&amp;MID(R553,2,500))</f>
        <v/>
      </c>
      <c r="F553">
        <f>IF(E553="","",LOWER(SUBSTITUTE(SUBSTITUTE(SUBSTITUTE(SUBSTITUTE(SUBSTITUTE(SUBSTITUTE(SUBSTITUTE(TRIM(E553),":",""),",",""),"'",""),"&amp;","and"),"£",""),"  "," ")," ","-")))</f>
        <v/>
      </c>
      <c r="G553">
        <f>IF(B553="Cluster",$E$3,IF(B553="Supporting",INDEX($E$3:$E$553,MATCH(C553,$C$3:$C$553,0)),""))</f>
        <v/>
      </c>
      <c r="H553">
        <f>IF(B553="Supporting",IFERROR(INDEX($E$3:$E$553,1+Entity!$B$14+INDEX(Values!$O$3:$O$502,P553)),""),IF(B553="Cluster",IF(Entity!$B$14&lt;2,"",INDEX($E$3:$E$553,IF(A553-1=Entity!$B$14,2,A553+1))),""))</f>
        <v/>
      </c>
      <c r="I553">
        <f>IF(B553="Pillar",Entity!$B$14&amp;" cluster pages",IF(B553="Cluster",(COUNTIF($C$3:$C$553,SUBSTITUTE(SUBSTITUTE(C553,"?","~?"),"*","~*"))-1)&amp;" supporting pages",""))</f>
        <v/>
      </c>
      <c r="J553">
        <f>IF(B553="Pillar","Informational",IF(OR(B553="Cluster",B553="Supporting"),INDEX(Attributes!$D$3:$D$52,Q553)&amp;"",""))</f>
        <v/>
      </c>
      <c r="K553">
        <f>IF(B553="","",IF(B553="Pillar","Pillar guide (entity hub)",IF(B553="Cluster","Hub page for this attribute",IF(INDEX(Values!$C$3:$C$502,P553)="Yes","Entity page (profile of the sub-entity)",IFERROR(INDEX(Lists!$B$3:$B$6,MATCH(J553,Lists!$A$3:$A$6,0)),"Article")))))</f>
        <v/>
      </c>
      <c r="L553">
        <f>IF(B553="Pillar",Entity!$B$6&amp;"",IF(B553="Cluster",INDEX(Attributes!$I$3:$I$52,Q553)&amp;"",IF(B553="Supporting",INDEX(Values!$F$3:$F$502,P553)&amp;"","")))</f>
        <v/>
      </c>
      <c r="M553">
        <f>IF(B553="","",IF(L553&lt;&gt;"","Covered","Gap"))</f>
        <v/>
      </c>
      <c r="N553">
        <f>IF(B553="Pillar",SUMIFS(Values!$E$3:$E$502,Values!$I$3:$I$502,"Yes"),IF(B553="Cluster",SUMIFS(Values!$E$3:$E$502,Values!$A$3:$A$502,SUBSTITUTE(SUBSTITUTE(C553,"?","~?"),"*","~*"),Values!$I$3:$I$502,"Yes"),IF(B553="Supporting",N(INDEX(Values!$E$3:$E$502,P553)),"")))</f>
        <v/>
      </c>
      <c r="O553">
        <f>IF(B553="","",IF(B553="Pillar",100,IF(B553="Cluster",N(INDEX(Attributes!$E$3:$E$52,Q553))*25+IF(M553="Gap",10,0),N(INDEX(Attributes!$E$3:$E$52,Q553))*20+MIN(20,ROUND(LOG10(N(N553)+1)*5,0))+IF(M553="Gap",10,0)+IF(INDEX(Values!$D$3:$D$502,P553)="Yes",5,0))))</f>
        <v/>
      </c>
      <c r="P553">
        <f>IF(B553="Supporting",MATCH(A553-1-Entity!$B$14,Values!$J$3:$J$502,0),"")</f>
        <v/>
      </c>
      <c r="Q553">
        <f>IF(C553="","",MATCH(C553,Attributes!$A$3:$A$52,0))</f>
        <v/>
      </c>
      <c r="R553">
        <f>IF(B553="Pillar",SUBSTITUTE(Entity!$B$7,"{entity}",LOWER(Entity!$B$3)),IF(B553="Cluster",IF(INDEX(Attributes!$G$3:$G$52,Q553)&lt;&gt;"",INDEX(Attributes!$G$3:$G$52,Q553),SUBSTITUTE(SUBSTITUTE(Entity!$B$8,"{entity}",LOWER(Entity!$B$3)),"{attribute}",LOWER(C553))),IF(B553="Supporting",SUBSTITUTE(SUBSTITUTE(SUBSTITUTE(IF(INDEX(Attributes!$H$3:$H$52,Q553)&lt;&gt;"",INDEX(Attributes!$H$3:$H$52,Q553),Entity!$B$9),"{entity}",LOWER(Entity!$B$3)),"{value}",D553),"{attribute}",LOWER(C553)),"")))</f>
        <v/>
      </c>
    </row>
  </sheetData>
  <autoFilter ref="A2:O553"/>
  <conditionalFormatting sqref="A3:O553">
    <cfRule type="expression" priority="1" dxfId="3">
      <formula>$B3="Pillar"</formula>
    </cfRule>
    <cfRule type="expression" priority="2" dxfId="4">
      <formula>$B3="Cluster"</formula>
    </cfRule>
  </conditionalFormatting>
  <conditionalFormatting sqref="M3:M553">
    <cfRule type="expression" priority="3" dxfId="1">
      <formula>$M3="Gap"</formula>
    </cfRule>
    <cfRule type="expression" priority="4" dxfId="5">
      <formula>$M3="Covered"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xSplit="1" ySplit="8" topLeftCell="B9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5. Combinations: two attributes crossed (long-tail ideas)</t>
        </is>
      </c>
    </row>
    <row r="2">
      <c r="A2" s="13" t="inlineStr">
        <is>
          <t>Pick two finite attributes. Copy the combinations worth a page into your brief or back into Values.</t>
        </is>
      </c>
    </row>
    <row r="3">
      <c r="A3" s="14" t="inlineStr">
        <is>
          <t>Attribute A (rows)</t>
        </is>
      </c>
      <c r="B3" s="27" t="inlineStr">
        <is>
          <t>Terrain</t>
        </is>
      </c>
    </row>
    <row r="4">
      <c r="A4" s="14" t="inlineStr">
        <is>
          <t>Attribute B (columns)</t>
        </is>
      </c>
      <c r="B4" s="27" t="inlineStr">
        <is>
          <t>Foot type</t>
        </is>
      </c>
    </row>
    <row r="5">
      <c r="A5" s="14" t="inlineStr">
        <is>
          <t>Title pattern</t>
        </is>
      </c>
      <c r="B5" s="27" t="inlineStr">
        <is>
          <t>{a} {entity} for {b}</t>
        </is>
      </c>
    </row>
    <row r="6">
      <c r="A6" s="28">
        <f>IF(OR(IFERROR(INDEX(Attributes!$B$3:$B$52,MATCH(B3,Attributes!$A$3:$A$52,0)),"")="Infinite",IFERROR(INDEX(Attributes!$B$3:$B$52,MATCH(B4,Attributes!$A$3:$A$52,0)),"")="Infinite"),"Warning: an infinite attribute never runs out of combinations. Pick finite ones.","")</f>
        <v/>
      </c>
    </row>
    <row r="8">
      <c r="A8" s="6" t="inlineStr">
        <is>
          <t>A \ B</t>
        </is>
      </c>
      <c r="B8" s="29">
        <f>IFERROR(INDEX(Values!$B$3:$B$502,MATCH($B$4&amp;"|"&amp;1,Values!$L$3:$L$502,0)),"")</f>
        <v/>
      </c>
      <c r="C8" s="29">
        <f>IFERROR(INDEX(Values!$B$3:$B$502,MATCH($B$4&amp;"|"&amp;2,Values!$L$3:$L$502,0)),"")</f>
        <v/>
      </c>
      <c r="D8" s="29">
        <f>IFERROR(INDEX(Values!$B$3:$B$502,MATCH($B$4&amp;"|"&amp;3,Values!$L$3:$L$502,0)),"")</f>
        <v/>
      </c>
      <c r="E8" s="29">
        <f>IFERROR(INDEX(Values!$B$3:$B$502,MATCH($B$4&amp;"|"&amp;4,Values!$L$3:$L$502,0)),"")</f>
        <v/>
      </c>
      <c r="F8" s="29">
        <f>IFERROR(INDEX(Values!$B$3:$B$502,MATCH($B$4&amp;"|"&amp;5,Values!$L$3:$L$502,0)),"")</f>
        <v/>
      </c>
      <c r="G8" s="29">
        <f>IFERROR(INDEX(Values!$B$3:$B$502,MATCH($B$4&amp;"|"&amp;6,Values!$L$3:$L$502,0)),"")</f>
        <v/>
      </c>
      <c r="H8" s="29">
        <f>IFERROR(INDEX(Values!$B$3:$B$502,MATCH($B$4&amp;"|"&amp;7,Values!$L$3:$L$502,0)),"")</f>
        <v/>
      </c>
      <c r="I8" s="29">
        <f>IFERROR(INDEX(Values!$B$3:$B$502,MATCH($B$4&amp;"|"&amp;8,Values!$L$3:$L$502,0)),"")</f>
        <v/>
      </c>
      <c r="J8" s="29">
        <f>IFERROR(INDEX(Values!$B$3:$B$502,MATCH($B$4&amp;"|"&amp;9,Values!$L$3:$L$502,0)),"")</f>
        <v/>
      </c>
      <c r="K8" s="29">
        <f>IFERROR(INDEX(Values!$B$3:$B$502,MATCH($B$4&amp;"|"&amp;10,Values!$L$3:$L$502,0)),"")</f>
        <v/>
      </c>
    </row>
    <row r="9">
      <c r="A9" s="30">
        <f>IFERROR(INDEX(Values!$B$3:$B$502,MATCH($B$3&amp;"|"&amp;1,Values!$L$3:$L$502,0)),"")</f>
        <v/>
      </c>
      <c r="B9" s="31">
        <f>IF(OR($A9="",B$8=""),"",UPPER(LEFT(SUBSTITUTE(SUBSTITUTE(SUBSTITUTE($B$5,"{a}",$A9),"{b}",B$8),"{entity}",LOWER(Entity!$B$3)),1))&amp;MID(SUBSTITUTE(SUBSTITUTE(SUBSTITUTE($B$5,"{a}",$A9),"{b}",B$8),"{entity}",LOWER(Entity!$B$3)),2,300))</f>
        <v/>
      </c>
      <c r="C9" s="31">
        <f>IF(OR($A9="",C$8=""),"",UPPER(LEFT(SUBSTITUTE(SUBSTITUTE(SUBSTITUTE($B$5,"{a}",$A9),"{b}",C$8),"{entity}",LOWER(Entity!$B$3)),1))&amp;MID(SUBSTITUTE(SUBSTITUTE(SUBSTITUTE($B$5,"{a}",$A9),"{b}",C$8),"{entity}",LOWER(Entity!$B$3)),2,300))</f>
        <v/>
      </c>
      <c r="D9" s="31">
        <f>IF(OR($A9="",D$8=""),"",UPPER(LEFT(SUBSTITUTE(SUBSTITUTE(SUBSTITUTE($B$5,"{a}",$A9),"{b}",D$8),"{entity}",LOWER(Entity!$B$3)),1))&amp;MID(SUBSTITUTE(SUBSTITUTE(SUBSTITUTE($B$5,"{a}",$A9),"{b}",D$8),"{entity}",LOWER(Entity!$B$3)),2,300))</f>
        <v/>
      </c>
      <c r="E9" s="31">
        <f>IF(OR($A9="",E$8=""),"",UPPER(LEFT(SUBSTITUTE(SUBSTITUTE(SUBSTITUTE($B$5,"{a}",$A9),"{b}",E$8),"{entity}",LOWER(Entity!$B$3)),1))&amp;MID(SUBSTITUTE(SUBSTITUTE(SUBSTITUTE($B$5,"{a}",$A9),"{b}",E$8),"{entity}",LOWER(Entity!$B$3)),2,300))</f>
        <v/>
      </c>
      <c r="F9" s="31">
        <f>IF(OR($A9="",F$8=""),"",UPPER(LEFT(SUBSTITUTE(SUBSTITUTE(SUBSTITUTE($B$5,"{a}",$A9),"{b}",F$8),"{entity}",LOWER(Entity!$B$3)),1))&amp;MID(SUBSTITUTE(SUBSTITUTE(SUBSTITUTE($B$5,"{a}",$A9),"{b}",F$8),"{entity}",LOWER(Entity!$B$3)),2,300))</f>
        <v/>
      </c>
      <c r="G9" s="31">
        <f>IF(OR($A9="",G$8=""),"",UPPER(LEFT(SUBSTITUTE(SUBSTITUTE(SUBSTITUTE($B$5,"{a}",$A9),"{b}",G$8),"{entity}",LOWER(Entity!$B$3)),1))&amp;MID(SUBSTITUTE(SUBSTITUTE(SUBSTITUTE($B$5,"{a}",$A9),"{b}",G$8),"{entity}",LOWER(Entity!$B$3)),2,300))</f>
        <v/>
      </c>
      <c r="H9" s="31">
        <f>IF(OR($A9="",H$8=""),"",UPPER(LEFT(SUBSTITUTE(SUBSTITUTE(SUBSTITUTE($B$5,"{a}",$A9),"{b}",H$8),"{entity}",LOWER(Entity!$B$3)),1))&amp;MID(SUBSTITUTE(SUBSTITUTE(SUBSTITUTE($B$5,"{a}",$A9),"{b}",H$8),"{entity}",LOWER(Entity!$B$3)),2,300))</f>
        <v/>
      </c>
      <c r="I9" s="31">
        <f>IF(OR($A9="",I$8=""),"",UPPER(LEFT(SUBSTITUTE(SUBSTITUTE(SUBSTITUTE($B$5,"{a}",$A9),"{b}",I$8),"{entity}",LOWER(Entity!$B$3)),1))&amp;MID(SUBSTITUTE(SUBSTITUTE(SUBSTITUTE($B$5,"{a}",$A9),"{b}",I$8),"{entity}",LOWER(Entity!$B$3)),2,300))</f>
        <v/>
      </c>
      <c r="J9" s="31">
        <f>IF(OR($A9="",J$8=""),"",UPPER(LEFT(SUBSTITUTE(SUBSTITUTE(SUBSTITUTE($B$5,"{a}",$A9),"{b}",J$8),"{entity}",LOWER(Entity!$B$3)),1))&amp;MID(SUBSTITUTE(SUBSTITUTE(SUBSTITUTE($B$5,"{a}",$A9),"{b}",J$8),"{entity}",LOWER(Entity!$B$3)),2,300))</f>
        <v/>
      </c>
      <c r="K9" s="31">
        <f>IF(OR($A9="",K$8=""),"",UPPER(LEFT(SUBSTITUTE(SUBSTITUTE(SUBSTITUTE($B$5,"{a}",$A9),"{b}",K$8),"{entity}",LOWER(Entity!$B$3)),1))&amp;MID(SUBSTITUTE(SUBSTITUTE(SUBSTITUTE($B$5,"{a}",$A9),"{b}",K$8),"{entity}",LOWER(Entity!$B$3)),2,300))</f>
        <v/>
      </c>
    </row>
    <row r="10">
      <c r="A10" s="30">
        <f>IFERROR(INDEX(Values!$B$3:$B$502,MATCH($B$3&amp;"|"&amp;2,Values!$L$3:$L$502,0)),"")</f>
        <v/>
      </c>
      <c r="B10" s="31">
        <f>IF(OR($A10="",B$8=""),"",UPPER(LEFT(SUBSTITUTE(SUBSTITUTE(SUBSTITUTE($B$5,"{a}",$A10),"{b}",B$8),"{entity}",LOWER(Entity!$B$3)),1))&amp;MID(SUBSTITUTE(SUBSTITUTE(SUBSTITUTE($B$5,"{a}",$A10),"{b}",B$8),"{entity}",LOWER(Entity!$B$3)),2,300))</f>
        <v/>
      </c>
      <c r="C10" s="31">
        <f>IF(OR($A10="",C$8=""),"",UPPER(LEFT(SUBSTITUTE(SUBSTITUTE(SUBSTITUTE($B$5,"{a}",$A10),"{b}",C$8),"{entity}",LOWER(Entity!$B$3)),1))&amp;MID(SUBSTITUTE(SUBSTITUTE(SUBSTITUTE($B$5,"{a}",$A10),"{b}",C$8),"{entity}",LOWER(Entity!$B$3)),2,300))</f>
        <v/>
      </c>
      <c r="D10" s="31">
        <f>IF(OR($A10="",D$8=""),"",UPPER(LEFT(SUBSTITUTE(SUBSTITUTE(SUBSTITUTE($B$5,"{a}",$A10),"{b}",D$8),"{entity}",LOWER(Entity!$B$3)),1))&amp;MID(SUBSTITUTE(SUBSTITUTE(SUBSTITUTE($B$5,"{a}",$A10),"{b}",D$8),"{entity}",LOWER(Entity!$B$3)),2,300))</f>
        <v/>
      </c>
      <c r="E10" s="31">
        <f>IF(OR($A10="",E$8=""),"",UPPER(LEFT(SUBSTITUTE(SUBSTITUTE(SUBSTITUTE($B$5,"{a}",$A10),"{b}",E$8),"{entity}",LOWER(Entity!$B$3)),1))&amp;MID(SUBSTITUTE(SUBSTITUTE(SUBSTITUTE($B$5,"{a}",$A10),"{b}",E$8),"{entity}",LOWER(Entity!$B$3)),2,300))</f>
        <v/>
      </c>
      <c r="F10" s="31">
        <f>IF(OR($A10="",F$8=""),"",UPPER(LEFT(SUBSTITUTE(SUBSTITUTE(SUBSTITUTE($B$5,"{a}",$A10),"{b}",F$8),"{entity}",LOWER(Entity!$B$3)),1))&amp;MID(SUBSTITUTE(SUBSTITUTE(SUBSTITUTE($B$5,"{a}",$A10),"{b}",F$8),"{entity}",LOWER(Entity!$B$3)),2,300))</f>
        <v/>
      </c>
      <c r="G10" s="31">
        <f>IF(OR($A10="",G$8=""),"",UPPER(LEFT(SUBSTITUTE(SUBSTITUTE(SUBSTITUTE($B$5,"{a}",$A10),"{b}",G$8),"{entity}",LOWER(Entity!$B$3)),1))&amp;MID(SUBSTITUTE(SUBSTITUTE(SUBSTITUTE($B$5,"{a}",$A10),"{b}",G$8),"{entity}",LOWER(Entity!$B$3)),2,300))</f>
        <v/>
      </c>
      <c r="H10" s="31">
        <f>IF(OR($A10="",H$8=""),"",UPPER(LEFT(SUBSTITUTE(SUBSTITUTE(SUBSTITUTE($B$5,"{a}",$A10),"{b}",H$8),"{entity}",LOWER(Entity!$B$3)),1))&amp;MID(SUBSTITUTE(SUBSTITUTE(SUBSTITUTE($B$5,"{a}",$A10),"{b}",H$8),"{entity}",LOWER(Entity!$B$3)),2,300))</f>
        <v/>
      </c>
      <c r="I10" s="31">
        <f>IF(OR($A10="",I$8=""),"",UPPER(LEFT(SUBSTITUTE(SUBSTITUTE(SUBSTITUTE($B$5,"{a}",$A10),"{b}",I$8),"{entity}",LOWER(Entity!$B$3)),1))&amp;MID(SUBSTITUTE(SUBSTITUTE(SUBSTITUTE($B$5,"{a}",$A10),"{b}",I$8),"{entity}",LOWER(Entity!$B$3)),2,300))</f>
        <v/>
      </c>
      <c r="J10" s="31">
        <f>IF(OR($A10="",J$8=""),"",UPPER(LEFT(SUBSTITUTE(SUBSTITUTE(SUBSTITUTE($B$5,"{a}",$A10),"{b}",J$8),"{entity}",LOWER(Entity!$B$3)),1))&amp;MID(SUBSTITUTE(SUBSTITUTE(SUBSTITUTE($B$5,"{a}",$A10),"{b}",J$8),"{entity}",LOWER(Entity!$B$3)),2,300))</f>
        <v/>
      </c>
      <c r="K10" s="31">
        <f>IF(OR($A10="",K$8=""),"",UPPER(LEFT(SUBSTITUTE(SUBSTITUTE(SUBSTITUTE($B$5,"{a}",$A10),"{b}",K$8),"{entity}",LOWER(Entity!$B$3)),1))&amp;MID(SUBSTITUTE(SUBSTITUTE(SUBSTITUTE($B$5,"{a}",$A10),"{b}",K$8),"{entity}",LOWER(Entity!$B$3)),2,300))</f>
        <v/>
      </c>
    </row>
    <row r="11">
      <c r="A11" s="30">
        <f>IFERROR(INDEX(Values!$B$3:$B$502,MATCH($B$3&amp;"|"&amp;3,Values!$L$3:$L$502,0)),"")</f>
        <v/>
      </c>
      <c r="B11" s="31">
        <f>IF(OR($A11="",B$8=""),"",UPPER(LEFT(SUBSTITUTE(SUBSTITUTE(SUBSTITUTE($B$5,"{a}",$A11),"{b}",B$8),"{entity}",LOWER(Entity!$B$3)),1))&amp;MID(SUBSTITUTE(SUBSTITUTE(SUBSTITUTE($B$5,"{a}",$A11),"{b}",B$8),"{entity}",LOWER(Entity!$B$3)),2,300))</f>
        <v/>
      </c>
      <c r="C11" s="31">
        <f>IF(OR($A11="",C$8=""),"",UPPER(LEFT(SUBSTITUTE(SUBSTITUTE(SUBSTITUTE($B$5,"{a}",$A11),"{b}",C$8),"{entity}",LOWER(Entity!$B$3)),1))&amp;MID(SUBSTITUTE(SUBSTITUTE(SUBSTITUTE($B$5,"{a}",$A11),"{b}",C$8),"{entity}",LOWER(Entity!$B$3)),2,300))</f>
        <v/>
      </c>
      <c r="D11" s="31">
        <f>IF(OR($A11="",D$8=""),"",UPPER(LEFT(SUBSTITUTE(SUBSTITUTE(SUBSTITUTE($B$5,"{a}",$A11),"{b}",D$8),"{entity}",LOWER(Entity!$B$3)),1))&amp;MID(SUBSTITUTE(SUBSTITUTE(SUBSTITUTE($B$5,"{a}",$A11),"{b}",D$8),"{entity}",LOWER(Entity!$B$3)),2,300))</f>
        <v/>
      </c>
      <c r="E11" s="31">
        <f>IF(OR($A11="",E$8=""),"",UPPER(LEFT(SUBSTITUTE(SUBSTITUTE(SUBSTITUTE($B$5,"{a}",$A11),"{b}",E$8),"{entity}",LOWER(Entity!$B$3)),1))&amp;MID(SUBSTITUTE(SUBSTITUTE(SUBSTITUTE($B$5,"{a}",$A11),"{b}",E$8),"{entity}",LOWER(Entity!$B$3)),2,300))</f>
        <v/>
      </c>
      <c r="F11" s="31">
        <f>IF(OR($A11="",F$8=""),"",UPPER(LEFT(SUBSTITUTE(SUBSTITUTE(SUBSTITUTE($B$5,"{a}",$A11),"{b}",F$8),"{entity}",LOWER(Entity!$B$3)),1))&amp;MID(SUBSTITUTE(SUBSTITUTE(SUBSTITUTE($B$5,"{a}",$A11),"{b}",F$8),"{entity}",LOWER(Entity!$B$3)),2,300))</f>
        <v/>
      </c>
      <c r="G11" s="31">
        <f>IF(OR($A11="",G$8=""),"",UPPER(LEFT(SUBSTITUTE(SUBSTITUTE(SUBSTITUTE($B$5,"{a}",$A11),"{b}",G$8),"{entity}",LOWER(Entity!$B$3)),1))&amp;MID(SUBSTITUTE(SUBSTITUTE(SUBSTITUTE($B$5,"{a}",$A11),"{b}",G$8),"{entity}",LOWER(Entity!$B$3)),2,300))</f>
        <v/>
      </c>
      <c r="H11" s="31">
        <f>IF(OR($A11="",H$8=""),"",UPPER(LEFT(SUBSTITUTE(SUBSTITUTE(SUBSTITUTE($B$5,"{a}",$A11),"{b}",H$8),"{entity}",LOWER(Entity!$B$3)),1))&amp;MID(SUBSTITUTE(SUBSTITUTE(SUBSTITUTE($B$5,"{a}",$A11),"{b}",H$8),"{entity}",LOWER(Entity!$B$3)),2,300))</f>
        <v/>
      </c>
      <c r="I11" s="31">
        <f>IF(OR($A11="",I$8=""),"",UPPER(LEFT(SUBSTITUTE(SUBSTITUTE(SUBSTITUTE($B$5,"{a}",$A11),"{b}",I$8),"{entity}",LOWER(Entity!$B$3)),1))&amp;MID(SUBSTITUTE(SUBSTITUTE(SUBSTITUTE($B$5,"{a}",$A11),"{b}",I$8),"{entity}",LOWER(Entity!$B$3)),2,300))</f>
        <v/>
      </c>
      <c r="J11" s="31">
        <f>IF(OR($A11="",J$8=""),"",UPPER(LEFT(SUBSTITUTE(SUBSTITUTE(SUBSTITUTE($B$5,"{a}",$A11),"{b}",J$8),"{entity}",LOWER(Entity!$B$3)),1))&amp;MID(SUBSTITUTE(SUBSTITUTE(SUBSTITUTE($B$5,"{a}",$A11),"{b}",J$8),"{entity}",LOWER(Entity!$B$3)),2,300))</f>
        <v/>
      </c>
      <c r="K11" s="31">
        <f>IF(OR($A11="",K$8=""),"",UPPER(LEFT(SUBSTITUTE(SUBSTITUTE(SUBSTITUTE($B$5,"{a}",$A11),"{b}",K$8),"{entity}",LOWER(Entity!$B$3)),1))&amp;MID(SUBSTITUTE(SUBSTITUTE(SUBSTITUTE($B$5,"{a}",$A11),"{b}",K$8),"{entity}",LOWER(Entity!$B$3)),2,300))</f>
        <v/>
      </c>
    </row>
    <row r="12">
      <c r="A12" s="30">
        <f>IFERROR(INDEX(Values!$B$3:$B$502,MATCH($B$3&amp;"|"&amp;4,Values!$L$3:$L$502,0)),"")</f>
        <v/>
      </c>
      <c r="B12" s="31">
        <f>IF(OR($A12="",B$8=""),"",UPPER(LEFT(SUBSTITUTE(SUBSTITUTE(SUBSTITUTE($B$5,"{a}",$A12),"{b}",B$8),"{entity}",LOWER(Entity!$B$3)),1))&amp;MID(SUBSTITUTE(SUBSTITUTE(SUBSTITUTE($B$5,"{a}",$A12),"{b}",B$8),"{entity}",LOWER(Entity!$B$3)),2,300))</f>
        <v/>
      </c>
      <c r="C12" s="31">
        <f>IF(OR($A12="",C$8=""),"",UPPER(LEFT(SUBSTITUTE(SUBSTITUTE(SUBSTITUTE($B$5,"{a}",$A12),"{b}",C$8),"{entity}",LOWER(Entity!$B$3)),1))&amp;MID(SUBSTITUTE(SUBSTITUTE(SUBSTITUTE($B$5,"{a}",$A12),"{b}",C$8),"{entity}",LOWER(Entity!$B$3)),2,300))</f>
        <v/>
      </c>
      <c r="D12" s="31">
        <f>IF(OR($A12="",D$8=""),"",UPPER(LEFT(SUBSTITUTE(SUBSTITUTE(SUBSTITUTE($B$5,"{a}",$A12),"{b}",D$8),"{entity}",LOWER(Entity!$B$3)),1))&amp;MID(SUBSTITUTE(SUBSTITUTE(SUBSTITUTE($B$5,"{a}",$A12),"{b}",D$8),"{entity}",LOWER(Entity!$B$3)),2,300))</f>
        <v/>
      </c>
      <c r="E12" s="31">
        <f>IF(OR($A12="",E$8=""),"",UPPER(LEFT(SUBSTITUTE(SUBSTITUTE(SUBSTITUTE($B$5,"{a}",$A12),"{b}",E$8),"{entity}",LOWER(Entity!$B$3)),1))&amp;MID(SUBSTITUTE(SUBSTITUTE(SUBSTITUTE($B$5,"{a}",$A12),"{b}",E$8),"{entity}",LOWER(Entity!$B$3)),2,300))</f>
        <v/>
      </c>
      <c r="F12" s="31">
        <f>IF(OR($A12="",F$8=""),"",UPPER(LEFT(SUBSTITUTE(SUBSTITUTE(SUBSTITUTE($B$5,"{a}",$A12),"{b}",F$8),"{entity}",LOWER(Entity!$B$3)),1))&amp;MID(SUBSTITUTE(SUBSTITUTE(SUBSTITUTE($B$5,"{a}",$A12),"{b}",F$8),"{entity}",LOWER(Entity!$B$3)),2,300))</f>
        <v/>
      </c>
      <c r="G12" s="31">
        <f>IF(OR($A12="",G$8=""),"",UPPER(LEFT(SUBSTITUTE(SUBSTITUTE(SUBSTITUTE($B$5,"{a}",$A12),"{b}",G$8),"{entity}",LOWER(Entity!$B$3)),1))&amp;MID(SUBSTITUTE(SUBSTITUTE(SUBSTITUTE($B$5,"{a}",$A12),"{b}",G$8),"{entity}",LOWER(Entity!$B$3)),2,300))</f>
        <v/>
      </c>
      <c r="H12" s="31">
        <f>IF(OR($A12="",H$8=""),"",UPPER(LEFT(SUBSTITUTE(SUBSTITUTE(SUBSTITUTE($B$5,"{a}",$A12),"{b}",H$8),"{entity}",LOWER(Entity!$B$3)),1))&amp;MID(SUBSTITUTE(SUBSTITUTE(SUBSTITUTE($B$5,"{a}",$A12),"{b}",H$8),"{entity}",LOWER(Entity!$B$3)),2,300))</f>
        <v/>
      </c>
      <c r="I12" s="31">
        <f>IF(OR($A12="",I$8=""),"",UPPER(LEFT(SUBSTITUTE(SUBSTITUTE(SUBSTITUTE($B$5,"{a}",$A12),"{b}",I$8),"{entity}",LOWER(Entity!$B$3)),1))&amp;MID(SUBSTITUTE(SUBSTITUTE(SUBSTITUTE($B$5,"{a}",$A12),"{b}",I$8),"{entity}",LOWER(Entity!$B$3)),2,300))</f>
        <v/>
      </c>
      <c r="J12" s="31">
        <f>IF(OR($A12="",J$8=""),"",UPPER(LEFT(SUBSTITUTE(SUBSTITUTE(SUBSTITUTE($B$5,"{a}",$A12),"{b}",J$8),"{entity}",LOWER(Entity!$B$3)),1))&amp;MID(SUBSTITUTE(SUBSTITUTE(SUBSTITUTE($B$5,"{a}",$A12),"{b}",J$8),"{entity}",LOWER(Entity!$B$3)),2,300))</f>
        <v/>
      </c>
      <c r="K12" s="31">
        <f>IF(OR($A12="",K$8=""),"",UPPER(LEFT(SUBSTITUTE(SUBSTITUTE(SUBSTITUTE($B$5,"{a}",$A12),"{b}",K$8),"{entity}",LOWER(Entity!$B$3)),1))&amp;MID(SUBSTITUTE(SUBSTITUTE(SUBSTITUTE($B$5,"{a}",$A12),"{b}",K$8),"{entity}",LOWER(Entity!$B$3)),2,300))</f>
        <v/>
      </c>
    </row>
    <row r="13">
      <c r="A13" s="30">
        <f>IFERROR(INDEX(Values!$B$3:$B$502,MATCH($B$3&amp;"|"&amp;5,Values!$L$3:$L$502,0)),"")</f>
        <v/>
      </c>
      <c r="B13" s="31">
        <f>IF(OR($A13="",B$8=""),"",UPPER(LEFT(SUBSTITUTE(SUBSTITUTE(SUBSTITUTE($B$5,"{a}",$A13),"{b}",B$8),"{entity}",LOWER(Entity!$B$3)),1))&amp;MID(SUBSTITUTE(SUBSTITUTE(SUBSTITUTE($B$5,"{a}",$A13),"{b}",B$8),"{entity}",LOWER(Entity!$B$3)),2,300))</f>
        <v/>
      </c>
      <c r="C13" s="31">
        <f>IF(OR($A13="",C$8=""),"",UPPER(LEFT(SUBSTITUTE(SUBSTITUTE(SUBSTITUTE($B$5,"{a}",$A13),"{b}",C$8),"{entity}",LOWER(Entity!$B$3)),1))&amp;MID(SUBSTITUTE(SUBSTITUTE(SUBSTITUTE($B$5,"{a}",$A13),"{b}",C$8),"{entity}",LOWER(Entity!$B$3)),2,300))</f>
        <v/>
      </c>
      <c r="D13" s="31">
        <f>IF(OR($A13="",D$8=""),"",UPPER(LEFT(SUBSTITUTE(SUBSTITUTE(SUBSTITUTE($B$5,"{a}",$A13),"{b}",D$8),"{entity}",LOWER(Entity!$B$3)),1))&amp;MID(SUBSTITUTE(SUBSTITUTE(SUBSTITUTE($B$5,"{a}",$A13),"{b}",D$8),"{entity}",LOWER(Entity!$B$3)),2,300))</f>
        <v/>
      </c>
      <c r="E13" s="31">
        <f>IF(OR($A13="",E$8=""),"",UPPER(LEFT(SUBSTITUTE(SUBSTITUTE(SUBSTITUTE($B$5,"{a}",$A13),"{b}",E$8),"{entity}",LOWER(Entity!$B$3)),1))&amp;MID(SUBSTITUTE(SUBSTITUTE(SUBSTITUTE($B$5,"{a}",$A13),"{b}",E$8),"{entity}",LOWER(Entity!$B$3)),2,300))</f>
        <v/>
      </c>
      <c r="F13" s="31">
        <f>IF(OR($A13="",F$8=""),"",UPPER(LEFT(SUBSTITUTE(SUBSTITUTE(SUBSTITUTE($B$5,"{a}",$A13),"{b}",F$8),"{entity}",LOWER(Entity!$B$3)),1))&amp;MID(SUBSTITUTE(SUBSTITUTE(SUBSTITUTE($B$5,"{a}",$A13),"{b}",F$8),"{entity}",LOWER(Entity!$B$3)),2,300))</f>
        <v/>
      </c>
      <c r="G13" s="31">
        <f>IF(OR($A13="",G$8=""),"",UPPER(LEFT(SUBSTITUTE(SUBSTITUTE(SUBSTITUTE($B$5,"{a}",$A13),"{b}",G$8),"{entity}",LOWER(Entity!$B$3)),1))&amp;MID(SUBSTITUTE(SUBSTITUTE(SUBSTITUTE($B$5,"{a}",$A13),"{b}",G$8),"{entity}",LOWER(Entity!$B$3)),2,300))</f>
        <v/>
      </c>
      <c r="H13" s="31">
        <f>IF(OR($A13="",H$8=""),"",UPPER(LEFT(SUBSTITUTE(SUBSTITUTE(SUBSTITUTE($B$5,"{a}",$A13),"{b}",H$8),"{entity}",LOWER(Entity!$B$3)),1))&amp;MID(SUBSTITUTE(SUBSTITUTE(SUBSTITUTE($B$5,"{a}",$A13),"{b}",H$8),"{entity}",LOWER(Entity!$B$3)),2,300))</f>
        <v/>
      </c>
      <c r="I13" s="31">
        <f>IF(OR($A13="",I$8=""),"",UPPER(LEFT(SUBSTITUTE(SUBSTITUTE(SUBSTITUTE($B$5,"{a}",$A13),"{b}",I$8),"{entity}",LOWER(Entity!$B$3)),1))&amp;MID(SUBSTITUTE(SUBSTITUTE(SUBSTITUTE($B$5,"{a}",$A13),"{b}",I$8),"{entity}",LOWER(Entity!$B$3)),2,300))</f>
        <v/>
      </c>
      <c r="J13" s="31">
        <f>IF(OR($A13="",J$8=""),"",UPPER(LEFT(SUBSTITUTE(SUBSTITUTE(SUBSTITUTE($B$5,"{a}",$A13),"{b}",J$8),"{entity}",LOWER(Entity!$B$3)),1))&amp;MID(SUBSTITUTE(SUBSTITUTE(SUBSTITUTE($B$5,"{a}",$A13),"{b}",J$8),"{entity}",LOWER(Entity!$B$3)),2,300))</f>
        <v/>
      </c>
      <c r="K13" s="31">
        <f>IF(OR($A13="",K$8=""),"",UPPER(LEFT(SUBSTITUTE(SUBSTITUTE(SUBSTITUTE($B$5,"{a}",$A13),"{b}",K$8),"{entity}",LOWER(Entity!$B$3)),1))&amp;MID(SUBSTITUTE(SUBSTITUTE(SUBSTITUTE($B$5,"{a}",$A13),"{b}",K$8),"{entity}",LOWER(Entity!$B$3)),2,300))</f>
        <v/>
      </c>
    </row>
    <row r="14">
      <c r="A14" s="30">
        <f>IFERROR(INDEX(Values!$B$3:$B$502,MATCH($B$3&amp;"|"&amp;6,Values!$L$3:$L$502,0)),"")</f>
        <v/>
      </c>
      <c r="B14" s="31">
        <f>IF(OR($A14="",B$8=""),"",UPPER(LEFT(SUBSTITUTE(SUBSTITUTE(SUBSTITUTE($B$5,"{a}",$A14),"{b}",B$8),"{entity}",LOWER(Entity!$B$3)),1))&amp;MID(SUBSTITUTE(SUBSTITUTE(SUBSTITUTE($B$5,"{a}",$A14),"{b}",B$8),"{entity}",LOWER(Entity!$B$3)),2,300))</f>
        <v/>
      </c>
      <c r="C14" s="31">
        <f>IF(OR($A14="",C$8=""),"",UPPER(LEFT(SUBSTITUTE(SUBSTITUTE(SUBSTITUTE($B$5,"{a}",$A14),"{b}",C$8),"{entity}",LOWER(Entity!$B$3)),1))&amp;MID(SUBSTITUTE(SUBSTITUTE(SUBSTITUTE($B$5,"{a}",$A14),"{b}",C$8),"{entity}",LOWER(Entity!$B$3)),2,300))</f>
        <v/>
      </c>
      <c r="D14" s="31">
        <f>IF(OR($A14="",D$8=""),"",UPPER(LEFT(SUBSTITUTE(SUBSTITUTE(SUBSTITUTE($B$5,"{a}",$A14),"{b}",D$8),"{entity}",LOWER(Entity!$B$3)),1))&amp;MID(SUBSTITUTE(SUBSTITUTE(SUBSTITUTE($B$5,"{a}",$A14),"{b}",D$8),"{entity}",LOWER(Entity!$B$3)),2,300))</f>
        <v/>
      </c>
      <c r="E14" s="31">
        <f>IF(OR($A14="",E$8=""),"",UPPER(LEFT(SUBSTITUTE(SUBSTITUTE(SUBSTITUTE($B$5,"{a}",$A14),"{b}",E$8),"{entity}",LOWER(Entity!$B$3)),1))&amp;MID(SUBSTITUTE(SUBSTITUTE(SUBSTITUTE($B$5,"{a}",$A14),"{b}",E$8),"{entity}",LOWER(Entity!$B$3)),2,300))</f>
        <v/>
      </c>
      <c r="F14" s="31">
        <f>IF(OR($A14="",F$8=""),"",UPPER(LEFT(SUBSTITUTE(SUBSTITUTE(SUBSTITUTE($B$5,"{a}",$A14),"{b}",F$8),"{entity}",LOWER(Entity!$B$3)),1))&amp;MID(SUBSTITUTE(SUBSTITUTE(SUBSTITUTE($B$5,"{a}",$A14),"{b}",F$8),"{entity}",LOWER(Entity!$B$3)),2,300))</f>
        <v/>
      </c>
      <c r="G14" s="31">
        <f>IF(OR($A14="",G$8=""),"",UPPER(LEFT(SUBSTITUTE(SUBSTITUTE(SUBSTITUTE($B$5,"{a}",$A14),"{b}",G$8),"{entity}",LOWER(Entity!$B$3)),1))&amp;MID(SUBSTITUTE(SUBSTITUTE(SUBSTITUTE($B$5,"{a}",$A14),"{b}",G$8),"{entity}",LOWER(Entity!$B$3)),2,300))</f>
        <v/>
      </c>
      <c r="H14" s="31">
        <f>IF(OR($A14="",H$8=""),"",UPPER(LEFT(SUBSTITUTE(SUBSTITUTE(SUBSTITUTE($B$5,"{a}",$A14),"{b}",H$8),"{entity}",LOWER(Entity!$B$3)),1))&amp;MID(SUBSTITUTE(SUBSTITUTE(SUBSTITUTE($B$5,"{a}",$A14),"{b}",H$8),"{entity}",LOWER(Entity!$B$3)),2,300))</f>
        <v/>
      </c>
      <c r="I14" s="31">
        <f>IF(OR($A14="",I$8=""),"",UPPER(LEFT(SUBSTITUTE(SUBSTITUTE(SUBSTITUTE($B$5,"{a}",$A14),"{b}",I$8),"{entity}",LOWER(Entity!$B$3)),1))&amp;MID(SUBSTITUTE(SUBSTITUTE(SUBSTITUTE($B$5,"{a}",$A14),"{b}",I$8),"{entity}",LOWER(Entity!$B$3)),2,300))</f>
        <v/>
      </c>
      <c r="J14" s="31">
        <f>IF(OR($A14="",J$8=""),"",UPPER(LEFT(SUBSTITUTE(SUBSTITUTE(SUBSTITUTE($B$5,"{a}",$A14),"{b}",J$8),"{entity}",LOWER(Entity!$B$3)),1))&amp;MID(SUBSTITUTE(SUBSTITUTE(SUBSTITUTE($B$5,"{a}",$A14),"{b}",J$8),"{entity}",LOWER(Entity!$B$3)),2,300))</f>
        <v/>
      </c>
      <c r="K14" s="31">
        <f>IF(OR($A14="",K$8=""),"",UPPER(LEFT(SUBSTITUTE(SUBSTITUTE(SUBSTITUTE($B$5,"{a}",$A14),"{b}",K$8),"{entity}",LOWER(Entity!$B$3)),1))&amp;MID(SUBSTITUTE(SUBSTITUTE(SUBSTITUTE($B$5,"{a}",$A14),"{b}",K$8),"{entity}",LOWER(Entity!$B$3)),2,300))</f>
        <v/>
      </c>
    </row>
    <row r="15">
      <c r="A15" s="30">
        <f>IFERROR(INDEX(Values!$B$3:$B$502,MATCH($B$3&amp;"|"&amp;7,Values!$L$3:$L$502,0)),"")</f>
        <v/>
      </c>
      <c r="B15" s="31">
        <f>IF(OR($A15="",B$8=""),"",UPPER(LEFT(SUBSTITUTE(SUBSTITUTE(SUBSTITUTE($B$5,"{a}",$A15),"{b}",B$8),"{entity}",LOWER(Entity!$B$3)),1))&amp;MID(SUBSTITUTE(SUBSTITUTE(SUBSTITUTE($B$5,"{a}",$A15),"{b}",B$8),"{entity}",LOWER(Entity!$B$3)),2,300))</f>
        <v/>
      </c>
      <c r="C15" s="31">
        <f>IF(OR($A15="",C$8=""),"",UPPER(LEFT(SUBSTITUTE(SUBSTITUTE(SUBSTITUTE($B$5,"{a}",$A15),"{b}",C$8),"{entity}",LOWER(Entity!$B$3)),1))&amp;MID(SUBSTITUTE(SUBSTITUTE(SUBSTITUTE($B$5,"{a}",$A15),"{b}",C$8),"{entity}",LOWER(Entity!$B$3)),2,300))</f>
        <v/>
      </c>
      <c r="D15" s="31">
        <f>IF(OR($A15="",D$8=""),"",UPPER(LEFT(SUBSTITUTE(SUBSTITUTE(SUBSTITUTE($B$5,"{a}",$A15),"{b}",D$8),"{entity}",LOWER(Entity!$B$3)),1))&amp;MID(SUBSTITUTE(SUBSTITUTE(SUBSTITUTE($B$5,"{a}",$A15),"{b}",D$8),"{entity}",LOWER(Entity!$B$3)),2,300))</f>
        <v/>
      </c>
      <c r="E15" s="31">
        <f>IF(OR($A15="",E$8=""),"",UPPER(LEFT(SUBSTITUTE(SUBSTITUTE(SUBSTITUTE($B$5,"{a}",$A15),"{b}",E$8),"{entity}",LOWER(Entity!$B$3)),1))&amp;MID(SUBSTITUTE(SUBSTITUTE(SUBSTITUTE($B$5,"{a}",$A15),"{b}",E$8),"{entity}",LOWER(Entity!$B$3)),2,300))</f>
        <v/>
      </c>
      <c r="F15" s="31">
        <f>IF(OR($A15="",F$8=""),"",UPPER(LEFT(SUBSTITUTE(SUBSTITUTE(SUBSTITUTE($B$5,"{a}",$A15),"{b}",F$8),"{entity}",LOWER(Entity!$B$3)),1))&amp;MID(SUBSTITUTE(SUBSTITUTE(SUBSTITUTE($B$5,"{a}",$A15),"{b}",F$8),"{entity}",LOWER(Entity!$B$3)),2,300))</f>
        <v/>
      </c>
      <c r="G15" s="31">
        <f>IF(OR($A15="",G$8=""),"",UPPER(LEFT(SUBSTITUTE(SUBSTITUTE(SUBSTITUTE($B$5,"{a}",$A15),"{b}",G$8),"{entity}",LOWER(Entity!$B$3)),1))&amp;MID(SUBSTITUTE(SUBSTITUTE(SUBSTITUTE($B$5,"{a}",$A15),"{b}",G$8),"{entity}",LOWER(Entity!$B$3)),2,300))</f>
        <v/>
      </c>
      <c r="H15" s="31">
        <f>IF(OR($A15="",H$8=""),"",UPPER(LEFT(SUBSTITUTE(SUBSTITUTE(SUBSTITUTE($B$5,"{a}",$A15),"{b}",H$8),"{entity}",LOWER(Entity!$B$3)),1))&amp;MID(SUBSTITUTE(SUBSTITUTE(SUBSTITUTE($B$5,"{a}",$A15),"{b}",H$8),"{entity}",LOWER(Entity!$B$3)),2,300))</f>
        <v/>
      </c>
      <c r="I15" s="31">
        <f>IF(OR($A15="",I$8=""),"",UPPER(LEFT(SUBSTITUTE(SUBSTITUTE(SUBSTITUTE($B$5,"{a}",$A15),"{b}",I$8),"{entity}",LOWER(Entity!$B$3)),1))&amp;MID(SUBSTITUTE(SUBSTITUTE(SUBSTITUTE($B$5,"{a}",$A15),"{b}",I$8),"{entity}",LOWER(Entity!$B$3)),2,300))</f>
        <v/>
      </c>
      <c r="J15" s="31">
        <f>IF(OR($A15="",J$8=""),"",UPPER(LEFT(SUBSTITUTE(SUBSTITUTE(SUBSTITUTE($B$5,"{a}",$A15),"{b}",J$8),"{entity}",LOWER(Entity!$B$3)),1))&amp;MID(SUBSTITUTE(SUBSTITUTE(SUBSTITUTE($B$5,"{a}",$A15),"{b}",J$8),"{entity}",LOWER(Entity!$B$3)),2,300))</f>
        <v/>
      </c>
      <c r="K15" s="31">
        <f>IF(OR($A15="",K$8=""),"",UPPER(LEFT(SUBSTITUTE(SUBSTITUTE(SUBSTITUTE($B$5,"{a}",$A15),"{b}",K$8),"{entity}",LOWER(Entity!$B$3)),1))&amp;MID(SUBSTITUTE(SUBSTITUTE(SUBSTITUTE($B$5,"{a}",$A15),"{b}",K$8),"{entity}",LOWER(Entity!$B$3)),2,300))</f>
        <v/>
      </c>
    </row>
    <row r="16">
      <c r="A16" s="30">
        <f>IFERROR(INDEX(Values!$B$3:$B$502,MATCH($B$3&amp;"|"&amp;8,Values!$L$3:$L$502,0)),"")</f>
        <v/>
      </c>
      <c r="B16" s="31">
        <f>IF(OR($A16="",B$8=""),"",UPPER(LEFT(SUBSTITUTE(SUBSTITUTE(SUBSTITUTE($B$5,"{a}",$A16),"{b}",B$8),"{entity}",LOWER(Entity!$B$3)),1))&amp;MID(SUBSTITUTE(SUBSTITUTE(SUBSTITUTE($B$5,"{a}",$A16),"{b}",B$8),"{entity}",LOWER(Entity!$B$3)),2,300))</f>
        <v/>
      </c>
      <c r="C16" s="31">
        <f>IF(OR($A16="",C$8=""),"",UPPER(LEFT(SUBSTITUTE(SUBSTITUTE(SUBSTITUTE($B$5,"{a}",$A16),"{b}",C$8),"{entity}",LOWER(Entity!$B$3)),1))&amp;MID(SUBSTITUTE(SUBSTITUTE(SUBSTITUTE($B$5,"{a}",$A16),"{b}",C$8),"{entity}",LOWER(Entity!$B$3)),2,300))</f>
        <v/>
      </c>
      <c r="D16" s="31">
        <f>IF(OR($A16="",D$8=""),"",UPPER(LEFT(SUBSTITUTE(SUBSTITUTE(SUBSTITUTE($B$5,"{a}",$A16),"{b}",D$8),"{entity}",LOWER(Entity!$B$3)),1))&amp;MID(SUBSTITUTE(SUBSTITUTE(SUBSTITUTE($B$5,"{a}",$A16),"{b}",D$8),"{entity}",LOWER(Entity!$B$3)),2,300))</f>
        <v/>
      </c>
      <c r="E16" s="31">
        <f>IF(OR($A16="",E$8=""),"",UPPER(LEFT(SUBSTITUTE(SUBSTITUTE(SUBSTITUTE($B$5,"{a}",$A16),"{b}",E$8),"{entity}",LOWER(Entity!$B$3)),1))&amp;MID(SUBSTITUTE(SUBSTITUTE(SUBSTITUTE($B$5,"{a}",$A16),"{b}",E$8),"{entity}",LOWER(Entity!$B$3)),2,300))</f>
        <v/>
      </c>
      <c r="F16" s="31">
        <f>IF(OR($A16="",F$8=""),"",UPPER(LEFT(SUBSTITUTE(SUBSTITUTE(SUBSTITUTE($B$5,"{a}",$A16),"{b}",F$8),"{entity}",LOWER(Entity!$B$3)),1))&amp;MID(SUBSTITUTE(SUBSTITUTE(SUBSTITUTE($B$5,"{a}",$A16),"{b}",F$8),"{entity}",LOWER(Entity!$B$3)),2,300))</f>
        <v/>
      </c>
      <c r="G16" s="31">
        <f>IF(OR($A16="",G$8=""),"",UPPER(LEFT(SUBSTITUTE(SUBSTITUTE(SUBSTITUTE($B$5,"{a}",$A16),"{b}",G$8),"{entity}",LOWER(Entity!$B$3)),1))&amp;MID(SUBSTITUTE(SUBSTITUTE(SUBSTITUTE($B$5,"{a}",$A16),"{b}",G$8),"{entity}",LOWER(Entity!$B$3)),2,300))</f>
        <v/>
      </c>
      <c r="H16" s="31">
        <f>IF(OR($A16="",H$8=""),"",UPPER(LEFT(SUBSTITUTE(SUBSTITUTE(SUBSTITUTE($B$5,"{a}",$A16),"{b}",H$8),"{entity}",LOWER(Entity!$B$3)),1))&amp;MID(SUBSTITUTE(SUBSTITUTE(SUBSTITUTE($B$5,"{a}",$A16),"{b}",H$8),"{entity}",LOWER(Entity!$B$3)),2,300))</f>
        <v/>
      </c>
      <c r="I16" s="31">
        <f>IF(OR($A16="",I$8=""),"",UPPER(LEFT(SUBSTITUTE(SUBSTITUTE(SUBSTITUTE($B$5,"{a}",$A16),"{b}",I$8),"{entity}",LOWER(Entity!$B$3)),1))&amp;MID(SUBSTITUTE(SUBSTITUTE(SUBSTITUTE($B$5,"{a}",$A16),"{b}",I$8),"{entity}",LOWER(Entity!$B$3)),2,300))</f>
        <v/>
      </c>
      <c r="J16" s="31">
        <f>IF(OR($A16="",J$8=""),"",UPPER(LEFT(SUBSTITUTE(SUBSTITUTE(SUBSTITUTE($B$5,"{a}",$A16),"{b}",J$8),"{entity}",LOWER(Entity!$B$3)),1))&amp;MID(SUBSTITUTE(SUBSTITUTE(SUBSTITUTE($B$5,"{a}",$A16),"{b}",J$8),"{entity}",LOWER(Entity!$B$3)),2,300))</f>
        <v/>
      </c>
      <c r="K16" s="31">
        <f>IF(OR($A16="",K$8=""),"",UPPER(LEFT(SUBSTITUTE(SUBSTITUTE(SUBSTITUTE($B$5,"{a}",$A16),"{b}",K$8),"{entity}",LOWER(Entity!$B$3)),1))&amp;MID(SUBSTITUTE(SUBSTITUTE(SUBSTITUTE($B$5,"{a}",$A16),"{b}",K$8),"{entity}",LOWER(Entity!$B$3)),2,300))</f>
        <v/>
      </c>
    </row>
    <row r="17">
      <c r="A17" s="30">
        <f>IFERROR(INDEX(Values!$B$3:$B$502,MATCH($B$3&amp;"|"&amp;9,Values!$L$3:$L$502,0)),"")</f>
        <v/>
      </c>
      <c r="B17" s="31">
        <f>IF(OR($A17="",B$8=""),"",UPPER(LEFT(SUBSTITUTE(SUBSTITUTE(SUBSTITUTE($B$5,"{a}",$A17),"{b}",B$8),"{entity}",LOWER(Entity!$B$3)),1))&amp;MID(SUBSTITUTE(SUBSTITUTE(SUBSTITUTE($B$5,"{a}",$A17),"{b}",B$8),"{entity}",LOWER(Entity!$B$3)),2,300))</f>
        <v/>
      </c>
      <c r="C17" s="31">
        <f>IF(OR($A17="",C$8=""),"",UPPER(LEFT(SUBSTITUTE(SUBSTITUTE(SUBSTITUTE($B$5,"{a}",$A17),"{b}",C$8),"{entity}",LOWER(Entity!$B$3)),1))&amp;MID(SUBSTITUTE(SUBSTITUTE(SUBSTITUTE($B$5,"{a}",$A17),"{b}",C$8),"{entity}",LOWER(Entity!$B$3)),2,300))</f>
        <v/>
      </c>
      <c r="D17" s="31">
        <f>IF(OR($A17="",D$8=""),"",UPPER(LEFT(SUBSTITUTE(SUBSTITUTE(SUBSTITUTE($B$5,"{a}",$A17),"{b}",D$8),"{entity}",LOWER(Entity!$B$3)),1))&amp;MID(SUBSTITUTE(SUBSTITUTE(SUBSTITUTE($B$5,"{a}",$A17),"{b}",D$8),"{entity}",LOWER(Entity!$B$3)),2,300))</f>
        <v/>
      </c>
      <c r="E17" s="31">
        <f>IF(OR($A17="",E$8=""),"",UPPER(LEFT(SUBSTITUTE(SUBSTITUTE(SUBSTITUTE($B$5,"{a}",$A17),"{b}",E$8),"{entity}",LOWER(Entity!$B$3)),1))&amp;MID(SUBSTITUTE(SUBSTITUTE(SUBSTITUTE($B$5,"{a}",$A17),"{b}",E$8),"{entity}",LOWER(Entity!$B$3)),2,300))</f>
        <v/>
      </c>
      <c r="F17" s="31">
        <f>IF(OR($A17="",F$8=""),"",UPPER(LEFT(SUBSTITUTE(SUBSTITUTE(SUBSTITUTE($B$5,"{a}",$A17),"{b}",F$8),"{entity}",LOWER(Entity!$B$3)),1))&amp;MID(SUBSTITUTE(SUBSTITUTE(SUBSTITUTE($B$5,"{a}",$A17),"{b}",F$8),"{entity}",LOWER(Entity!$B$3)),2,300))</f>
        <v/>
      </c>
      <c r="G17" s="31">
        <f>IF(OR($A17="",G$8=""),"",UPPER(LEFT(SUBSTITUTE(SUBSTITUTE(SUBSTITUTE($B$5,"{a}",$A17),"{b}",G$8),"{entity}",LOWER(Entity!$B$3)),1))&amp;MID(SUBSTITUTE(SUBSTITUTE(SUBSTITUTE($B$5,"{a}",$A17),"{b}",G$8),"{entity}",LOWER(Entity!$B$3)),2,300))</f>
        <v/>
      </c>
      <c r="H17" s="31">
        <f>IF(OR($A17="",H$8=""),"",UPPER(LEFT(SUBSTITUTE(SUBSTITUTE(SUBSTITUTE($B$5,"{a}",$A17),"{b}",H$8),"{entity}",LOWER(Entity!$B$3)),1))&amp;MID(SUBSTITUTE(SUBSTITUTE(SUBSTITUTE($B$5,"{a}",$A17),"{b}",H$8),"{entity}",LOWER(Entity!$B$3)),2,300))</f>
        <v/>
      </c>
      <c r="I17" s="31">
        <f>IF(OR($A17="",I$8=""),"",UPPER(LEFT(SUBSTITUTE(SUBSTITUTE(SUBSTITUTE($B$5,"{a}",$A17),"{b}",I$8),"{entity}",LOWER(Entity!$B$3)),1))&amp;MID(SUBSTITUTE(SUBSTITUTE(SUBSTITUTE($B$5,"{a}",$A17),"{b}",I$8),"{entity}",LOWER(Entity!$B$3)),2,300))</f>
        <v/>
      </c>
      <c r="J17" s="31">
        <f>IF(OR($A17="",J$8=""),"",UPPER(LEFT(SUBSTITUTE(SUBSTITUTE(SUBSTITUTE($B$5,"{a}",$A17),"{b}",J$8),"{entity}",LOWER(Entity!$B$3)),1))&amp;MID(SUBSTITUTE(SUBSTITUTE(SUBSTITUTE($B$5,"{a}",$A17),"{b}",J$8),"{entity}",LOWER(Entity!$B$3)),2,300))</f>
        <v/>
      </c>
      <c r="K17" s="31">
        <f>IF(OR($A17="",K$8=""),"",UPPER(LEFT(SUBSTITUTE(SUBSTITUTE(SUBSTITUTE($B$5,"{a}",$A17),"{b}",K$8),"{entity}",LOWER(Entity!$B$3)),1))&amp;MID(SUBSTITUTE(SUBSTITUTE(SUBSTITUTE($B$5,"{a}",$A17),"{b}",K$8),"{entity}",LOWER(Entity!$B$3)),2,300))</f>
        <v/>
      </c>
    </row>
    <row r="18">
      <c r="A18" s="30">
        <f>IFERROR(INDEX(Values!$B$3:$B$502,MATCH($B$3&amp;"|"&amp;10,Values!$L$3:$L$502,0)),"")</f>
        <v/>
      </c>
      <c r="B18" s="31">
        <f>IF(OR($A18="",B$8=""),"",UPPER(LEFT(SUBSTITUTE(SUBSTITUTE(SUBSTITUTE($B$5,"{a}",$A18),"{b}",B$8),"{entity}",LOWER(Entity!$B$3)),1))&amp;MID(SUBSTITUTE(SUBSTITUTE(SUBSTITUTE($B$5,"{a}",$A18),"{b}",B$8),"{entity}",LOWER(Entity!$B$3)),2,300))</f>
        <v/>
      </c>
      <c r="C18" s="31">
        <f>IF(OR($A18="",C$8=""),"",UPPER(LEFT(SUBSTITUTE(SUBSTITUTE(SUBSTITUTE($B$5,"{a}",$A18),"{b}",C$8),"{entity}",LOWER(Entity!$B$3)),1))&amp;MID(SUBSTITUTE(SUBSTITUTE(SUBSTITUTE($B$5,"{a}",$A18),"{b}",C$8),"{entity}",LOWER(Entity!$B$3)),2,300))</f>
        <v/>
      </c>
      <c r="D18" s="31">
        <f>IF(OR($A18="",D$8=""),"",UPPER(LEFT(SUBSTITUTE(SUBSTITUTE(SUBSTITUTE($B$5,"{a}",$A18),"{b}",D$8),"{entity}",LOWER(Entity!$B$3)),1))&amp;MID(SUBSTITUTE(SUBSTITUTE(SUBSTITUTE($B$5,"{a}",$A18),"{b}",D$8),"{entity}",LOWER(Entity!$B$3)),2,300))</f>
        <v/>
      </c>
      <c r="E18" s="31">
        <f>IF(OR($A18="",E$8=""),"",UPPER(LEFT(SUBSTITUTE(SUBSTITUTE(SUBSTITUTE($B$5,"{a}",$A18),"{b}",E$8),"{entity}",LOWER(Entity!$B$3)),1))&amp;MID(SUBSTITUTE(SUBSTITUTE(SUBSTITUTE($B$5,"{a}",$A18),"{b}",E$8),"{entity}",LOWER(Entity!$B$3)),2,300))</f>
        <v/>
      </c>
      <c r="F18" s="31">
        <f>IF(OR($A18="",F$8=""),"",UPPER(LEFT(SUBSTITUTE(SUBSTITUTE(SUBSTITUTE($B$5,"{a}",$A18),"{b}",F$8),"{entity}",LOWER(Entity!$B$3)),1))&amp;MID(SUBSTITUTE(SUBSTITUTE(SUBSTITUTE($B$5,"{a}",$A18),"{b}",F$8),"{entity}",LOWER(Entity!$B$3)),2,300))</f>
        <v/>
      </c>
      <c r="G18" s="31">
        <f>IF(OR($A18="",G$8=""),"",UPPER(LEFT(SUBSTITUTE(SUBSTITUTE(SUBSTITUTE($B$5,"{a}",$A18),"{b}",G$8),"{entity}",LOWER(Entity!$B$3)),1))&amp;MID(SUBSTITUTE(SUBSTITUTE(SUBSTITUTE($B$5,"{a}",$A18),"{b}",G$8),"{entity}",LOWER(Entity!$B$3)),2,300))</f>
        <v/>
      </c>
      <c r="H18" s="31">
        <f>IF(OR($A18="",H$8=""),"",UPPER(LEFT(SUBSTITUTE(SUBSTITUTE(SUBSTITUTE($B$5,"{a}",$A18),"{b}",H$8),"{entity}",LOWER(Entity!$B$3)),1))&amp;MID(SUBSTITUTE(SUBSTITUTE(SUBSTITUTE($B$5,"{a}",$A18),"{b}",H$8),"{entity}",LOWER(Entity!$B$3)),2,300))</f>
        <v/>
      </c>
      <c r="I18" s="31">
        <f>IF(OR($A18="",I$8=""),"",UPPER(LEFT(SUBSTITUTE(SUBSTITUTE(SUBSTITUTE($B$5,"{a}",$A18),"{b}",I$8),"{entity}",LOWER(Entity!$B$3)),1))&amp;MID(SUBSTITUTE(SUBSTITUTE(SUBSTITUTE($B$5,"{a}",$A18),"{b}",I$8),"{entity}",LOWER(Entity!$B$3)),2,300))</f>
        <v/>
      </c>
      <c r="J18" s="31">
        <f>IF(OR($A18="",J$8=""),"",UPPER(LEFT(SUBSTITUTE(SUBSTITUTE(SUBSTITUTE($B$5,"{a}",$A18),"{b}",J$8),"{entity}",LOWER(Entity!$B$3)),1))&amp;MID(SUBSTITUTE(SUBSTITUTE(SUBSTITUTE($B$5,"{a}",$A18),"{b}",J$8),"{entity}",LOWER(Entity!$B$3)),2,300))</f>
        <v/>
      </c>
      <c r="K18" s="31">
        <f>IF(OR($A18="",K$8=""),"",UPPER(LEFT(SUBSTITUTE(SUBSTITUTE(SUBSTITUTE($B$5,"{a}",$A18),"{b}",K$8),"{entity}",LOWER(Entity!$B$3)),1))&amp;MID(SUBSTITUTE(SUBSTITUTE(SUBSTITUTE($B$5,"{a}",$A18),"{b}",K$8),"{entity}",LOWER(Entity!$B$3)),2,300))</f>
        <v/>
      </c>
    </row>
    <row r="19">
      <c r="A19" s="30">
        <f>IFERROR(INDEX(Values!$B$3:$B$502,MATCH($B$3&amp;"|"&amp;11,Values!$L$3:$L$502,0)),"")</f>
        <v/>
      </c>
      <c r="B19" s="31">
        <f>IF(OR($A19="",B$8=""),"",UPPER(LEFT(SUBSTITUTE(SUBSTITUTE(SUBSTITUTE($B$5,"{a}",$A19),"{b}",B$8),"{entity}",LOWER(Entity!$B$3)),1))&amp;MID(SUBSTITUTE(SUBSTITUTE(SUBSTITUTE($B$5,"{a}",$A19),"{b}",B$8),"{entity}",LOWER(Entity!$B$3)),2,300))</f>
        <v/>
      </c>
      <c r="C19" s="31">
        <f>IF(OR($A19="",C$8=""),"",UPPER(LEFT(SUBSTITUTE(SUBSTITUTE(SUBSTITUTE($B$5,"{a}",$A19),"{b}",C$8),"{entity}",LOWER(Entity!$B$3)),1))&amp;MID(SUBSTITUTE(SUBSTITUTE(SUBSTITUTE($B$5,"{a}",$A19),"{b}",C$8),"{entity}",LOWER(Entity!$B$3)),2,300))</f>
        <v/>
      </c>
      <c r="D19" s="31">
        <f>IF(OR($A19="",D$8=""),"",UPPER(LEFT(SUBSTITUTE(SUBSTITUTE(SUBSTITUTE($B$5,"{a}",$A19),"{b}",D$8),"{entity}",LOWER(Entity!$B$3)),1))&amp;MID(SUBSTITUTE(SUBSTITUTE(SUBSTITUTE($B$5,"{a}",$A19),"{b}",D$8),"{entity}",LOWER(Entity!$B$3)),2,300))</f>
        <v/>
      </c>
      <c r="E19" s="31">
        <f>IF(OR($A19="",E$8=""),"",UPPER(LEFT(SUBSTITUTE(SUBSTITUTE(SUBSTITUTE($B$5,"{a}",$A19),"{b}",E$8),"{entity}",LOWER(Entity!$B$3)),1))&amp;MID(SUBSTITUTE(SUBSTITUTE(SUBSTITUTE($B$5,"{a}",$A19),"{b}",E$8),"{entity}",LOWER(Entity!$B$3)),2,300))</f>
        <v/>
      </c>
      <c r="F19" s="31">
        <f>IF(OR($A19="",F$8=""),"",UPPER(LEFT(SUBSTITUTE(SUBSTITUTE(SUBSTITUTE($B$5,"{a}",$A19),"{b}",F$8),"{entity}",LOWER(Entity!$B$3)),1))&amp;MID(SUBSTITUTE(SUBSTITUTE(SUBSTITUTE($B$5,"{a}",$A19),"{b}",F$8),"{entity}",LOWER(Entity!$B$3)),2,300))</f>
        <v/>
      </c>
      <c r="G19" s="31">
        <f>IF(OR($A19="",G$8=""),"",UPPER(LEFT(SUBSTITUTE(SUBSTITUTE(SUBSTITUTE($B$5,"{a}",$A19),"{b}",G$8),"{entity}",LOWER(Entity!$B$3)),1))&amp;MID(SUBSTITUTE(SUBSTITUTE(SUBSTITUTE($B$5,"{a}",$A19),"{b}",G$8),"{entity}",LOWER(Entity!$B$3)),2,300))</f>
        <v/>
      </c>
      <c r="H19" s="31">
        <f>IF(OR($A19="",H$8=""),"",UPPER(LEFT(SUBSTITUTE(SUBSTITUTE(SUBSTITUTE($B$5,"{a}",$A19),"{b}",H$8),"{entity}",LOWER(Entity!$B$3)),1))&amp;MID(SUBSTITUTE(SUBSTITUTE(SUBSTITUTE($B$5,"{a}",$A19),"{b}",H$8),"{entity}",LOWER(Entity!$B$3)),2,300))</f>
        <v/>
      </c>
      <c r="I19" s="31">
        <f>IF(OR($A19="",I$8=""),"",UPPER(LEFT(SUBSTITUTE(SUBSTITUTE(SUBSTITUTE($B$5,"{a}",$A19),"{b}",I$8),"{entity}",LOWER(Entity!$B$3)),1))&amp;MID(SUBSTITUTE(SUBSTITUTE(SUBSTITUTE($B$5,"{a}",$A19),"{b}",I$8),"{entity}",LOWER(Entity!$B$3)),2,300))</f>
        <v/>
      </c>
      <c r="J19" s="31">
        <f>IF(OR($A19="",J$8=""),"",UPPER(LEFT(SUBSTITUTE(SUBSTITUTE(SUBSTITUTE($B$5,"{a}",$A19),"{b}",J$8),"{entity}",LOWER(Entity!$B$3)),1))&amp;MID(SUBSTITUTE(SUBSTITUTE(SUBSTITUTE($B$5,"{a}",$A19),"{b}",J$8),"{entity}",LOWER(Entity!$B$3)),2,300))</f>
        <v/>
      </c>
      <c r="K19" s="31">
        <f>IF(OR($A19="",K$8=""),"",UPPER(LEFT(SUBSTITUTE(SUBSTITUTE(SUBSTITUTE($B$5,"{a}",$A19),"{b}",K$8),"{entity}",LOWER(Entity!$B$3)),1))&amp;MID(SUBSTITUTE(SUBSTITUTE(SUBSTITUTE($B$5,"{a}",$A19),"{b}",K$8),"{entity}",LOWER(Entity!$B$3)),2,300))</f>
        <v/>
      </c>
    </row>
    <row r="20">
      <c r="A20" s="30">
        <f>IFERROR(INDEX(Values!$B$3:$B$502,MATCH($B$3&amp;"|"&amp;12,Values!$L$3:$L$502,0)),"")</f>
        <v/>
      </c>
      <c r="B20" s="31">
        <f>IF(OR($A20="",B$8=""),"",UPPER(LEFT(SUBSTITUTE(SUBSTITUTE(SUBSTITUTE($B$5,"{a}",$A20),"{b}",B$8),"{entity}",LOWER(Entity!$B$3)),1))&amp;MID(SUBSTITUTE(SUBSTITUTE(SUBSTITUTE($B$5,"{a}",$A20),"{b}",B$8),"{entity}",LOWER(Entity!$B$3)),2,300))</f>
        <v/>
      </c>
      <c r="C20" s="31">
        <f>IF(OR($A20="",C$8=""),"",UPPER(LEFT(SUBSTITUTE(SUBSTITUTE(SUBSTITUTE($B$5,"{a}",$A20),"{b}",C$8),"{entity}",LOWER(Entity!$B$3)),1))&amp;MID(SUBSTITUTE(SUBSTITUTE(SUBSTITUTE($B$5,"{a}",$A20),"{b}",C$8),"{entity}",LOWER(Entity!$B$3)),2,300))</f>
        <v/>
      </c>
      <c r="D20" s="31">
        <f>IF(OR($A20="",D$8=""),"",UPPER(LEFT(SUBSTITUTE(SUBSTITUTE(SUBSTITUTE($B$5,"{a}",$A20),"{b}",D$8),"{entity}",LOWER(Entity!$B$3)),1))&amp;MID(SUBSTITUTE(SUBSTITUTE(SUBSTITUTE($B$5,"{a}",$A20),"{b}",D$8),"{entity}",LOWER(Entity!$B$3)),2,300))</f>
        <v/>
      </c>
      <c r="E20" s="31">
        <f>IF(OR($A20="",E$8=""),"",UPPER(LEFT(SUBSTITUTE(SUBSTITUTE(SUBSTITUTE($B$5,"{a}",$A20),"{b}",E$8),"{entity}",LOWER(Entity!$B$3)),1))&amp;MID(SUBSTITUTE(SUBSTITUTE(SUBSTITUTE($B$5,"{a}",$A20),"{b}",E$8),"{entity}",LOWER(Entity!$B$3)),2,300))</f>
        <v/>
      </c>
      <c r="F20" s="31">
        <f>IF(OR($A20="",F$8=""),"",UPPER(LEFT(SUBSTITUTE(SUBSTITUTE(SUBSTITUTE($B$5,"{a}",$A20),"{b}",F$8),"{entity}",LOWER(Entity!$B$3)),1))&amp;MID(SUBSTITUTE(SUBSTITUTE(SUBSTITUTE($B$5,"{a}",$A20),"{b}",F$8),"{entity}",LOWER(Entity!$B$3)),2,300))</f>
        <v/>
      </c>
      <c r="G20" s="31">
        <f>IF(OR($A20="",G$8=""),"",UPPER(LEFT(SUBSTITUTE(SUBSTITUTE(SUBSTITUTE($B$5,"{a}",$A20),"{b}",G$8),"{entity}",LOWER(Entity!$B$3)),1))&amp;MID(SUBSTITUTE(SUBSTITUTE(SUBSTITUTE($B$5,"{a}",$A20),"{b}",G$8),"{entity}",LOWER(Entity!$B$3)),2,300))</f>
        <v/>
      </c>
      <c r="H20" s="31">
        <f>IF(OR($A20="",H$8=""),"",UPPER(LEFT(SUBSTITUTE(SUBSTITUTE(SUBSTITUTE($B$5,"{a}",$A20),"{b}",H$8),"{entity}",LOWER(Entity!$B$3)),1))&amp;MID(SUBSTITUTE(SUBSTITUTE(SUBSTITUTE($B$5,"{a}",$A20),"{b}",H$8),"{entity}",LOWER(Entity!$B$3)),2,300))</f>
        <v/>
      </c>
      <c r="I20" s="31">
        <f>IF(OR($A20="",I$8=""),"",UPPER(LEFT(SUBSTITUTE(SUBSTITUTE(SUBSTITUTE($B$5,"{a}",$A20),"{b}",I$8),"{entity}",LOWER(Entity!$B$3)),1))&amp;MID(SUBSTITUTE(SUBSTITUTE(SUBSTITUTE($B$5,"{a}",$A20),"{b}",I$8),"{entity}",LOWER(Entity!$B$3)),2,300))</f>
        <v/>
      </c>
      <c r="J20" s="31">
        <f>IF(OR($A20="",J$8=""),"",UPPER(LEFT(SUBSTITUTE(SUBSTITUTE(SUBSTITUTE($B$5,"{a}",$A20),"{b}",J$8),"{entity}",LOWER(Entity!$B$3)),1))&amp;MID(SUBSTITUTE(SUBSTITUTE(SUBSTITUTE($B$5,"{a}",$A20),"{b}",J$8),"{entity}",LOWER(Entity!$B$3)),2,300))</f>
        <v/>
      </c>
      <c r="K20" s="31">
        <f>IF(OR($A20="",K$8=""),"",UPPER(LEFT(SUBSTITUTE(SUBSTITUTE(SUBSTITUTE($B$5,"{a}",$A20),"{b}",K$8),"{entity}",LOWER(Entity!$B$3)),1))&amp;MID(SUBSTITUTE(SUBSTITUTE(SUBSTITUTE($B$5,"{a}",$A20),"{b}",K$8),"{entity}",LOWER(Entity!$B$3)),2,300))</f>
        <v/>
      </c>
    </row>
    <row r="21">
      <c r="A21" s="30">
        <f>IFERROR(INDEX(Values!$B$3:$B$502,MATCH($B$3&amp;"|"&amp;13,Values!$L$3:$L$502,0)),"")</f>
        <v/>
      </c>
      <c r="B21" s="31">
        <f>IF(OR($A21="",B$8=""),"",UPPER(LEFT(SUBSTITUTE(SUBSTITUTE(SUBSTITUTE($B$5,"{a}",$A21),"{b}",B$8),"{entity}",LOWER(Entity!$B$3)),1))&amp;MID(SUBSTITUTE(SUBSTITUTE(SUBSTITUTE($B$5,"{a}",$A21),"{b}",B$8),"{entity}",LOWER(Entity!$B$3)),2,300))</f>
        <v/>
      </c>
      <c r="C21" s="31">
        <f>IF(OR($A21="",C$8=""),"",UPPER(LEFT(SUBSTITUTE(SUBSTITUTE(SUBSTITUTE($B$5,"{a}",$A21),"{b}",C$8),"{entity}",LOWER(Entity!$B$3)),1))&amp;MID(SUBSTITUTE(SUBSTITUTE(SUBSTITUTE($B$5,"{a}",$A21),"{b}",C$8),"{entity}",LOWER(Entity!$B$3)),2,300))</f>
        <v/>
      </c>
      <c r="D21" s="31">
        <f>IF(OR($A21="",D$8=""),"",UPPER(LEFT(SUBSTITUTE(SUBSTITUTE(SUBSTITUTE($B$5,"{a}",$A21),"{b}",D$8),"{entity}",LOWER(Entity!$B$3)),1))&amp;MID(SUBSTITUTE(SUBSTITUTE(SUBSTITUTE($B$5,"{a}",$A21),"{b}",D$8),"{entity}",LOWER(Entity!$B$3)),2,300))</f>
        <v/>
      </c>
      <c r="E21" s="31">
        <f>IF(OR($A21="",E$8=""),"",UPPER(LEFT(SUBSTITUTE(SUBSTITUTE(SUBSTITUTE($B$5,"{a}",$A21),"{b}",E$8),"{entity}",LOWER(Entity!$B$3)),1))&amp;MID(SUBSTITUTE(SUBSTITUTE(SUBSTITUTE($B$5,"{a}",$A21),"{b}",E$8),"{entity}",LOWER(Entity!$B$3)),2,300))</f>
        <v/>
      </c>
      <c r="F21" s="31">
        <f>IF(OR($A21="",F$8=""),"",UPPER(LEFT(SUBSTITUTE(SUBSTITUTE(SUBSTITUTE($B$5,"{a}",$A21),"{b}",F$8),"{entity}",LOWER(Entity!$B$3)),1))&amp;MID(SUBSTITUTE(SUBSTITUTE(SUBSTITUTE($B$5,"{a}",$A21),"{b}",F$8),"{entity}",LOWER(Entity!$B$3)),2,300))</f>
        <v/>
      </c>
      <c r="G21" s="31">
        <f>IF(OR($A21="",G$8=""),"",UPPER(LEFT(SUBSTITUTE(SUBSTITUTE(SUBSTITUTE($B$5,"{a}",$A21),"{b}",G$8),"{entity}",LOWER(Entity!$B$3)),1))&amp;MID(SUBSTITUTE(SUBSTITUTE(SUBSTITUTE($B$5,"{a}",$A21),"{b}",G$8),"{entity}",LOWER(Entity!$B$3)),2,300))</f>
        <v/>
      </c>
      <c r="H21" s="31">
        <f>IF(OR($A21="",H$8=""),"",UPPER(LEFT(SUBSTITUTE(SUBSTITUTE(SUBSTITUTE($B$5,"{a}",$A21),"{b}",H$8),"{entity}",LOWER(Entity!$B$3)),1))&amp;MID(SUBSTITUTE(SUBSTITUTE(SUBSTITUTE($B$5,"{a}",$A21),"{b}",H$8),"{entity}",LOWER(Entity!$B$3)),2,300))</f>
        <v/>
      </c>
      <c r="I21" s="31">
        <f>IF(OR($A21="",I$8=""),"",UPPER(LEFT(SUBSTITUTE(SUBSTITUTE(SUBSTITUTE($B$5,"{a}",$A21),"{b}",I$8),"{entity}",LOWER(Entity!$B$3)),1))&amp;MID(SUBSTITUTE(SUBSTITUTE(SUBSTITUTE($B$5,"{a}",$A21),"{b}",I$8),"{entity}",LOWER(Entity!$B$3)),2,300))</f>
        <v/>
      </c>
      <c r="J21" s="31">
        <f>IF(OR($A21="",J$8=""),"",UPPER(LEFT(SUBSTITUTE(SUBSTITUTE(SUBSTITUTE($B$5,"{a}",$A21),"{b}",J$8),"{entity}",LOWER(Entity!$B$3)),1))&amp;MID(SUBSTITUTE(SUBSTITUTE(SUBSTITUTE($B$5,"{a}",$A21),"{b}",J$8),"{entity}",LOWER(Entity!$B$3)),2,300))</f>
        <v/>
      </c>
      <c r="K21" s="31">
        <f>IF(OR($A21="",K$8=""),"",UPPER(LEFT(SUBSTITUTE(SUBSTITUTE(SUBSTITUTE($B$5,"{a}",$A21),"{b}",K$8),"{entity}",LOWER(Entity!$B$3)),1))&amp;MID(SUBSTITUTE(SUBSTITUTE(SUBSTITUTE($B$5,"{a}",$A21),"{b}",K$8),"{entity}",LOWER(Entity!$B$3)),2,300))</f>
        <v/>
      </c>
    </row>
    <row r="22">
      <c r="A22" s="30">
        <f>IFERROR(INDEX(Values!$B$3:$B$502,MATCH($B$3&amp;"|"&amp;14,Values!$L$3:$L$502,0)),"")</f>
        <v/>
      </c>
      <c r="B22" s="31">
        <f>IF(OR($A22="",B$8=""),"",UPPER(LEFT(SUBSTITUTE(SUBSTITUTE(SUBSTITUTE($B$5,"{a}",$A22),"{b}",B$8),"{entity}",LOWER(Entity!$B$3)),1))&amp;MID(SUBSTITUTE(SUBSTITUTE(SUBSTITUTE($B$5,"{a}",$A22),"{b}",B$8),"{entity}",LOWER(Entity!$B$3)),2,300))</f>
        <v/>
      </c>
      <c r="C22" s="31">
        <f>IF(OR($A22="",C$8=""),"",UPPER(LEFT(SUBSTITUTE(SUBSTITUTE(SUBSTITUTE($B$5,"{a}",$A22),"{b}",C$8),"{entity}",LOWER(Entity!$B$3)),1))&amp;MID(SUBSTITUTE(SUBSTITUTE(SUBSTITUTE($B$5,"{a}",$A22),"{b}",C$8),"{entity}",LOWER(Entity!$B$3)),2,300))</f>
        <v/>
      </c>
      <c r="D22" s="31">
        <f>IF(OR($A22="",D$8=""),"",UPPER(LEFT(SUBSTITUTE(SUBSTITUTE(SUBSTITUTE($B$5,"{a}",$A22),"{b}",D$8),"{entity}",LOWER(Entity!$B$3)),1))&amp;MID(SUBSTITUTE(SUBSTITUTE(SUBSTITUTE($B$5,"{a}",$A22),"{b}",D$8),"{entity}",LOWER(Entity!$B$3)),2,300))</f>
        <v/>
      </c>
      <c r="E22" s="31">
        <f>IF(OR($A22="",E$8=""),"",UPPER(LEFT(SUBSTITUTE(SUBSTITUTE(SUBSTITUTE($B$5,"{a}",$A22),"{b}",E$8),"{entity}",LOWER(Entity!$B$3)),1))&amp;MID(SUBSTITUTE(SUBSTITUTE(SUBSTITUTE($B$5,"{a}",$A22),"{b}",E$8),"{entity}",LOWER(Entity!$B$3)),2,300))</f>
        <v/>
      </c>
      <c r="F22" s="31">
        <f>IF(OR($A22="",F$8=""),"",UPPER(LEFT(SUBSTITUTE(SUBSTITUTE(SUBSTITUTE($B$5,"{a}",$A22),"{b}",F$8),"{entity}",LOWER(Entity!$B$3)),1))&amp;MID(SUBSTITUTE(SUBSTITUTE(SUBSTITUTE($B$5,"{a}",$A22),"{b}",F$8),"{entity}",LOWER(Entity!$B$3)),2,300))</f>
        <v/>
      </c>
      <c r="G22" s="31">
        <f>IF(OR($A22="",G$8=""),"",UPPER(LEFT(SUBSTITUTE(SUBSTITUTE(SUBSTITUTE($B$5,"{a}",$A22),"{b}",G$8),"{entity}",LOWER(Entity!$B$3)),1))&amp;MID(SUBSTITUTE(SUBSTITUTE(SUBSTITUTE($B$5,"{a}",$A22),"{b}",G$8),"{entity}",LOWER(Entity!$B$3)),2,300))</f>
        <v/>
      </c>
      <c r="H22" s="31">
        <f>IF(OR($A22="",H$8=""),"",UPPER(LEFT(SUBSTITUTE(SUBSTITUTE(SUBSTITUTE($B$5,"{a}",$A22),"{b}",H$8),"{entity}",LOWER(Entity!$B$3)),1))&amp;MID(SUBSTITUTE(SUBSTITUTE(SUBSTITUTE($B$5,"{a}",$A22),"{b}",H$8),"{entity}",LOWER(Entity!$B$3)),2,300))</f>
        <v/>
      </c>
      <c r="I22" s="31">
        <f>IF(OR($A22="",I$8=""),"",UPPER(LEFT(SUBSTITUTE(SUBSTITUTE(SUBSTITUTE($B$5,"{a}",$A22),"{b}",I$8),"{entity}",LOWER(Entity!$B$3)),1))&amp;MID(SUBSTITUTE(SUBSTITUTE(SUBSTITUTE($B$5,"{a}",$A22),"{b}",I$8),"{entity}",LOWER(Entity!$B$3)),2,300))</f>
        <v/>
      </c>
      <c r="J22" s="31">
        <f>IF(OR($A22="",J$8=""),"",UPPER(LEFT(SUBSTITUTE(SUBSTITUTE(SUBSTITUTE($B$5,"{a}",$A22),"{b}",J$8),"{entity}",LOWER(Entity!$B$3)),1))&amp;MID(SUBSTITUTE(SUBSTITUTE(SUBSTITUTE($B$5,"{a}",$A22),"{b}",J$8),"{entity}",LOWER(Entity!$B$3)),2,300))</f>
        <v/>
      </c>
      <c r="K22" s="31">
        <f>IF(OR($A22="",K$8=""),"",UPPER(LEFT(SUBSTITUTE(SUBSTITUTE(SUBSTITUTE($B$5,"{a}",$A22),"{b}",K$8),"{entity}",LOWER(Entity!$B$3)),1))&amp;MID(SUBSTITUTE(SUBSTITUTE(SUBSTITUTE($B$5,"{a}",$A22),"{b}",K$8),"{entity}",LOWER(Entity!$B$3)),2,300))</f>
        <v/>
      </c>
    </row>
    <row r="23">
      <c r="A23" s="30">
        <f>IFERROR(INDEX(Values!$B$3:$B$502,MATCH($B$3&amp;"|"&amp;15,Values!$L$3:$L$502,0)),"")</f>
        <v/>
      </c>
      <c r="B23" s="31">
        <f>IF(OR($A23="",B$8=""),"",UPPER(LEFT(SUBSTITUTE(SUBSTITUTE(SUBSTITUTE($B$5,"{a}",$A23),"{b}",B$8),"{entity}",LOWER(Entity!$B$3)),1))&amp;MID(SUBSTITUTE(SUBSTITUTE(SUBSTITUTE($B$5,"{a}",$A23),"{b}",B$8),"{entity}",LOWER(Entity!$B$3)),2,300))</f>
        <v/>
      </c>
      <c r="C23" s="31">
        <f>IF(OR($A23="",C$8=""),"",UPPER(LEFT(SUBSTITUTE(SUBSTITUTE(SUBSTITUTE($B$5,"{a}",$A23),"{b}",C$8),"{entity}",LOWER(Entity!$B$3)),1))&amp;MID(SUBSTITUTE(SUBSTITUTE(SUBSTITUTE($B$5,"{a}",$A23),"{b}",C$8),"{entity}",LOWER(Entity!$B$3)),2,300))</f>
        <v/>
      </c>
      <c r="D23" s="31">
        <f>IF(OR($A23="",D$8=""),"",UPPER(LEFT(SUBSTITUTE(SUBSTITUTE(SUBSTITUTE($B$5,"{a}",$A23),"{b}",D$8),"{entity}",LOWER(Entity!$B$3)),1))&amp;MID(SUBSTITUTE(SUBSTITUTE(SUBSTITUTE($B$5,"{a}",$A23),"{b}",D$8),"{entity}",LOWER(Entity!$B$3)),2,300))</f>
        <v/>
      </c>
      <c r="E23" s="31">
        <f>IF(OR($A23="",E$8=""),"",UPPER(LEFT(SUBSTITUTE(SUBSTITUTE(SUBSTITUTE($B$5,"{a}",$A23),"{b}",E$8),"{entity}",LOWER(Entity!$B$3)),1))&amp;MID(SUBSTITUTE(SUBSTITUTE(SUBSTITUTE($B$5,"{a}",$A23),"{b}",E$8),"{entity}",LOWER(Entity!$B$3)),2,300))</f>
        <v/>
      </c>
      <c r="F23" s="31">
        <f>IF(OR($A23="",F$8=""),"",UPPER(LEFT(SUBSTITUTE(SUBSTITUTE(SUBSTITUTE($B$5,"{a}",$A23),"{b}",F$8),"{entity}",LOWER(Entity!$B$3)),1))&amp;MID(SUBSTITUTE(SUBSTITUTE(SUBSTITUTE($B$5,"{a}",$A23),"{b}",F$8),"{entity}",LOWER(Entity!$B$3)),2,300))</f>
        <v/>
      </c>
      <c r="G23" s="31">
        <f>IF(OR($A23="",G$8=""),"",UPPER(LEFT(SUBSTITUTE(SUBSTITUTE(SUBSTITUTE($B$5,"{a}",$A23),"{b}",G$8),"{entity}",LOWER(Entity!$B$3)),1))&amp;MID(SUBSTITUTE(SUBSTITUTE(SUBSTITUTE($B$5,"{a}",$A23),"{b}",G$8),"{entity}",LOWER(Entity!$B$3)),2,300))</f>
        <v/>
      </c>
      <c r="H23" s="31">
        <f>IF(OR($A23="",H$8=""),"",UPPER(LEFT(SUBSTITUTE(SUBSTITUTE(SUBSTITUTE($B$5,"{a}",$A23),"{b}",H$8),"{entity}",LOWER(Entity!$B$3)),1))&amp;MID(SUBSTITUTE(SUBSTITUTE(SUBSTITUTE($B$5,"{a}",$A23),"{b}",H$8),"{entity}",LOWER(Entity!$B$3)),2,300))</f>
        <v/>
      </c>
      <c r="I23" s="31">
        <f>IF(OR($A23="",I$8=""),"",UPPER(LEFT(SUBSTITUTE(SUBSTITUTE(SUBSTITUTE($B$5,"{a}",$A23),"{b}",I$8),"{entity}",LOWER(Entity!$B$3)),1))&amp;MID(SUBSTITUTE(SUBSTITUTE(SUBSTITUTE($B$5,"{a}",$A23),"{b}",I$8),"{entity}",LOWER(Entity!$B$3)),2,300))</f>
        <v/>
      </c>
      <c r="J23" s="31">
        <f>IF(OR($A23="",J$8=""),"",UPPER(LEFT(SUBSTITUTE(SUBSTITUTE(SUBSTITUTE($B$5,"{a}",$A23),"{b}",J$8),"{entity}",LOWER(Entity!$B$3)),1))&amp;MID(SUBSTITUTE(SUBSTITUTE(SUBSTITUTE($B$5,"{a}",$A23),"{b}",J$8),"{entity}",LOWER(Entity!$B$3)),2,300))</f>
        <v/>
      </c>
      <c r="K23" s="31">
        <f>IF(OR($A23="",K$8=""),"",UPPER(LEFT(SUBSTITUTE(SUBSTITUTE(SUBSTITUTE($B$5,"{a}",$A23),"{b}",K$8),"{entity}",LOWER(Entity!$B$3)),1))&amp;MID(SUBSTITUTE(SUBSTITUTE(SUBSTITUTE($B$5,"{a}",$A23),"{b}",K$8),"{entity}",LOWER(Entity!$B$3)),2,300))</f>
        <v/>
      </c>
    </row>
  </sheetData>
  <dataValidations count="1">
    <dataValidation sqref="B3:B4" showDropDown="0" showInputMessage="0" showErrorMessage="1" allowBlank="1" type="list" errorStyle="stop">
      <formula1>=Attributes!$A$3:$A$52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DE59"/>
    <outlinePr summaryBelow="1" summaryRight="1"/>
    <pageSetUpPr/>
  </sheetPr>
  <dimension ref="A1:J5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3" customWidth="1" min="3" max="3"/>
    <col width="20" customWidth="1" min="4" max="4"/>
    <col width="10" customWidth="1" min="5" max="5"/>
    <col width="11" customWidth="1" min="6" max="6"/>
    <col width="10" customWidth="1" min="7" max="7"/>
    <col width="8" customWidth="1" min="8" max="8"/>
    <col width="10" customWidth="1" min="9" max="9"/>
    <col width="50" customWidth="1" min="10" max="10"/>
  </cols>
  <sheetData>
    <row r="1">
      <c r="A1" s="1" t="inlineStr">
        <is>
          <t>Topical map dashboard</t>
        </is>
      </c>
    </row>
    <row r="2">
      <c r="A2" s="13" t="inlineStr">
        <is>
          <t>Coverage = kept values that already have a URL. Gaps are your content plan.</t>
        </is>
      </c>
    </row>
    <row r="3" ht="34" customHeight="1">
      <c r="A3" s="24" t="inlineStr">
        <is>
          <t>Metric</t>
        </is>
      </c>
      <c r="B3" s="24" t="inlineStr">
        <is>
          <t>Value</t>
        </is>
      </c>
      <c r="D3" s="24" t="inlineStr">
        <is>
          <t>Attribute</t>
        </is>
      </c>
      <c r="E3" s="24" t="inlineStr">
        <is>
          <t>Included?</t>
        </is>
      </c>
      <c r="F3" s="24" t="inlineStr">
        <is>
          <t>Values kept</t>
        </is>
      </c>
      <c r="G3" s="24" t="inlineStr">
        <is>
          <t>Covered</t>
        </is>
      </c>
      <c r="H3" s="24" t="inlineStr">
        <is>
          <t>Gaps</t>
        </is>
      </c>
      <c r="I3" s="24" t="inlineStr">
        <is>
          <t>Coverage</t>
        </is>
      </c>
      <c r="J3" s="24" t="inlineStr">
        <is>
          <t>Check</t>
        </is>
      </c>
    </row>
    <row r="4">
      <c r="A4" s="7" t="inlineStr">
        <is>
          <t>Central entity</t>
        </is>
      </c>
      <c r="B4" s="32">
        <f>Entity!$B$3</f>
        <v/>
      </c>
      <c r="D4">
        <f>IF(Attributes!A3="","",Attributes!A3)</f>
        <v/>
      </c>
      <c r="E4">
        <f>IF(D4="","",Attributes!F3&amp;"")</f>
        <v/>
      </c>
      <c r="F4">
        <f>IF(D4="","",Attributes!L3)</f>
        <v/>
      </c>
      <c r="G4">
        <f>IF(D4="","",Attributes!M3)</f>
        <v/>
      </c>
      <c r="H4">
        <f>IF(D4="","",F4-G4)</f>
        <v/>
      </c>
      <c r="I4" s="25">
        <f>IF(D4="","",Attributes!N3)</f>
        <v/>
      </c>
      <c r="J4">
        <f>IF(D4="","",Attributes!O3&amp;"")</f>
        <v/>
      </c>
    </row>
    <row r="5">
      <c r="A5" s="7" t="inlineStr">
        <is>
          <t>Attributes listed</t>
        </is>
      </c>
      <c r="B5" s="32">
        <f>SUMPRODUCT((LEN(Attributes!$A$3:$A$52)&gt;0)*1)</f>
        <v/>
      </c>
      <c r="D5">
        <f>IF(Attributes!A4="","",Attributes!A4)</f>
        <v/>
      </c>
      <c r="E5">
        <f>IF(D5="","",Attributes!F4&amp;"")</f>
        <v/>
      </c>
      <c r="F5">
        <f>IF(D5="","",Attributes!L4)</f>
        <v/>
      </c>
      <c r="G5">
        <f>IF(D5="","",Attributes!M4)</f>
        <v/>
      </c>
      <c r="H5">
        <f>IF(D5="","",F5-G5)</f>
        <v/>
      </c>
      <c r="I5" s="25">
        <f>IF(D5="","",Attributes!N4)</f>
        <v/>
      </c>
      <c r="J5">
        <f>IF(D5="","",Attributes!O4&amp;"")</f>
        <v/>
      </c>
    </row>
    <row r="6">
      <c r="A6" s="7" t="inlineStr">
        <is>
          <t>Attributes included</t>
        </is>
      </c>
      <c r="B6" s="32">
        <f>Entity!$B$14</f>
        <v/>
      </c>
      <c r="D6">
        <f>IF(Attributes!A5="","",Attributes!A5)</f>
        <v/>
      </c>
      <c r="E6">
        <f>IF(D6="","",Attributes!F5&amp;"")</f>
        <v/>
      </c>
      <c r="F6">
        <f>IF(D6="","",Attributes!L5)</f>
        <v/>
      </c>
      <c r="G6">
        <f>IF(D6="","",Attributes!M5)</f>
        <v/>
      </c>
      <c r="H6">
        <f>IF(D6="","",F6-G6)</f>
        <v/>
      </c>
      <c r="I6" s="25">
        <f>IF(D6="","",Attributes!N5)</f>
        <v/>
      </c>
      <c r="J6">
        <f>IF(D6="","",Attributes!O5&amp;"")</f>
        <v/>
      </c>
    </row>
    <row r="7">
      <c r="A7" s="7" t="inlineStr">
        <is>
          <t>Values listed</t>
        </is>
      </c>
      <c r="B7" s="32">
        <f>SUMPRODUCT((LEN(Values!$B$3:$B$502)&gt;0)*1)</f>
        <v/>
      </c>
      <c r="D7">
        <f>IF(Attributes!A6="","",Attributes!A6)</f>
        <v/>
      </c>
      <c r="E7">
        <f>IF(D7="","",Attributes!F6&amp;"")</f>
        <v/>
      </c>
      <c r="F7">
        <f>IF(D7="","",Attributes!L6)</f>
        <v/>
      </c>
      <c r="G7">
        <f>IF(D7="","",Attributes!M6)</f>
        <v/>
      </c>
      <c r="H7">
        <f>IF(D7="","",F7-G7)</f>
        <v/>
      </c>
      <c r="I7" s="25">
        <f>IF(D7="","",Attributes!N6)</f>
        <v/>
      </c>
      <c r="J7">
        <f>IF(D7="","",Attributes!O6&amp;"")</f>
        <v/>
      </c>
    </row>
    <row r="8">
      <c r="A8" s="7" t="inlineStr">
        <is>
          <t>Values kept on the map</t>
        </is>
      </c>
      <c r="B8" s="32">
        <f>Entity!$B$15</f>
        <v/>
      </c>
      <c r="D8">
        <f>IF(Attributes!A7="","",Attributes!A7)</f>
        <v/>
      </c>
      <c r="E8">
        <f>IF(D8="","",Attributes!F7&amp;"")</f>
        <v/>
      </c>
      <c r="F8">
        <f>IF(D8="","",Attributes!L7)</f>
        <v/>
      </c>
      <c r="G8">
        <f>IF(D8="","",Attributes!M7)</f>
        <v/>
      </c>
      <c r="H8">
        <f>IF(D8="","",F8-G8)</f>
        <v/>
      </c>
      <c r="I8" s="25">
        <f>IF(D8="","",Attributes!N7)</f>
        <v/>
      </c>
      <c r="J8">
        <f>IF(D8="","",Attributes!O7&amp;"")</f>
        <v/>
      </c>
    </row>
    <row r="9">
      <c r="A9" s="7" t="inlineStr">
        <is>
          <t>Rows on the topical map</t>
        </is>
      </c>
      <c r="B9" s="32">
        <f>Entity!$B$16</f>
        <v/>
      </c>
      <c r="D9">
        <f>IF(Attributes!A8="","",Attributes!A8)</f>
        <v/>
      </c>
      <c r="E9">
        <f>IF(D9="","",Attributes!F8&amp;"")</f>
        <v/>
      </c>
      <c r="F9">
        <f>IF(D9="","",Attributes!L8)</f>
        <v/>
      </c>
      <c r="G9">
        <f>IF(D9="","",Attributes!M8)</f>
        <v/>
      </c>
      <c r="H9">
        <f>IF(D9="","",F9-G9)</f>
        <v/>
      </c>
      <c r="I9" s="25">
        <f>IF(D9="","",Attributes!N8)</f>
        <v/>
      </c>
      <c r="J9">
        <f>IF(D9="","",Attributes!O8&amp;"")</f>
        <v/>
      </c>
    </row>
    <row r="10">
      <c r="A10" s="7" t="inlineStr">
        <is>
          <t>Covered (has a URL)</t>
        </is>
      </c>
      <c r="B10" s="32">
        <f>COUNTIF('Topical Map'!$M$3:$M$553,"Covered")</f>
        <v/>
      </c>
      <c r="D10">
        <f>IF(Attributes!A9="","",Attributes!A9)</f>
        <v/>
      </c>
      <c r="E10">
        <f>IF(D10="","",Attributes!F9&amp;"")</f>
        <v/>
      </c>
      <c r="F10">
        <f>IF(D10="","",Attributes!L9)</f>
        <v/>
      </c>
      <c r="G10">
        <f>IF(D10="","",Attributes!M9)</f>
        <v/>
      </c>
      <c r="H10">
        <f>IF(D10="","",F10-G10)</f>
        <v/>
      </c>
      <c r="I10" s="25">
        <f>IF(D10="","",Attributes!N9)</f>
        <v/>
      </c>
      <c r="J10">
        <f>IF(D10="","",Attributes!O9&amp;"")</f>
        <v/>
      </c>
    </row>
    <row r="11">
      <c r="A11" s="7" t="inlineStr">
        <is>
          <t>Gaps (no URL yet)</t>
        </is>
      </c>
      <c r="B11" s="32">
        <f>COUNTIF('Topical Map'!$M$3:$M$553,"Gap")</f>
        <v/>
      </c>
      <c r="D11">
        <f>IF(Attributes!A10="","",Attributes!A10)</f>
        <v/>
      </c>
      <c r="E11">
        <f>IF(D11="","",Attributes!F10&amp;"")</f>
        <v/>
      </c>
      <c r="F11">
        <f>IF(D11="","",Attributes!L10)</f>
        <v/>
      </c>
      <c r="G11">
        <f>IF(D11="","",Attributes!M10)</f>
        <v/>
      </c>
      <c r="H11">
        <f>IF(D11="","",F11-G11)</f>
        <v/>
      </c>
      <c r="I11" s="25">
        <f>IF(D11="","",Attributes!N10)</f>
        <v/>
      </c>
      <c r="J11">
        <f>IF(D11="","",Attributes!O10&amp;"")</f>
        <v/>
      </c>
    </row>
    <row r="12">
      <c r="A12" s="7" t="inlineStr">
        <is>
          <t>Coverage</t>
        </is>
      </c>
      <c r="B12" s="33">
        <f>IF(B10+B11=0,"",B10/(B10+B11))</f>
        <v/>
      </c>
      <c r="D12">
        <f>IF(Attributes!A11="","",Attributes!A11)</f>
        <v/>
      </c>
      <c r="E12">
        <f>IF(D12="","",Attributes!F11&amp;"")</f>
        <v/>
      </c>
      <c r="F12">
        <f>IF(D12="","",Attributes!L11)</f>
        <v/>
      </c>
      <c r="G12">
        <f>IF(D12="","",Attributes!M11)</f>
        <v/>
      </c>
      <c r="H12">
        <f>IF(D12="","",F12-G12)</f>
        <v/>
      </c>
      <c r="I12" s="25">
        <f>IF(D12="","",Attributes!N11)</f>
        <v/>
      </c>
      <c r="J12">
        <f>IF(D12="","",Attributes!O11&amp;"")</f>
        <v/>
      </c>
    </row>
    <row r="13">
      <c r="A13" s="7" t="inlineStr">
        <is>
          <t>Attribute checks to resolve</t>
        </is>
      </c>
      <c r="B13" s="32">
        <f>SUMPRODUCT((LEN(Attributes!$O$3:$O$52)&gt;0)*1)</f>
        <v/>
      </c>
      <c r="D13">
        <f>IF(Attributes!A12="","",Attributes!A12)</f>
        <v/>
      </c>
      <c r="E13">
        <f>IF(D13="","",Attributes!F12&amp;"")</f>
        <v/>
      </c>
      <c r="F13">
        <f>IF(D13="","",Attributes!L12)</f>
        <v/>
      </c>
      <c r="G13">
        <f>IF(D13="","",Attributes!M12)</f>
        <v/>
      </c>
      <c r="H13">
        <f>IF(D13="","",F13-G13)</f>
        <v/>
      </c>
      <c r="I13" s="25">
        <f>IF(D13="","",Attributes!N12)</f>
        <v/>
      </c>
      <c r="J13">
        <f>IF(D13="","",Attributes!O12&amp;"")</f>
        <v/>
      </c>
    </row>
    <row r="14">
      <c r="D14">
        <f>IF(Attributes!A13="","",Attributes!A13)</f>
        <v/>
      </c>
      <c r="E14">
        <f>IF(D14="","",Attributes!F13&amp;"")</f>
        <v/>
      </c>
      <c r="F14">
        <f>IF(D14="","",Attributes!L13)</f>
        <v/>
      </c>
      <c r="G14">
        <f>IF(D14="","",Attributes!M13)</f>
        <v/>
      </c>
      <c r="H14">
        <f>IF(D14="","",F14-G14)</f>
        <v/>
      </c>
      <c r="I14" s="25">
        <f>IF(D14="","",Attributes!N13)</f>
        <v/>
      </c>
      <c r="J14">
        <f>IF(D14="","",Attributes!O13&amp;"")</f>
        <v/>
      </c>
    </row>
    <row r="15">
      <c r="D15">
        <f>IF(Attributes!A14="","",Attributes!A14)</f>
        <v/>
      </c>
      <c r="E15">
        <f>IF(D15="","",Attributes!F14&amp;"")</f>
        <v/>
      </c>
      <c r="F15">
        <f>IF(D15="","",Attributes!L14)</f>
        <v/>
      </c>
      <c r="G15">
        <f>IF(D15="","",Attributes!M14)</f>
        <v/>
      </c>
      <c r="H15">
        <f>IF(D15="","",F15-G15)</f>
        <v/>
      </c>
      <c r="I15" s="25">
        <f>IF(D15="","",Attributes!N14)</f>
        <v/>
      </c>
      <c r="J15">
        <f>IF(D15="","",Attributes!O14&amp;"")</f>
        <v/>
      </c>
    </row>
    <row r="16">
      <c r="D16">
        <f>IF(Attributes!A15="","",Attributes!A15)</f>
        <v/>
      </c>
      <c r="E16">
        <f>IF(D16="","",Attributes!F15&amp;"")</f>
        <v/>
      </c>
      <c r="F16">
        <f>IF(D16="","",Attributes!L15)</f>
        <v/>
      </c>
      <c r="G16">
        <f>IF(D16="","",Attributes!M15)</f>
        <v/>
      </c>
      <c r="H16">
        <f>IF(D16="","",F16-G16)</f>
        <v/>
      </c>
      <c r="I16" s="25">
        <f>IF(D16="","",Attributes!N15)</f>
        <v/>
      </c>
      <c r="J16">
        <f>IF(D16="","",Attributes!O15&amp;"")</f>
        <v/>
      </c>
    </row>
    <row r="17">
      <c r="D17">
        <f>IF(Attributes!A16="","",Attributes!A16)</f>
        <v/>
      </c>
      <c r="E17">
        <f>IF(D17="","",Attributes!F16&amp;"")</f>
        <v/>
      </c>
      <c r="F17">
        <f>IF(D17="","",Attributes!L16)</f>
        <v/>
      </c>
      <c r="G17">
        <f>IF(D17="","",Attributes!M16)</f>
        <v/>
      </c>
      <c r="H17">
        <f>IF(D17="","",F17-G17)</f>
        <v/>
      </c>
      <c r="I17" s="25">
        <f>IF(D17="","",Attributes!N16)</f>
        <v/>
      </c>
      <c r="J17">
        <f>IF(D17="","",Attributes!O16&amp;"")</f>
        <v/>
      </c>
    </row>
    <row r="18">
      <c r="D18">
        <f>IF(Attributes!A17="","",Attributes!A17)</f>
        <v/>
      </c>
      <c r="E18">
        <f>IF(D18="","",Attributes!F17&amp;"")</f>
        <v/>
      </c>
      <c r="F18">
        <f>IF(D18="","",Attributes!L17)</f>
        <v/>
      </c>
      <c r="G18">
        <f>IF(D18="","",Attributes!M17)</f>
        <v/>
      </c>
      <c r="H18">
        <f>IF(D18="","",F18-G18)</f>
        <v/>
      </c>
      <c r="I18" s="25">
        <f>IF(D18="","",Attributes!N17)</f>
        <v/>
      </c>
      <c r="J18">
        <f>IF(D18="","",Attributes!O17&amp;"")</f>
        <v/>
      </c>
    </row>
    <row r="19">
      <c r="D19">
        <f>IF(Attributes!A18="","",Attributes!A18)</f>
        <v/>
      </c>
      <c r="E19">
        <f>IF(D19="","",Attributes!F18&amp;"")</f>
        <v/>
      </c>
      <c r="F19">
        <f>IF(D19="","",Attributes!L18)</f>
        <v/>
      </c>
      <c r="G19">
        <f>IF(D19="","",Attributes!M18)</f>
        <v/>
      </c>
      <c r="H19">
        <f>IF(D19="","",F19-G19)</f>
        <v/>
      </c>
      <c r="I19" s="25">
        <f>IF(D19="","",Attributes!N18)</f>
        <v/>
      </c>
      <c r="J19">
        <f>IF(D19="","",Attributes!O18&amp;"")</f>
        <v/>
      </c>
    </row>
    <row r="20">
      <c r="D20">
        <f>IF(Attributes!A19="","",Attributes!A19)</f>
        <v/>
      </c>
      <c r="E20">
        <f>IF(D20="","",Attributes!F19&amp;"")</f>
        <v/>
      </c>
      <c r="F20">
        <f>IF(D20="","",Attributes!L19)</f>
        <v/>
      </c>
      <c r="G20">
        <f>IF(D20="","",Attributes!M19)</f>
        <v/>
      </c>
      <c r="H20">
        <f>IF(D20="","",F20-G20)</f>
        <v/>
      </c>
      <c r="I20" s="25">
        <f>IF(D20="","",Attributes!N19)</f>
        <v/>
      </c>
      <c r="J20">
        <f>IF(D20="","",Attributes!O19&amp;"")</f>
        <v/>
      </c>
    </row>
    <row r="21">
      <c r="D21">
        <f>IF(Attributes!A20="","",Attributes!A20)</f>
        <v/>
      </c>
      <c r="E21">
        <f>IF(D21="","",Attributes!F20&amp;"")</f>
        <v/>
      </c>
      <c r="F21">
        <f>IF(D21="","",Attributes!L20)</f>
        <v/>
      </c>
      <c r="G21">
        <f>IF(D21="","",Attributes!M20)</f>
        <v/>
      </c>
      <c r="H21">
        <f>IF(D21="","",F21-G21)</f>
        <v/>
      </c>
      <c r="I21" s="25">
        <f>IF(D21="","",Attributes!N20)</f>
        <v/>
      </c>
      <c r="J21">
        <f>IF(D21="","",Attributes!O20&amp;"")</f>
        <v/>
      </c>
    </row>
    <row r="22">
      <c r="D22">
        <f>IF(Attributes!A21="","",Attributes!A21)</f>
        <v/>
      </c>
      <c r="E22">
        <f>IF(D22="","",Attributes!F21&amp;"")</f>
        <v/>
      </c>
      <c r="F22">
        <f>IF(D22="","",Attributes!L21)</f>
        <v/>
      </c>
      <c r="G22">
        <f>IF(D22="","",Attributes!M21)</f>
        <v/>
      </c>
      <c r="H22">
        <f>IF(D22="","",F22-G22)</f>
        <v/>
      </c>
      <c r="I22" s="25">
        <f>IF(D22="","",Attributes!N21)</f>
        <v/>
      </c>
      <c r="J22">
        <f>IF(D22="","",Attributes!O21&amp;"")</f>
        <v/>
      </c>
    </row>
    <row r="23">
      <c r="D23">
        <f>IF(Attributes!A22="","",Attributes!A22)</f>
        <v/>
      </c>
      <c r="E23">
        <f>IF(D23="","",Attributes!F22&amp;"")</f>
        <v/>
      </c>
      <c r="F23">
        <f>IF(D23="","",Attributes!L22)</f>
        <v/>
      </c>
      <c r="G23">
        <f>IF(D23="","",Attributes!M22)</f>
        <v/>
      </c>
      <c r="H23">
        <f>IF(D23="","",F23-G23)</f>
        <v/>
      </c>
      <c r="I23" s="25">
        <f>IF(D23="","",Attributes!N22)</f>
        <v/>
      </c>
      <c r="J23">
        <f>IF(D23="","",Attributes!O22&amp;"")</f>
        <v/>
      </c>
    </row>
    <row r="24">
      <c r="D24">
        <f>IF(Attributes!A23="","",Attributes!A23)</f>
        <v/>
      </c>
      <c r="E24">
        <f>IF(D24="","",Attributes!F23&amp;"")</f>
        <v/>
      </c>
      <c r="F24">
        <f>IF(D24="","",Attributes!L23)</f>
        <v/>
      </c>
      <c r="G24">
        <f>IF(D24="","",Attributes!M23)</f>
        <v/>
      </c>
      <c r="H24">
        <f>IF(D24="","",F24-G24)</f>
        <v/>
      </c>
      <c r="I24" s="25">
        <f>IF(D24="","",Attributes!N23)</f>
        <v/>
      </c>
      <c r="J24">
        <f>IF(D24="","",Attributes!O23&amp;"")</f>
        <v/>
      </c>
    </row>
    <row r="25">
      <c r="D25">
        <f>IF(Attributes!A24="","",Attributes!A24)</f>
        <v/>
      </c>
      <c r="E25">
        <f>IF(D25="","",Attributes!F24&amp;"")</f>
        <v/>
      </c>
      <c r="F25">
        <f>IF(D25="","",Attributes!L24)</f>
        <v/>
      </c>
      <c r="G25">
        <f>IF(D25="","",Attributes!M24)</f>
        <v/>
      </c>
      <c r="H25">
        <f>IF(D25="","",F25-G25)</f>
        <v/>
      </c>
      <c r="I25" s="25">
        <f>IF(D25="","",Attributes!N24)</f>
        <v/>
      </c>
      <c r="J25">
        <f>IF(D25="","",Attributes!O24&amp;"")</f>
        <v/>
      </c>
    </row>
    <row r="26">
      <c r="D26">
        <f>IF(Attributes!A25="","",Attributes!A25)</f>
        <v/>
      </c>
      <c r="E26">
        <f>IF(D26="","",Attributes!F25&amp;"")</f>
        <v/>
      </c>
      <c r="F26">
        <f>IF(D26="","",Attributes!L25)</f>
        <v/>
      </c>
      <c r="G26">
        <f>IF(D26="","",Attributes!M25)</f>
        <v/>
      </c>
      <c r="H26">
        <f>IF(D26="","",F26-G26)</f>
        <v/>
      </c>
      <c r="I26" s="25">
        <f>IF(D26="","",Attributes!N25)</f>
        <v/>
      </c>
      <c r="J26">
        <f>IF(D26="","",Attributes!O25&amp;"")</f>
        <v/>
      </c>
    </row>
    <row r="27">
      <c r="D27">
        <f>IF(Attributes!A26="","",Attributes!A26)</f>
        <v/>
      </c>
      <c r="E27">
        <f>IF(D27="","",Attributes!F26&amp;"")</f>
        <v/>
      </c>
      <c r="F27">
        <f>IF(D27="","",Attributes!L26)</f>
        <v/>
      </c>
      <c r="G27">
        <f>IF(D27="","",Attributes!M26)</f>
        <v/>
      </c>
      <c r="H27">
        <f>IF(D27="","",F27-G27)</f>
        <v/>
      </c>
      <c r="I27" s="25">
        <f>IF(D27="","",Attributes!N26)</f>
        <v/>
      </c>
      <c r="J27">
        <f>IF(D27="","",Attributes!O26&amp;"")</f>
        <v/>
      </c>
    </row>
    <row r="28">
      <c r="D28">
        <f>IF(Attributes!A27="","",Attributes!A27)</f>
        <v/>
      </c>
      <c r="E28">
        <f>IF(D28="","",Attributes!F27&amp;"")</f>
        <v/>
      </c>
      <c r="F28">
        <f>IF(D28="","",Attributes!L27)</f>
        <v/>
      </c>
      <c r="G28">
        <f>IF(D28="","",Attributes!M27)</f>
        <v/>
      </c>
      <c r="H28">
        <f>IF(D28="","",F28-G28)</f>
        <v/>
      </c>
      <c r="I28" s="25">
        <f>IF(D28="","",Attributes!N27)</f>
        <v/>
      </c>
      <c r="J28">
        <f>IF(D28="","",Attributes!O27&amp;"")</f>
        <v/>
      </c>
    </row>
    <row r="29">
      <c r="D29">
        <f>IF(Attributes!A28="","",Attributes!A28)</f>
        <v/>
      </c>
      <c r="E29">
        <f>IF(D29="","",Attributes!F28&amp;"")</f>
        <v/>
      </c>
      <c r="F29">
        <f>IF(D29="","",Attributes!L28)</f>
        <v/>
      </c>
      <c r="G29">
        <f>IF(D29="","",Attributes!M28)</f>
        <v/>
      </c>
      <c r="H29">
        <f>IF(D29="","",F29-G29)</f>
        <v/>
      </c>
      <c r="I29" s="25">
        <f>IF(D29="","",Attributes!N28)</f>
        <v/>
      </c>
      <c r="J29">
        <f>IF(D29="","",Attributes!O28&amp;"")</f>
        <v/>
      </c>
    </row>
    <row r="30">
      <c r="D30">
        <f>IF(Attributes!A29="","",Attributes!A29)</f>
        <v/>
      </c>
      <c r="E30">
        <f>IF(D30="","",Attributes!F29&amp;"")</f>
        <v/>
      </c>
      <c r="F30">
        <f>IF(D30="","",Attributes!L29)</f>
        <v/>
      </c>
      <c r="G30">
        <f>IF(D30="","",Attributes!M29)</f>
        <v/>
      </c>
      <c r="H30">
        <f>IF(D30="","",F30-G30)</f>
        <v/>
      </c>
      <c r="I30" s="25">
        <f>IF(D30="","",Attributes!N29)</f>
        <v/>
      </c>
      <c r="J30">
        <f>IF(D30="","",Attributes!O29&amp;"")</f>
        <v/>
      </c>
    </row>
    <row r="31">
      <c r="D31">
        <f>IF(Attributes!A30="","",Attributes!A30)</f>
        <v/>
      </c>
      <c r="E31">
        <f>IF(D31="","",Attributes!F30&amp;"")</f>
        <v/>
      </c>
      <c r="F31">
        <f>IF(D31="","",Attributes!L30)</f>
        <v/>
      </c>
      <c r="G31">
        <f>IF(D31="","",Attributes!M30)</f>
        <v/>
      </c>
      <c r="H31">
        <f>IF(D31="","",F31-G31)</f>
        <v/>
      </c>
      <c r="I31" s="25">
        <f>IF(D31="","",Attributes!N30)</f>
        <v/>
      </c>
      <c r="J31">
        <f>IF(D31="","",Attributes!O30&amp;"")</f>
        <v/>
      </c>
    </row>
    <row r="32">
      <c r="D32">
        <f>IF(Attributes!A31="","",Attributes!A31)</f>
        <v/>
      </c>
      <c r="E32">
        <f>IF(D32="","",Attributes!F31&amp;"")</f>
        <v/>
      </c>
      <c r="F32">
        <f>IF(D32="","",Attributes!L31)</f>
        <v/>
      </c>
      <c r="G32">
        <f>IF(D32="","",Attributes!M31)</f>
        <v/>
      </c>
      <c r="H32">
        <f>IF(D32="","",F32-G32)</f>
        <v/>
      </c>
      <c r="I32" s="25">
        <f>IF(D32="","",Attributes!N31)</f>
        <v/>
      </c>
      <c r="J32">
        <f>IF(D32="","",Attributes!O31&amp;"")</f>
        <v/>
      </c>
    </row>
    <row r="33">
      <c r="D33">
        <f>IF(Attributes!A32="","",Attributes!A32)</f>
        <v/>
      </c>
      <c r="E33">
        <f>IF(D33="","",Attributes!F32&amp;"")</f>
        <v/>
      </c>
      <c r="F33">
        <f>IF(D33="","",Attributes!L32)</f>
        <v/>
      </c>
      <c r="G33">
        <f>IF(D33="","",Attributes!M32)</f>
        <v/>
      </c>
      <c r="H33">
        <f>IF(D33="","",F33-G33)</f>
        <v/>
      </c>
      <c r="I33" s="25">
        <f>IF(D33="","",Attributes!N32)</f>
        <v/>
      </c>
      <c r="J33">
        <f>IF(D33="","",Attributes!O32&amp;"")</f>
        <v/>
      </c>
    </row>
    <row r="34">
      <c r="D34">
        <f>IF(Attributes!A33="","",Attributes!A33)</f>
        <v/>
      </c>
      <c r="E34">
        <f>IF(D34="","",Attributes!F33&amp;"")</f>
        <v/>
      </c>
      <c r="F34">
        <f>IF(D34="","",Attributes!L33)</f>
        <v/>
      </c>
      <c r="G34">
        <f>IF(D34="","",Attributes!M33)</f>
        <v/>
      </c>
      <c r="H34">
        <f>IF(D34="","",F34-G34)</f>
        <v/>
      </c>
      <c r="I34" s="25">
        <f>IF(D34="","",Attributes!N33)</f>
        <v/>
      </c>
      <c r="J34">
        <f>IF(D34="","",Attributes!O33&amp;"")</f>
        <v/>
      </c>
    </row>
    <row r="35">
      <c r="D35">
        <f>IF(Attributes!A34="","",Attributes!A34)</f>
        <v/>
      </c>
      <c r="E35">
        <f>IF(D35="","",Attributes!F34&amp;"")</f>
        <v/>
      </c>
      <c r="F35">
        <f>IF(D35="","",Attributes!L34)</f>
        <v/>
      </c>
      <c r="G35">
        <f>IF(D35="","",Attributes!M34)</f>
        <v/>
      </c>
      <c r="H35">
        <f>IF(D35="","",F35-G35)</f>
        <v/>
      </c>
      <c r="I35" s="25">
        <f>IF(D35="","",Attributes!N34)</f>
        <v/>
      </c>
      <c r="J35">
        <f>IF(D35="","",Attributes!O34&amp;"")</f>
        <v/>
      </c>
    </row>
    <row r="36">
      <c r="D36">
        <f>IF(Attributes!A35="","",Attributes!A35)</f>
        <v/>
      </c>
      <c r="E36">
        <f>IF(D36="","",Attributes!F35&amp;"")</f>
        <v/>
      </c>
      <c r="F36">
        <f>IF(D36="","",Attributes!L35)</f>
        <v/>
      </c>
      <c r="G36">
        <f>IF(D36="","",Attributes!M35)</f>
        <v/>
      </c>
      <c r="H36">
        <f>IF(D36="","",F36-G36)</f>
        <v/>
      </c>
      <c r="I36" s="25">
        <f>IF(D36="","",Attributes!N35)</f>
        <v/>
      </c>
      <c r="J36">
        <f>IF(D36="","",Attributes!O35&amp;"")</f>
        <v/>
      </c>
    </row>
    <row r="37">
      <c r="D37">
        <f>IF(Attributes!A36="","",Attributes!A36)</f>
        <v/>
      </c>
      <c r="E37">
        <f>IF(D37="","",Attributes!F36&amp;"")</f>
        <v/>
      </c>
      <c r="F37">
        <f>IF(D37="","",Attributes!L36)</f>
        <v/>
      </c>
      <c r="G37">
        <f>IF(D37="","",Attributes!M36)</f>
        <v/>
      </c>
      <c r="H37">
        <f>IF(D37="","",F37-G37)</f>
        <v/>
      </c>
      <c r="I37" s="25">
        <f>IF(D37="","",Attributes!N36)</f>
        <v/>
      </c>
      <c r="J37">
        <f>IF(D37="","",Attributes!O36&amp;"")</f>
        <v/>
      </c>
    </row>
    <row r="38">
      <c r="D38">
        <f>IF(Attributes!A37="","",Attributes!A37)</f>
        <v/>
      </c>
      <c r="E38">
        <f>IF(D38="","",Attributes!F37&amp;"")</f>
        <v/>
      </c>
      <c r="F38">
        <f>IF(D38="","",Attributes!L37)</f>
        <v/>
      </c>
      <c r="G38">
        <f>IF(D38="","",Attributes!M37)</f>
        <v/>
      </c>
      <c r="H38">
        <f>IF(D38="","",F38-G38)</f>
        <v/>
      </c>
      <c r="I38" s="25">
        <f>IF(D38="","",Attributes!N37)</f>
        <v/>
      </c>
      <c r="J38">
        <f>IF(D38="","",Attributes!O37&amp;"")</f>
        <v/>
      </c>
    </row>
    <row r="39">
      <c r="D39">
        <f>IF(Attributes!A38="","",Attributes!A38)</f>
        <v/>
      </c>
      <c r="E39">
        <f>IF(D39="","",Attributes!F38&amp;"")</f>
        <v/>
      </c>
      <c r="F39">
        <f>IF(D39="","",Attributes!L38)</f>
        <v/>
      </c>
      <c r="G39">
        <f>IF(D39="","",Attributes!M38)</f>
        <v/>
      </c>
      <c r="H39">
        <f>IF(D39="","",F39-G39)</f>
        <v/>
      </c>
      <c r="I39" s="25">
        <f>IF(D39="","",Attributes!N38)</f>
        <v/>
      </c>
      <c r="J39">
        <f>IF(D39="","",Attributes!O38&amp;"")</f>
        <v/>
      </c>
    </row>
    <row r="40">
      <c r="D40">
        <f>IF(Attributes!A39="","",Attributes!A39)</f>
        <v/>
      </c>
      <c r="E40">
        <f>IF(D40="","",Attributes!F39&amp;"")</f>
        <v/>
      </c>
      <c r="F40">
        <f>IF(D40="","",Attributes!L39)</f>
        <v/>
      </c>
      <c r="G40">
        <f>IF(D40="","",Attributes!M39)</f>
        <v/>
      </c>
      <c r="H40">
        <f>IF(D40="","",F40-G40)</f>
        <v/>
      </c>
      <c r="I40" s="25">
        <f>IF(D40="","",Attributes!N39)</f>
        <v/>
      </c>
      <c r="J40">
        <f>IF(D40="","",Attributes!O39&amp;"")</f>
        <v/>
      </c>
    </row>
    <row r="41">
      <c r="D41">
        <f>IF(Attributes!A40="","",Attributes!A40)</f>
        <v/>
      </c>
      <c r="E41">
        <f>IF(D41="","",Attributes!F40&amp;"")</f>
        <v/>
      </c>
      <c r="F41">
        <f>IF(D41="","",Attributes!L40)</f>
        <v/>
      </c>
      <c r="G41">
        <f>IF(D41="","",Attributes!M40)</f>
        <v/>
      </c>
      <c r="H41">
        <f>IF(D41="","",F41-G41)</f>
        <v/>
      </c>
      <c r="I41" s="25">
        <f>IF(D41="","",Attributes!N40)</f>
        <v/>
      </c>
      <c r="J41">
        <f>IF(D41="","",Attributes!O40&amp;"")</f>
        <v/>
      </c>
    </row>
    <row r="42">
      <c r="D42">
        <f>IF(Attributes!A41="","",Attributes!A41)</f>
        <v/>
      </c>
      <c r="E42">
        <f>IF(D42="","",Attributes!F41&amp;"")</f>
        <v/>
      </c>
      <c r="F42">
        <f>IF(D42="","",Attributes!L41)</f>
        <v/>
      </c>
      <c r="G42">
        <f>IF(D42="","",Attributes!M41)</f>
        <v/>
      </c>
      <c r="H42">
        <f>IF(D42="","",F42-G42)</f>
        <v/>
      </c>
      <c r="I42" s="25">
        <f>IF(D42="","",Attributes!N41)</f>
        <v/>
      </c>
      <c r="J42">
        <f>IF(D42="","",Attributes!O41&amp;"")</f>
        <v/>
      </c>
    </row>
    <row r="43">
      <c r="D43">
        <f>IF(Attributes!A42="","",Attributes!A42)</f>
        <v/>
      </c>
      <c r="E43">
        <f>IF(D43="","",Attributes!F42&amp;"")</f>
        <v/>
      </c>
      <c r="F43">
        <f>IF(D43="","",Attributes!L42)</f>
        <v/>
      </c>
      <c r="G43">
        <f>IF(D43="","",Attributes!M42)</f>
        <v/>
      </c>
      <c r="H43">
        <f>IF(D43="","",F43-G43)</f>
        <v/>
      </c>
      <c r="I43" s="25">
        <f>IF(D43="","",Attributes!N42)</f>
        <v/>
      </c>
      <c r="J43">
        <f>IF(D43="","",Attributes!O42&amp;"")</f>
        <v/>
      </c>
    </row>
    <row r="44">
      <c r="D44">
        <f>IF(Attributes!A43="","",Attributes!A43)</f>
        <v/>
      </c>
      <c r="E44">
        <f>IF(D44="","",Attributes!F43&amp;"")</f>
        <v/>
      </c>
      <c r="F44">
        <f>IF(D44="","",Attributes!L43)</f>
        <v/>
      </c>
      <c r="G44">
        <f>IF(D44="","",Attributes!M43)</f>
        <v/>
      </c>
      <c r="H44">
        <f>IF(D44="","",F44-G44)</f>
        <v/>
      </c>
      <c r="I44" s="25">
        <f>IF(D44="","",Attributes!N43)</f>
        <v/>
      </c>
      <c r="J44">
        <f>IF(D44="","",Attributes!O43&amp;"")</f>
        <v/>
      </c>
    </row>
    <row r="45">
      <c r="D45">
        <f>IF(Attributes!A44="","",Attributes!A44)</f>
        <v/>
      </c>
      <c r="E45">
        <f>IF(D45="","",Attributes!F44&amp;"")</f>
        <v/>
      </c>
      <c r="F45">
        <f>IF(D45="","",Attributes!L44)</f>
        <v/>
      </c>
      <c r="G45">
        <f>IF(D45="","",Attributes!M44)</f>
        <v/>
      </c>
      <c r="H45">
        <f>IF(D45="","",F45-G45)</f>
        <v/>
      </c>
      <c r="I45" s="25">
        <f>IF(D45="","",Attributes!N44)</f>
        <v/>
      </c>
      <c r="J45">
        <f>IF(D45="","",Attributes!O44&amp;"")</f>
        <v/>
      </c>
    </row>
    <row r="46">
      <c r="D46">
        <f>IF(Attributes!A45="","",Attributes!A45)</f>
        <v/>
      </c>
      <c r="E46">
        <f>IF(D46="","",Attributes!F45&amp;"")</f>
        <v/>
      </c>
      <c r="F46">
        <f>IF(D46="","",Attributes!L45)</f>
        <v/>
      </c>
      <c r="G46">
        <f>IF(D46="","",Attributes!M45)</f>
        <v/>
      </c>
      <c r="H46">
        <f>IF(D46="","",F46-G46)</f>
        <v/>
      </c>
      <c r="I46" s="25">
        <f>IF(D46="","",Attributes!N45)</f>
        <v/>
      </c>
      <c r="J46">
        <f>IF(D46="","",Attributes!O45&amp;"")</f>
        <v/>
      </c>
    </row>
    <row r="47">
      <c r="D47">
        <f>IF(Attributes!A46="","",Attributes!A46)</f>
        <v/>
      </c>
      <c r="E47">
        <f>IF(D47="","",Attributes!F46&amp;"")</f>
        <v/>
      </c>
      <c r="F47">
        <f>IF(D47="","",Attributes!L46)</f>
        <v/>
      </c>
      <c r="G47">
        <f>IF(D47="","",Attributes!M46)</f>
        <v/>
      </c>
      <c r="H47">
        <f>IF(D47="","",F47-G47)</f>
        <v/>
      </c>
      <c r="I47" s="25">
        <f>IF(D47="","",Attributes!N46)</f>
        <v/>
      </c>
      <c r="J47">
        <f>IF(D47="","",Attributes!O46&amp;"")</f>
        <v/>
      </c>
    </row>
    <row r="48">
      <c r="D48">
        <f>IF(Attributes!A47="","",Attributes!A47)</f>
        <v/>
      </c>
      <c r="E48">
        <f>IF(D48="","",Attributes!F47&amp;"")</f>
        <v/>
      </c>
      <c r="F48">
        <f>IF(D48="","",Attributes!L47)</f>
        <v/>
      </c>
      <c r="G48">
        <f>IF(D48="","",Attributes!M47)</f>
        <v/>
      </c>
      <c r="H48">
        <f>IF(D48="","",F48-G48)</f>
        <v/>
      </c>
      <c r="I48" s="25">
        <f>IF(D48="","",Attributes!N47)</f>
        <v/>
      </c>
      <c r="J48">
        <f>IF(D48="","",Attributes!O47&amp;"")</f>
        <v/>
      </c>
    </row>
    <row r="49">
      <c r="D49">
        <f>IF(Attributes!A48="","",Attributes!A48)</f>
        <v/>
      </c>
      <c r="E49">
        <f>IF(D49="","",Attributes!F48&amp;"")</f>
        <v/>
      </c>
      <c r="F49">
        <f>IF(D49="","",Attributes!L48)</f>
        <v/>
      </c>
      <c r="G49">
        <f>IF(D49="","",Attributes!M48)</f>
        <v/>
      </c>
      <c r="H49">
        <f>IF(D49="","",F49-G49)</f>
        <v/>
      </c>
      <c r="I49" s="25">
        <f>IF(D49="","",Attributes!N48)</f>
        <v/>
      </c>
      <c r="J49">
        <f>IF(D49="","",Attributes!O48&amp;"")</f>
        <v/>
      </c>
    </row>
    <row r="50">
      <c r="D50">
        <f>IF(Attributes!A49="","",Attributes!A49)</f>
        <v/>
      </c>
      <c r="E50">
        <f>IF(D50="","",Attributes!F49&amp;"")</f>
        <v/>
      </c>
      <c r="F50">
        <f>IF(D50="","",Attributes!L49)</f>
        <v/>
      </c>
      <c r="G50">
        <f>IF(D50="","",Attributes!M49)</f>
        <v/>
      </c>
      <c r="H50">
        <f>IF(D50="","",F50-G50)</f>
        <v/>
      </c>
      <c r="I50" s="25">
        <f>IF(D50="","",Attributes!N49)</f>
        <v/>
      </c>
      <c r="J50">
        <f>IF(D50="","",Attributes!O49&amp;"")</f>
        <v/>
      </c>
    </row>
    <row r="51">
      <c r="D51">
        <f>IF(Attributes!A50="","",Attributes!A50)</f>
        <v/>
      </c>
      <c r="E51">
        <f>IF(D51="","",Attributes!F50&amp;"")</f>
        <v/>
      </c>
      <c r="F51">
        <f>IF(D51="","",Attributes!L50)</f>
        <v/>
      </c>
      <c r="G51">
        <f>IF(D51="","",Attributes!M50)</f>
        <v/>
      </c>
      <c r="H51">
        <f>IF(D51="","",F51-G51)</f>
        <v/>
      </c>
      <c r="I51" s="25">
        <f>IF(D51="","",Attributes!N50)</f>
        <v/>
      </c>
      <c r="J51">
        <f>IF(D51="","",Attributes!O50&amp;"")</f>
        <v/>
      </c>
    </row>
    <row r="52">
      <c r="D52">
        <f>IF(Attributes!A51="","",Attributes!A51)</f>
        <v/>
      </c>
      <c r="E52">
        <f>IF(D52="","",Attributes!F51&amp;"")</f>
        <v/>
      </c>
      <c r="F52">
        <f>IF(D52="","",Attributes!L51)</f>
        <v/>
      </c>
      <c r="G52">
        <f>IF(D52="","",Attributes!M51)</f>
        <v/>
      </c>
      <c r="H52">
        <f>IF(D52="","",F52-G52)</f>
        <v/>
      </c>
      <c r="I52" s="25">
        <f>IF(D52="","",Attributes!N51)</f>
        <v/>
      </c>
      <c r="J52">
        <f>IF(D52="","",Attributes!O51&amp;"")</f>
        <v/>
      </c>
    </row>
    <row r="53">
      <c r="D53">
        <f>IF(Attributes!A52="","",Attributes!A52)</f>
        <v/>
      </c>
      <c r="E53">
        <f>IF(D53="","",Attributes!F52&amp;"")</f>
        <v/>
      </c>
      <c r="F53">
        <f>IF(D53="","",Attributes!L52)</f>
        <v/>
      </c>
      <c r="G53">
        <f>IF(D53="","",Attributes!M52)</f>
        <v/>
      </c>
      <c r="H53">
        <f>IF(D53="","",F53-G53)</f>
        <v/>
      </c>
      <c r="I53" s="25">
        <f>IF(D53="","",Attributes!N52)</f>
        <v/>
      </c>
      <c r="J53">
        <f>IF(D53="","",Attributes!O52&amp;"")</f>
        <v/>
      </c>
    </row>
  </sheetData>
  <conditionalFormatting sqref="B13">
    <cfRule type="expression" priority="1" dxfId="6">
      <formula>AND(ISNUMBER(B13),B13&gt;0)</formula>
    </cfRule>
  </conditionalFormatting>
  <conditionalFormatting sqref="J4:J53">
    <cfRule type="expression" priority="2" dxfId="6">
      <formula>LEN($J4)&gt;0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s="1" t="inlineStr">
        <is>
          <t>Lists used by dropdowns and formats</t>
        </is>
      </c>
    </row>
    <row r="2" ht="34" customHeight="1">
      <c r="A2" s="23" t="inlineStr">
        <is>
          <t>Intent</t>
        </is>
      </c>
      <c r="B2" s="23" t="inlineStr">
        <is>
          <t>Suggested format for a supporting page</t>
        </is>
      </c>
    </row>
    <row r="3">
      <c r="A3" t="inlineStr">
        <is>
          <t>Informational</t>
        </is>
      </c>
      <c r="B3" s="27" t="inlineStr">
        <is>
          <t>Guide or explainer</t>
        </is>
      </c>
    </row>
    <row r="4">
      <c r="A4" t="inlineStr">
        <is>
          <t>Commercial</t>
        </is>
      </c>
      <c r="B4" s="27" t="inlineStr">
        <is>
          <t>Comparison or best-of list</t>
        </is>
      </c>
    </row>
    <row r="5">
      <c r="A5" t="inlineStr">
        <is>
          <t>Transactional</t>
        </is>
      </c>
      <c r="B5" s="27" t="inlineStr">
        <is>
          <t>Category or product listing</t>
        </is>
      </c>
    </row>
    <row r="6">
      <c r="A6" t="inlineStr">
        <is>
          <t>Navigational</t>
        </is>
      </c>
      <c r="B6" s="27" t="inlineStr">
        <is>
          <t>Landing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2026-10-24T10:49:29Z</dcterms:created>
  <dcterms:modified xsi:type="dcterms:W3CDTF">2026-10-24T10:49:29Z</dcterms:modified>
</cp:coreProperties>
</file>